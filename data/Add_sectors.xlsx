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comments17.xml" ContentType="application/vnd.openxmlformats-officedocument.spreadsheetml.comments+xml"/>
  <Override PartName="/xl/threadedComments/threadedComment17.xml" ContentType="application/vnd.ms-excel.threadedcomments+xml"/>
  <Override PartName="/xl/comments18.xml" ContentType="application/vnd.openxmlformats-officedocument.spreadsheetml.comments+xml"/>
  <Override PartName="/xl/threadedComments/threadedComment18.xml" ContentType="application/vnd.ms-excel.threadedcomments+xml"/>
  <Override PartName="/xl/comments19.xml" ContentType="application/vnd.openxmlformats-officedocument.spreadsheetml.comments+xml"/>
  <Override PartName="/xl/threadedComments/threadedComment19.xml" ContentType="application/vnd.ms-excel.threadedcomments+xml"/>
  <Override PartName="/xl/comments20.xml" ContentType="application/vnd.openxmlformats-officedocument.spreadsheetml.comments+xml"/>
  <Override PartName="/xl/threadedComments/threadedComment20.xml" ContentType="application/vnd.ms-excel.threadedcomments+xml"/>
  <Override PartName="/xl/comments21.xml" ContentType="application/vnd.openxmlformats-officedocument.spreadsheetml.comments+xml"/>
  <Override PartName="/xl/threadedComments/threadedComment21.xml" ContentType="application/vnd.ms-excel.threadedcomments+xml"/>
  <Override PartName="/xl/comments22.xml" ContentType="application/vnd.openxmlformats-officedocument.spreadsheetml.comments+xml"/>
  <Override PartName="/xl/threadedComments/threadedComment22.xml" ContentType="application/vnd.ms-excel.threadedcomments+xml"/>
  <Override PartName="/xl/comments23.xml" ContentType="application/vnd.openxmlformats-officedocument.spreadsheetml.comments+xml"/>
  <Override PartName="/xl/threadedComments/threadedComment23.xml" ContentType="application/vnd.ms-excel.threadedcomments+xml"/>
  <Override PartName="/xl/comments24.xml" ContentType="application/vnd.openxmlformats-officedocument.spreadsheetml.comments+xml"/>
  <Override PartName="/xl/threadedComments/threadedComment2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le\Desktop\Tesi\Mario\EU\"/>
    </mc:Choice>
  </mc:AlternateContent>
  <xr:revisionPtr revIDLastSave="0" documentId="13_ncr:1_{C6749E3D-08E0-4D97-B928-A1886E2D1E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" sheetId="1" r:id="rId1"/>
    <sheet name="Regions Clusters" sheetId="2" r:id="rId2"/>
    <sheet name="Commodities Clusters" sheetId="3" r:id="rId3"/>
    <sheet name="landfill" sheetId="4" r:id="rId4"/>
    <sheet name="partial recycling" sheetId="5" r:id="rId5"/>
    <sheet name="PV use CN" sheetId="37" r:id="rId6"/>
    <sheet name="PV use EU" sheetId="38" r:id="rId7"/>
    <sheet name="PV use US" sheetId="39" r:id="rId8"/>
    <sheet name="PV use APAC" sheetId="40" r:id="rId9"/>
    <sheet name="PV prod CN" sheetId="7" r:id="rId10"/>
    <sheet name="PV prod EU" sheetId="8" r:id="rId11"/>
    <sheet name="PV prod US" sheetId="9" r:id="rId12"/>
    <sheet name="PV prod APAC" sheetId="10" r:id="rId13"/>
    <sheet name="Cell prod CN" sheetId="11" r:id="rId14"/>
    <sheet name="Cell prod EU" sheetId="12" r:id="rId15"/>
    <sheet name="Cell prod US" sheetId="13" r:id="rId16"/>
    <sheet name="Cell prod APAC" sheetId="14" r:id="rId17"/>
    <sheet name="Paste" sheetId="15" r:id="rId18"/>
    <sheet name="Silane" sheetId="16" r:id="rId19"/>
    <sheet name="Wafer prod CN" sheetId="17" r:id="rId20"/>
    <sheet name="Wafer prod EU" sheetId="18" r:id="rId21"/>
    <sheet name="Wafer prod US" sheetId="19" r:id="rId22"/>
    <sheet name="Wafer prod APAC" sheetId="20" r:id="rId23"/>
    <sheet name="Ingot prod CN" sheetId="21" r:id="rId24"/>
    <sheet name="Ingot prod EU" sheetId="22" r:id="rId25"/>
    <sheet name="Ingot prod US" sheetId="23" r:id="rId26"/>
    <sheet name="Ingot prod APAC" sheetId="24" r:id="rId27"/>
    <sheet name="SGS prod CN" sheetId="25" r:id="rId28"/>
    <sheet name="SGS prod EU" sheetId="26" r:id="rId29"/>
    <sheet name="SGS prod US" sheetId="27" r:id="rId30"/>
    <sheet name="SGS prod APAC" sheetId="28" r:id="rId31"/>
    <sheet name="MGS prod" sheetId="29" r:id="rId32"/>
    <sheet name="CaF2 97%" sheetId="30" r:id="rId33"/>
    <sheet name="HF" sheetId="31" r:id="rId34"/>
    <sheet name="HFC-152a" sheetId="32" r:id="rId35"/>
    <sheet name="VF" sheetId="33" r:id="rId36"/>
    <sheet name="PVF" sheetId="34" r:id="rId37"/>
    <sheet name="PVF disp" sheetId="35" r:id="rId38"/>
    <sheet name="PVF film" sheetId="36" r:id="rId39"/>
    <sheet name="DB units" sheetId="41" r:id="rId40"/>
  </sheets>
  <externalReferences>
    <externalReference r:id="rId4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/>
  <c r="A71" i="40" l="1"/>
  <c r="A71" i="39"/>
  <c r="A71" i="38"/>
  <c r="A71" i="37"/>
  <c r="A70" i="40"/>
  <c r="A69" i="40"/>
  <c r="A68" i="40"/>
  <c r="A70" i="39"/>
  <c r="A69" i="39"/>
  <c r="A68" i="39"/>
  <c r="A70" i="38"/>
  <c r="A69" i="38"/>
  <c r="A68" i="38"/>
  <c r="A70" i="37"/>
  <c r="A69" i="37"/>
  <c r="A68" i="37"/>
  <c r="A3" i="36"/>
  <c r="A3" i="35"/>
  <c r="A3" i="34"/>
  <c r="A3" i="33"/>
  <c r="A3" i="32"/>
  <c r="A3" i="31"/>
  <c r="A8" i="30"/>
  <c r="A9" i="30" s="1"/>
  <c r="A5" i="30"/>
  <c r="A4" i="30"/>
  <c r="A4" i="29"/>
  <c r="A8" i="28"/>
  <c r="A7" i="28"/>
  <c r="A6" i="28"/>
  <c r="A8" i="27"/>
  <c r="A7" i="27"/>
  <c r="A6" i="27"/>
  <c r="A8" i="25"/>
  <c r="A7" i="25"/>
  <c r="A6" i="25"/>
  <c r="A8" i="26"/>
  <c r="A7" i="26"/>
  <c r="A6" i="26"/>
  <c r="A14" i="24"/>
  <c r="A13" i="24"/>
  <c r="A12" i="24"/>
  <c r="A11" i="24"/>
  <c r="A10" i="24"/>
  <c r="A14" i="23"/>
  <c r="A13" i="23"/>
  <c r="A12" i="23"/>
  <c r="A11" i="23"/>
  <c r="A10" i="23"/>
  <c r="A14" i="22"/>
  <c r="A13" i="22"/>
  <c r="A12" i="22"/>
  <c r="A11" i="22"/>
  <c r="A10" i="22"/>
  <c r="A14" i="21"/>
  <c r="A13" i="21"/>
  <c r="A12" i="21"/>
  <c r="A11" i="21"/>
  <c r="A10" i="21"/>
  <c r="A19" i="20"/>
  <c r="A18" i="20"/>
  <c r="A17" i="20"/>
  <c r="A16" i="20"/>
  <c r="A14" i="20"/>
  <c r="A19" i="19"/>
  <c r="A18" i="19"/>
  <c r="A17" i="19"/>
  <c r="A16" i="19"/>
  <c r="A14" i="19"/>
  <c r="A19" i="17"/>
  <c r="A18" i="17"/>
  <c r="A17" i="17"/>
  <c r="A16" i="17"/>
  <c r="A14" i="17"/>
  <c r="A19" i="18"/>
  <c r="A18" i="18"/>
  <c r="A17" i="18"/>
  <c r="A16" i="18"/>
  <c r="A14" i="18"/>
  <c r="A4" i="16"/>
  <c r="A8" i="15"/>
  <c r="A21" i="14"/>
  <c r="A20" i="14"/>
  <c r="A19" i="14"/>
  <c r="A18" i="14"/>
  <c r="A16" i="14"/>
  <c r="A21" i="13"/>
  <c r="A20" i="13"/>
  <c r="A19" i="13"/>
  <c r="A18" i="13"/>
  <c r="A16" i="13"/>
  <c r="A21" i="12"/>
  <c r="A20" i="12"/>
  <c r="A19" i="12"/>
  <c r="A18" i="12"/>
  <c r="A16" i="12"/>
  <c r="A21" i="11"/>
  <c r="A20" i="11"/>
  <c r="A19" i="11"/>
  <c r="A18" i="11"/>
  <c r="A16" i="11"/>
  <c r="A29" i="10"/>
  <c r="A28" i="10"/>
  <c r="A27" i="10"/>
  <c r="A29" i="9"/>
  <c r="A28" i="9"/>
  <c r="A27" i="9"/>
  <c r="A29" i="8"/>
  <c r="A28" i="8"/>
  <c r="A27" i="8"/>
  <c r="A29" i="7"/>
  <c r="A28" i="7"/>
  <c r="A2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tc={DEB9C441-DE4B-4CC9-8C49-11D6BA99842E}</author>
  </authors>
  <commentList>
    <comment ref="A4" authorId="0" shapeId="0" xr:uid="{DEB9C441-DE4B-4CC9-8C49-11D6BA99842E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Assumed to be null: landfilling can produce electricity only if some of the wastes are burned to produce heat and feed a TDN cycle, but the value available in the source is too high (from 10.9 kg of PV (1 m2, all the material is burn), assuming LHV=10 MJ/kg and conversion efficiency of 0.25 (quite high) we can produce 27 MJ, not 77 MJ)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tc={6B91D7D0-9EE9-48FD-AD82-E35C2B7E51C7}</author>
    <author>tc={B7BFA960-EC9A-444F-B768-BEE93343EF60}</author>
    <author>tc={D5A39CA3-1D9A-4F5F-87CB-D261048FAFDA}</author>
  </authors>
  <commentList>
    <comment ref="E36" authorId="0" shapeId="0" xr:uid="{6B91D7D0-9EE9-48FD-AD82-E35C2B7E51C7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38" authorId="1" shapeId="0" xr:uid="{B7BFA960-EC9A-444F-B768-BEE93343EF6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39" authorId="2" shapeId="0" xr:uid="{D5A39CA3-1D9A-4F5F-87CB-D261048FAFD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tc={8175B186-92EC-4EE2-BF61-0DE0E7FEFF96}</author>
    <author>tc={CB43489D-48F1-4FEE-99D1-40BB03816D28}</author>
    <author>tc={1011CA1A-A1AE-422E-807E-B1E65217751A}</author>
  </authors>
  <commentList>
    <comment ref="E36" authorId="0" shapeId="0" xr:uid="{8175B186-92EC-4EE2-BF61-0DE0E7FEFF96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38" authorId="1" shapeId="0" xr:uid="{CB43489D-48F1-4FEE-99D1-40BB03816D2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39" authorId="2" shapeId="0" xr:uid="{1011CA1A-A1AE-422E-807E-B1E65217751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tc={F52AE9B2-1AA2-44EE-AEAE-72AF17ED1995}</author>
    <author>tc={FD33E33E-3E65-45FB-8308-466FD91A9F88}</author>
    <author>tc={AD45D073-0B74-422D-882B-15A1B72F6001}</author>
  </authors>
  <commentList>
    <comment ref="E36" authorId="0" shapeId="0" xr:uid="{F52AE9B2-1AA2-44EE-AEAE-72AF17ED199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38" authorId="1" shapeId="0" xr:uid="{FD33E33E-3E65-45FB-8308-466FD91A9F8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39" authorId="2" shapeId="0" xr:uid="{AD45D073-0B74-422D-882B-15A1B72F600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tc={7F1F2E56-6BAC-4E4C-B90B-96717B99B2AB}</author>
    <author>tc={9E83B2A3-D7ED-4B02-AFE4-B47831A3AC6A}</author>
    <author>tc={988F7D27-7231-4363-A3A2-CBDF1E027855}</author>
  </authors>
  <commentList>
    <comment ref="E36" authorId="0" shapeId="0" xr:uid="{7F1F2E56-6BAC-4E4C-B90B-96717B99B2AB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38" authorId="1" shapeId="0" xr:uid="{9E83B2A3-D7ED-4B02-AFE4-B47831A3AC6A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39" authorId="2" shapeId="0" xr:uid="{988F7D27-7231-4363-A3A2-CBDF1E02785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tc={F795DAF8-57E6-49AD-8F93-DD8DC3388271}</author>
    <author>tc={6B074BCA-52CF-4801-83AC-6D52D7C9B955}</author>
    <author>tc={542BF0D8-12BA-47D2-83EF-FD7E8851FC34}</author>
    <author>tc={EB40AF7D-C294-44A1-90EC-58D3575BB4FD}</author>
  </authors>
  <commentList>
    <comment ref="E26" authorId="0" shapeId="0" xr:uid="{F795DAF8-57E6-49AD-8F93-DD8DC338827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28" authorId="1" shapeId="0" xr:uid="{6B074BCA-52CF-4801-83AC-6D52D7C9B95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29" authorId="2" shapeId="0" xr:uid="{542BF0D8-12BA-47D2-83EF-FD7E8851FC34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C42" authorId="3" shapeId="0" xr:uid="{EB40AF7D-C294-44A1-90EC-58D3575BB4F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 bit more impactful than the average HFCs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tc={9A090C4C-556C-42B8-9709-0B3D64870029}</author>
    <author>tc={017B9CF1-B8B8-4BC1-A81C-8B81A3B9DDA3}</author>
    <author>tc={D3EEF6CF-7DD4-48D8-A963-DA650C764855}</author>
    <author>tc={6043FF01-7F28-46A7-BAAA-607FA0308531}</author>
  </authors>
  <commentList>
    <comment ref="E26" authorId="0" shapeId="0" xr:uid="{9A090C4C-556C-42B8-9709-0B3D64870029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28" authorId="1" shapeId="0" xr:uid="{017B9CF1-B8B8-4BC1-A81C-8B81A3B9DDA3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29" authorId="2" shapeId="0" xr:uid="{D3EEF6CF-7DD4-48D8-A963-DA650C76485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C42" authorId="3" shapeId="0" xr:uid="{6043FF01-7F28-46A7-BAAA-607FA030853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 bit more impactful than the average HFCs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tc={5AD046B0-BE5C-43FE-8F03-079EE1F04C7C}</author>
    <author>tc={DD9B6402-4E3B-4053-8EAB-1919B6191375}</author>
    <author>tc={8830FA29-ED7B-4763-B545-9C878C760036}</author>
    <author>tc={D50594DE-0DCA-43FB-8BF6-85B10B26C0D3}</author>
  </authors>
  <commentList>
    <comment ref="E26" authorId="0" shapeId="0" xr:uid="{5AD046B0-BE5C-43FE-8F03-079EE1F04C7C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28" authorId="1" shapeId="0" xr:uid="{DD9B6402-4E3B-4053-8EAB-1919B619137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29" authorId="2" shapeId="0" xr:uid="{8830FA29-ED7B-4763-B545-9C878C760036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C42" authorId="3" shapeId="0" xr:uid="{D50594DE-0DCA-43FB-8BF6-85B10B26C0D3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 bit more impactful than the average HFCs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tc={4AEC2B11-AF06-4258-806A-E815CA9C7B0C}</author>
    <author>tc={D456EFDF-BFC4-4E30-BC03-FDF713BB2E7F}</author>
    <author>tc={1D0F74B4-1159-45AB-B9F4-79196EDA409F}</author>
    <author>tc={82949B8E-B476-4FE2-8E5D-BF836D1B353D}</author>
  </authors>
  <commentList>
    <comment ref="E26" authorId="0" shapeId="0" xr:uid="{4AEC2B11-AF06-4258-806A-E815CA9C7B0C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28" authorId="1" shapeId="0" xr:uid="{D456EFDF-BFC4-4E30-BC03-FDF713BB2E7F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29" authorId="2" shapeId="0" xr:uid="{1D0F74B4-1159-45AB-B9F4-79196EDA409F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C42" authorId="3" shapeId="0" xr:uid="{82949B8E-B476-4FE2-8E5D-BF836D1B353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A bit more impactful than the average HFCs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tc={C4C8D8A7-F3B1-4C02-96F8-8B6DDCA66990}</author>
    <author>tc={40E77A15-CF4C-48A6-A391-12EE28A248CF}</author>
    <author>tc={FAE78401-2F03-4946-8629-FAC4B052B735}</author>
  </authors>
  <commentList>
    <comment ref="E22" authorId="0" shapeId="0" xr:uid="{C4C8D8A7-F3B1-4C02-96F8-8B6DDCA6699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24" authorId="1" shapeId="0" xr:uid="{40E77A15-CF4C-48A6-A391-12EE28A248CF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25" authorId="2" shapeId="0" xr:uid="{FAE78401-2F03-4946-8629-FAC4B052B73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tc={19F7BFA5-38BE-461E-BF17-D93FCDAEF96C}</author>
    <author>tc={DC36F5B3-B1F8-4679-A130-405C1F2B74B0}</author>
    <author>tc={1F6E3DC0-80A3-47D4-80EE-CBBA82649D33}</author>
  </authors>
  <commentList>
    <comment ref="E22" authorId="0" shapeId="0" xr:uid="{19F7BFA5-38BE-461E-BF17-D93FCDAEF96C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24" authorId="1" shapeId="0" xr:uid="{DC36F5B3-B1F8-4679-A130-405C1F2B74B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25" authorId="2" shapeId="0" xr:uid="{1F6E3DC0-80A3-47D4-80EE-CBBA82649D33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tc={B4B71190-A619-4581-B992-A2AD529914A8}</author>
    <author>tc={000E348F-E09C-464D-A85B-B10DDDD48C6F}</author>
    <author>tc={EA7DA5C0-B1B7-4CD9-BA94-7D2312874B60}</author>
  </authors>
  <commentList>
    <comment ref="E22" authorId="0" shapeId="0" xr:uid="{B4B71190-A619-4581-B992-A2AD529914A8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24" authorId="1" shapeId="0" xr:uid="{000E348F-E09C-464D-A85B-B10DDDD48C6F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25" authorId="2" shapeId="0" xr:uid="{EA7DA5C0-B1B7-4CD9-BA94-7D2312874B6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tc={0F06D1A3-8328-4EC1-AAEA-8BAF3EEAB873}</author>
    <author>tc={E639DCD7-BC91-4E97-A031-9FA7453FDA77}</author>
    <author>tc={95795730-780F-4F19-85E8-F009C032B60B}</author>
  </authors>
  <commentList>
    <comment ref="E22" authorId="0" shapeId="0" xr:uid="{0F06D1A3-8328-4EC1-AAEA-8BAF3EEAB873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24" authorId="1" shapeId="0" xr:uid="{E639DCD7-BC91-4E97-A031-9FA7453FDA77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25" authorId="2" shapeId="0" xr:uid="{95795730-780F-4F19-85E8-F009C032B60B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tc={3F3C444C-B42A-4A09-9A01-593D8FC3BBF1}</author>
    <author>tc={4D4625B5-84EC-4407-A8C7-35D53033F9EC}</author>
    <author>tc={0CC77BD8-9288-4858-A8A7-147D2F926639}</author>
  </authors>
  <commentList>
    <comment ref="E18" authorId="0" shapeId="0" xr:uid="{3F3C444C-B42A-4A09-9A01-593D8FC3BBF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20" authorId="1" shapeId="0" xr:uid="{4D4625B5-84EC-4407-A8C7-35D53033F9EC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21" authorId="2" shapeId="0" xr:uid="{0CC77BD8-9288-4858-A8A7-147D2F926639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tc={79116165-3575-47C5-9CDF-3D663BD78F16}</author>
    <author>tc={90026340-A558-472E-834A-2DFFFC67D83D}</author>
    <author>tc={8BA2F497-2771-4BDB-BA22-E87AA58D8284}</author>
  </authors>
  <commentList>
    <comment ref="E18" authorId="0" shapeId="0" xr:uid="{79116165-3575-47C5-9CDF-3D663BD78F16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20" authorId="1" shapeId="0" xr:uid="{90026340-A558-472E-834A-2DFFFC67D83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21" authorId="2" shapeId="0" xr:uid="{8BA2F497-2771-4BDB-BA22-E87AA58D8284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tc={CD87DE8C-89AD-4FF1-BE82-20560924B7CE}</author>
    <author>tc={80DE7ADC-F321-49FD-AB05-8D73F99274E6}</author>
    <author>tc={681DCAAA-0C13-492C-A137-9915DEF4BABC}</author>
  </authors>
  <commentList>
    <comment ref="E18" authorId="0" shapeId="0" xr:uid="{CD87DE8C-89AD-4FF1-BE82-20560924B7CE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20" authorId="1" shapeId="0" xr:uid="{80DE7ADC-F321-49FD-AB05-8D73F99274E6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21" authorId="2" shapeId="0" xr:uid="{681DCAAA-0C13-492C-A137-9915DEF4BABC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tc={2F6F1F0D-DBD4-45F6-A096-BB5B105BC2EB}</author>
    <author>tc={4AFC8DA6-B73A-4419-ADE1-DF791869D0D1}</author>
    <author>tc={151FC855-CB64-4CAA-8DFE-FFD12BD922FE}</author>
  </authors>
  <commentList>
    <comment ref="E18" authorId="0" shapeId="0" xr:uid="{2F6F1F0D-DBD4-45F6-A096-BB5B105BC2EB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20" authorId="1" shapeId="0" xr:uid="{4AFC8DA6-B73A-4419-ADE1-DF791869D0D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21" authorId="2" shapeId="0" xr:uid="{151FC855-CB64-4CAA-8DFE-FFD12BD922FE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tc={5F3D08C7-40D1-4AC5-8A0A-B41D482C9382}</author>
    <author>tc={1A79043D-3063-41E0-9662-9F6A90A3A0E2}</author>
    <author>tc={A9AD0D45-93CD-4AC8-93C7-17AC709B5B44}</author>
  </authors>
  <commentList>
    <comment ref="E13" authorId="0" shapeId="0" xr:uid="{5F3D08C7-40D1-4AC5-8A0A-B41D482C938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15" authorId="1" shapeId="0" xr:uid="{1A79043D-3063-41E0-9662-9F6A90A3A0E2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16" authorId="2" shapeId="0" xr:uid="{A9AD0D45-93CD-4AC8-93C7-17AC709B5B44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tc={81294373-99F5-4C2A-A86F-6AD5B99009E6}</author>
    <author>tc={C3DD79EE-8BE6-4388-90AD-C76DD801A9F1}</author>
    <author>tc={BE592D27-A6E0-46AE-84BF-8A1C146CCB59}</author>
  </authors>
  <commentList>
    <comment ref="E13" authorId="0" shapeId="0" xr:uid="{81294373-99F5-4C2A-A86F-6AD5B99009E6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15" authorId="1" shapeId="0" xr:uid="{C3DD79EE-8BE6-4388-90AD-C76DD801A9F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16" authorId="2" shapeId="0" xr:uid="{BE592D27-A6E0-46AE-84BF-8A1C146CCB59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tc={7649218B-3448-4BE5-8AD9-9473DC24241D}</author>
    <author>tc={0B270DA5-A1A3-4CE0-931D-0F835B7F77A1}</author>
    <author>tc={F4D0945A-BE0A-4B20-BDBC-0B4D5E729205}</author>
  </authors>
  <commentList>
    <comment ref="E13" authorId="0" shapeId="0" xr:uid="{7649218B-3448-4BE5-8AD9-9473DC24241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15" authorId="1" shapeId="0" xr:uid="{0B270DA5-A1A3-4CE0-931D-0F835B7F77A1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16" authorId="2" shapeId="0" xr:uid="{F4D0945A-BE0A-4B20-BDBC-0B4D5E729205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tc={2B863257-1906-4FEA-A147-2FABA3D3F63D}</author>
    <author>tc={AA600FD9-B073-48EB-83DB-4A58D34E1BB4}</author>
    <author>tc={E6219285-784B-40E8-AE84-3EA5E793CA19}</author>
  </authors>
  <commentList>
    <comment ref="E13" authorId="0" shapeId="0" xr:uid="{2B863257-1906-4FEA-A147-2FABA3D3F63D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15" authorId="1" shapeId="0" xr:uid="{AA600FD9-B073-48EB-83DB-4A58D34E1BB4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16" authorId="2" shapeId="0" xr:uid="{E6219285-784B-40E8-AE84-3EA5E793CA19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tc={1BEBB4DD-832D-45A2-A292-5831E5E38874}</author>
    <author>tc={32745915-D15A-4E7F-AE6C-5D5E1BB4DB20}</author>
    <author>tc={661728B9-218B-4AB0-B36A-609228D49263}</author>
    <author>tc={0144196E-F8D8-4F52-B931-80987339E66C}</author>
  </authors>
  <commentList>
    <comment ref="I11" authorId="0" shapeId="0" xr:uid="{1BEBB4DD-832D-45A2-A292-5831E5E38874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Not null only for China, this exception is handled in the sheet SGS prod CN</t>
      </text>
    </comment>
    <comment ref="E16" authorId="1" shapeId="0" xr:uid="{32745915-D15A-4E7F-AE6C-5D5E1BB4DB20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18" authorId="2" shapeId="0" xr:uid="{661728B9-218B-4AB0-B36A-609228D49263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  <comment ref="E19" authorId="3" shapeId="0" xr:uid="{0144196E-F8D8-4F52-B931-80987339E66C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To be previously aggregated on Exiobase</t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tc={C47CA2D9-2B88-45B1-9442-A9E68ED021A6}</author>
  </authors>
  <commentList>
    <comment ref="C8" authorId="0" shapeId="0" xr:uid="{C47CA2D9-2B88-45B1-9442-A9E68ED021A6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In practive this is much less impactful than the average HFC on GWP (circa un decimo)</t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tc={ED721A22-E355-49AA-9BEB-5DEBCC0E4416}</author>
  </authors>
  <commentList>
    <comment ref="C6" authorId="0" shapeId="0" xr:uid="{ED721A22-E355-49AA-9BEB-5DEBCC0E4416}">
      <text>
        <t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In practive this is much less impactful than the average HFC on GWP (circa un decimo)</t>
      </text>
    </comment>
  </commentList>
</comments>
</file>

<file path=xl/sharedStrings.xml><?xml version="1.0" encoding="utf-8"?>
<sst xmlns="http://schemas.openxmlformats.org/spreadsheetml/2006/main" count="60312" uniqueCount="770">
  <si>
    <t>Region</t>
  </si>
  <si>
    <t>Activity</t>
  </si>
  <si>
    <t>Commodity</t>
  </si>
  <si>
    <t>Inventory sheet</t>
  </si>
  <si>
    <t>Quantity</t>
  </si>
  <si>
    <t>Unit</t>
  </si>
  <si>
    <t>Market share</t>
  </si>
  <si>
    <t>Final consumption</t>
  </si>
  <si>
    <t>Consumption category</t>
  </si>
  <si>
    <t>Parent Activity</t>
  </si>
  <si>
    <t>Leave empty</t>
  </si>
  <si>
    <t>Source</t>
  </si>
  <si>
    <t>Notes</t>
  </si>
  <si>
    <t>GLOBAL</t>
  </si>
  <si>
    <t>PV end of life management - landfill</t>
  </si>
  <si>
    <t>landfill</t>
  </si>
  <si>
    <t>m2</t>
  </si>
  <si>
    <t>Final consumption expenditure by households</t>
  </si>
  <si>
    <t>PV end of life management - recycle</t>
  </si>
  <si>
    <t>partial recycling</t>
  </si>
  <si>
    <t>CN</t>
  </si>
  <si>
    <t>PV modules production</t>
  </si>
  <si>
    <t>PV modules</t>
  </si>
  <si>
    <t>PV prod CN</t>
  </si>
  <si>
    <t>EU27</t>
  </si>
  <si>
    <t>PV prod EU</t>
  </si>
  <si>
    <t>WL</t>
  </si>
  <si>
    <t>PV prod US</t>
  </si>
  <si>
    <t>US</t>
  </si>
  <si>
    <t>BR</t>
  </si>
  <si>
    <t>WM</t>
  </si>
  <si>
    <t>PV prod APAC</t>
  </si>
  <si>
    <t>RU</t>
  </si>
  <si>
    <t>ZA</t>
  </si>
  <si>
    <t>NO</t>
  </si>
  <si>
    <t>IN</t>
  </si>
  <si>
    <t>JP</t>
  </si>
  <si>
    <t>WA</t>
  </si>
  <si>
    <t>CA</t>
  </si>
  <si>
    <t>ID</t>
  </si>
  <si>
    <t>WF</t>
  </si>
  <si>
    <t>AU</t>
  </si>
  <si>
    <t>TR</t>
  </si>
  <si>
    <t>GB</t>
  </si>
  <si>
    <t>MX</t>
  </si>
  <si>
    <t>CH</t>
  </si>
  <si>
    <t>KR</t>
  </si>
  <si>
    <t>WE</t>
  </si>
  <si>
    <t>Cells production</t>
  </si>
  <si>
    <t>Cells</t>
  </si>
  <si>
    <t>Cell prod CN</t>
  </si>
  <si>
    <t>Cell prod EU</t>
  </si>
  <si>
    <t>Cell prod US</t>
  </si>
  <si>
    <t>Cell prod APAC</t>
  </si>
  <si>
    <t>Metallization paste production</t>
  </si>
  <si>
    <t>Metallization paste</t>
  </si>
  <si>
    <t>Paste</t>
  </si>
  <si>
    <t>kg</t>
  </si>
  <si>
    <t>Silane production</t>
  </si>
  <si>
    <t>Silane</t>
  </si>
  <si>
    <t>Wafer production</t>
  </si>
  <si>
    <t>Wafer</t>
  </si>
  <si>
    <t>Wafer prod CN</t>
  </si>
  <si>
    <t>Wafer prod EU</t>
  </si>
  <si>
    <t>Wafer prod US</t>
  </si>
  <si>
    <t>Wafer prod APAC</t>
  </si>
  <si>
    <t>Ingot production</t>
  </si>
  <si>
    <t>Ingot</t>
  </si>
  <si>
    <t>Ingot prod CN</t>
  </si>
  <si>
    <t>Ingot prod EU</t>
  </si>
  <si>
    <t>Ingot prod US</t>
  </si>
  <si>
    <t>Ingot prod APAC</t>
  </si>
  <si>
    <t>Solar Grade silicon production</t>
  </si>
  <si>
    <t>Solar Grade silicon</t>
  </si>
  <si>
    <t>SGS prod CN</t>
  </si>
  <si>
    <t>SGS prod EU</t>
  </si>
  <si>
    <t>SGS prod US</t>
  </si>
  <si>
    <t>SGS prod APAC</t>
  </si>
  <si>
    <t>Metallurgical Grade silicon production</t>
  </si>
  <si>
    <t>Metallurgical Grade silicon</t>
  </si>
  <si>
    <t>MGS prod</t>
  </si>
  <si>
    <t>Fluorspar, 97% production</t>
  </si>
  <si>
    <t>Fluorspar, 97%</t>
  </si>
  <si>
    <t>CaF2 97%</t>
  </si>
  <si>
    <t>Hydrogen fluoride production</t>
  </si>
  <si>
    <t>Hydrogen fluoride</t>
  </si>
  <si>
    <t>HF</t>
  </si>
  <si>
    <t>1,1-difluoroethane, HFC-152a production</t>
  </si>
  <si>
    <t>1,1-difluoroethane, HFC-152a</t>
  </si>
  <si>
    <t>HFC-152a</t>
  </si>
  <si>
    <t>Vinyl fluoride prod</t>
  </si>
  <si>
    <t>Vinyl fluoride</t>
  </si>
  <si>
    <t>VF</t>
  </si>
  <si>
    <t>Polyvinylfluoride prod</t>
  </si>
  <si>
    <t>Polyvinylfluoride</t>
  </si>
  <si>
    <t>PVF</t>
  </si>
  <si>
    <t>Polyvinylfluoride, dispersion prod</t>
  </si>
  <si>
    <t>Polyvinylfluoride, dispersion</t>
  </si>
  <si>
    <t>PVF disp</t>
  </si>
  <si>
    <t>Polyvinylfluoride film prod</t>
  </si>
  <si>
    <t>Polyvinylfluoride film</t>
  </si>
  <si>
    <t>PVF film</t>
  </si>
  <si>
    <t>Solar Power Plant</t>
  </si>
  <si>
    <t>Solar</t>
  </si>
  <si>
    <t>PV use CN</t>
  </si>
  <si>
    <t>TJ</t>
  </si>
  <si>
    <t>PV use EU</t>
  </si>
  <si>
    <t>PV use US</t>
  </si>
  <si>
    <t>PV use APAC</t>
  </si>
  <si>
    <t>APAC</t>
  </si>
  <si>
    <t>EU</t>
  </si>
  <si>
    <t>Electricity</t>
  </si>
  <si>
    <t>Hydrogen</t>
  </si>
  <si>
    <t>Coal</t>
  </si>
  <si>
    <t>Coal gasification hydrogen</t>
  </si>
  <si>
    <t>Gas</t>
  </si>
  <si>
    <t>Coal gasification hydrogen with CCS</t>
  </si>
  <si>
    <t>Nuclear</t>
  </si>
  <si>
    <t>Electrolysis hydrogen</t>
  </si>
  <si>
    <t>Hydro</t>
  </si>
  <si>
    <t>Steam reforming hydrogen</t>
  </si>
  <si>
    <t>Wind</t>
  </si>
  <si>
    <t>Steam reforming hydrogen with CCS</t>
  </si>
  <si>
    <t>Other Fossil</t>
  </si>
  <si>
    <t>Other Renewables</t>
  </si>
  <si>
    <t>Bioenergy</t>
  </si>
  <si>
    <t>Input</t>
  </si>
  <si>
    <t>Item type</t>
  </si>
  <si>
    <t>DB Item</t>
  </si>
  <si>
    <t>DB Region</t>
  </si>
  <si>
    <t>Change type</t>
  </si>
  <si>
    <t>unit</t>
  </si>
  <si>
    <t>AEL-EAF</t>
  </si>
  <si>
    <t>None</t>
  </si>
  <si>
    <t>Activities auxiliary to financial intermediation (67)</t>
  </si>
  <si>
    <t>Activities of membership organisation n.e.c. (91)</t>
  </si>
  <si>
    <t>Air transport (62)</t>
  </si>
  <si>
    <t>Aluminium production</t>
  </si>
  <si>
    <t>Animal products nec</t>
  </si>
  <si>
    <t>BF-BOF-BECCSmax</t>
  </si>
  <si>
    <t>BF-BOF-BECCSmin</t>
  </si>
  <si>
    <t>BF-BOF-CCS-73%</t>
  </si>
  <si>
    <t>BF-BOF-CCS-86%</t>
  </si>
  <si>
    <t>Biogasification of food waste, incl. land application</t>
  </si>
  <si>
    <t>Biogasification of paper, incl. land application</t>
  </si>
  <si>
    <t>Biogasification of sewage slugde, incl. land application</t>
  </si>
  <si>
    <t>Blast furnace gas production</t>
  </si>
  <si>
    <t>Casting of metals</t>
  </si>
  <si>
    <t>Cattle farming</t>
  </si>
  <si>
    <t>Chemicals nec</t>
  </si>
  <si>
    <t>Collection, purification and distribution of water (41)</t>
  </si>
  <si>
    <t>Composting of food waste, incl. land application</t>
  </si>
  <si>
    <t>Composting of paper and wood, incl. land application</t>
  </si>
  <si>
    <t>Computer and related activities (72)</t>
  </si>
  <si>
    <t>Construction (45)</t>
  </si>
  <si>
    <t>Copper production</t>
  </si>
  <si>
    <t>Cultivation of cereal grains nec</t>
  </si>
  <si>
    <t>Cultivation of crops nec</t>
  </si>
  <si>
    <t>Cultivation of oil seeds</t>
  </si>
  <si>
    <t>Cultivation of paddy rice</t>
  </si>
  <si>
    <t>Cultivation of plant-based fibers</t>
  </si>
  <si>
    <t>Cultivation of sugar cane, sugar beet</t>
  </si>
  <si>
    <t>Cultivation of vegetables, fruit, nuts</t>
  </si>
  <si>
    <t>Cultivation of wheat</t>
  </si>
  <si>
    <t>DRI-EAF-BECCS</t>
  </si>
  <si>
    <t>DRI-EAF-COAL</t>
  </si>
  <si>
    <t>DRI-EAF-COAL-CCS</t>
  </si>
  <si>
    <t>DRI-EAF-H2</t>
  </si>
  <si>
    <t>DRI-EAF-NG</t>
  </si>
  <si>
    <t>DRI-EAF-NG-CCS</t>
  </si>
  <si>
    <t>DRI-SAF-BOF-BECCS</t>
  </si>
  <si>
    <t>DRI-SAF-BOF-H2</t>
  </si>
  <si>
    <t>DRI-SAF-BOF-NG</t>
  </si>
  <si>
    <t>Distribution and trade of electricity</t>
  </si>
  <si>
    <t>Distribution of gaseous fuels through mains</t>
  </si>
  <si>
    <t>Education (80)</t>
  </si>
  <si>
    <t>Extra-territorial organizations and bodies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</si>
  <si>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</si>
  <si>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</si>
  <si>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</si>
  <si>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Financial intermediation, except insurance and pension funding (65)</t>
  </si>
  <si>
    <t>Fishing, operating of fish hatcheries and fish farms; service activities incidental to fishing (05)</t>
  </si>
  <si>
    <t>Forestry, logging and related service activities (02)</t>
  </si>
  <si>
    <t>Health and social work (85)</t>
  </si>
  <si>
    <t>Hotels and restaurants (55)</t>
  </si>
  <si>
    <t>Hydrogen production with coal gasification</t>
  </si>
  <si>
    <t>Hydrogen production with coal gasification with CCS</t>
  </si>
  <si>
    <t>Hydrogen production with electrolysis</t>
  </si>
  <si>
    <t>Hydrogen production with steam reforming</t>
  </si>
  <si>
    <t>Hydrogen production with steam reforming with CCS</t>
  </si>
  <si>
    <t>Incineration of waste: Food</t>
  </si>
  <si>
    <t>Incineration of waste: Metals and Inert materials</t>
  </si>
  <si>
    <t>Incineration of waste: Oil/Hazardous waste</t>
  </si>
  <si>
    <t>Incineration of waste: Paper</t>
  </si>
  <si>
    <t>Incineration of waste: Plastic</t>
  </si>
  <si>
    <t>Incineration of waste: Textiles</t>
  </si>
  <si>
    <t>Incineration of waste: Wood</t>
  </si>
  <si>
    <t>Inland water transport</t>
  </si>
  <si>
    <t>Insurance and pension funding, except compulsory social security (66)</t>
  </si>
  <si>
    <t>Landfill of waste: Food</t>
  </si>
  <si>
    <t>Landfill of waste: Inert/metal/hazardous</t>
  </si>
  <si>
    <t>Landfill of waste: Paper</t>
  </si>
  <si>
    <t>Landfill of waste: Plastic</t>
  </si>
  <si>
    <t>Landfill of waste: Textiles</t>
  </si>
  <si>
    <t>Landfill of waste: Wood</t>
  </si>
  <si>
    <t>Lead, zinc and tin production</t>
  </si>
  <si>
    <t>MOE</t>
  </si>
  <si>
    <t>Manufacture of basic iron and steel and of ferro-alloys and first products thereof</t>
  </si>
  <si>
    <t>Manufacture of beverages</t>
  </si>
  <si>
    <t>Manufacture of bricks, tiles and construction products, in baked clay</t>
  </si>
  <si>
    <t>Manufacture of cement, lime and plaster</t>
  </si>
  <si>
    <t>Manufacture of ceramic goods</t>
  </si>
  <si>
    <t>Manufacture of coke oven products</t>
  </si>
  <si>
    <t>Manufacture of electrical machinery and apparatus n.e.c. (31)</t>
  </si>
  <si>
    <t>Manufacture of fabricated metal products, except machinery and equipment (28)</t>
  </si>
  <si>
    <t>Manufacture of fish products</t>
  </si>
  <si>
    <t>Manufacture of furniture; manufacturing n.e.c. (36)</t>
  </si>
  <si>
    <t>Manufacture of gas;</t>
  </si>
  <si>
    <t>Manufacture of glass and glass products</t>
  </si>
  <si>
    <t>Manufacture of machinery and equipment n.e.c. (29)</t>
  </si>
  <si>
    <t>Manufacture of medical, precision and optical instruments, watches and clocks (33)</t>
  </si>
  <si>
    <t>Manufacture of motor vehicles, trailers and semi-trailers (34)</t>
  </si>
  <si>
    <t>Manufacture of office machinery and computers (30)</t>
  </si>
  <si>
    <t>Manufacture of other non-metallic mineral products n.e.c.</t>
  </si>
  <si>
    <t>Manufacture of other transport equipment (35)</t>
  </si>
  <si>
    <t>Manufacture of radio, television and communication equipment and apparatus (32)</t>
  </si>
  <si>
    <t>Manufacture of rubber and plastic products (25)</t>
  </si>
  <si>
    <t>Manufacture of textiles (17)</t>
  </si>
  <si>
    <t>Manufacture of tobacco products (16)</t>
  </si>
  <si>
    <t>Manufacture of wearing apparel; dressing and dyeing of fur (18)</t>
  </si>
  <si>
    <t>Manufacture of wood and of products of wood and cork, except furniture; manufacture of articles of straw and plaiting materials (20)</t>
  </si>
  <si>
    <t>Manufacturing of electrolyser</t>
  </si>
  <si>
    <t>Manufacturing of steam reformer</t>
  </si>
  <si>
    <t>Manure treatment (biogas), storage and land application</t>
  </si>
  <si>
    <t>Manure treatment (conventional), storage and land application</t>
  </si>
  <si>
    <t>Meat animals nec</t>
  </si>
  <si>
    <t>Mining of aluminium ores and concentrates</t>
  </si>
  <si>
    <t>Mining of chemical and fertilizer minerals, production of salt, other mining and quarrying n.e.c.</t>
  </si>
  <si>
    <t>Mining of coal and lignite; extraction of peat (10)</t>
  </si>
  <si>
    <t>Mining of copper ores and concentrates</t>
  </si>
  <si>
    <t>Mining of iron ores</t>
  </si>
  <si>
    <t>Mining of lead, zinc and tin ores and concentrates</t>
  </si>
  <si>
    <t>Mining of nickel ores and concentrates</t>
  </si>
  <si>
    <t>Mining of other non-ferrous metal ores and concentrates</t>
  </si>
  <si>
    <t>Mining of precious metal ores and concentrates</t>
  </si>
  <si>
    <t>Mining of uranium and thorium ores (12)</t>
  </si>
  <si>
    <t>N-fertiliser</t>
  </si>
  <si>
    <t>Other business activities (74)</t>
  </si>
  <si>
    <t>Other land transport</t>
  </si>
  <si>
    <t>Other non-ferrous metal production</t>
  </si>
  <si>
    <t>Other service activities (93)</t>
  </si>
  <si>
    <t>Oxygen steel furnace gas production</t>
  </si>
  <si>
    <t>P- and other fertiliser</t>
  </si>
  <si>
    <t>Paper</t>
  </si>
  <si>
    <t>Petroleum Refinery</t>
  </si>
  <si>
    <t>Pigs farming</t>
  </si>
  <si>
    <t>Plastics, basic</t>
  </si>
  <si>
    <t>Post and telecommunications (64)</t>
  </si>
  <si>
    <t>Poultry farming</t>
  </si>
  <si>
    <t>Precious metals production</t>
  </si>
  <si>
    <t>Private households with employed persons (95)</t>
  </si>
  <si>
    <t>Processed rice</t>
  </si>
  <si>
    <t>Processing of Food products nec</t>
  </si>
  <si>
    <t>Processing of dairy products</t>
  </si>
  <si>
    <t>Processing of meat cattle</t>
  </si>
  <si>
    <t>Processing of meat pigs</t>
  </si>
  <si>
    <t>Processing of meat poultry</t>
  </si>
  <si>
    <t>Processing of nuclear fuel</t>
  </si>
  <si>
    <t>Processing vegetable oils and fats</t>
  </si>
  <si>
    <t>Production of meat products nec</t>
  </si>
  <si>
    <t>Public administration and defence; compulsory social security (75)</t>
  </si>
  <si>
    <t>Publishing, printing and reproduction of recorded media (22)</t>
  </si>
  <si>
    <t>Pulp</t>
  </si>
  <si>
    <t>Quarrying of sand and clay</t>
  </si>
  <si>
    <t>Quarrying of stone</t>
  </si>
  <si>
    <t>Raw milk</t>
  </si>
  <si>
    <t>Re-processing of ash into clinker</t>
  </si>
  <si>
    <t>Re-processing of secondary aluminium into new aluminium</t>
  </si>
  <si>
    <t>Re-processing of secondary construction material into aggregates</t>
  </si>
  <si>
    <t>Re-processing of secondary copper into new copper</t>
  </si>
  <si>
    <t>Re-processing of secondary glass into new glass</t>
  </si>
  <si>
    <t>Re-processing of secondary lead into new lead</t>
  </si>
  <si>
    <t>Re-processing of secondary other non-ferrous metals into new other non-ferrous metals</t>
  </si>
  <si>
    <t>Re-processing of secondary paper into new pulp</t>
  </si>
  <si>
    <t>Re-processing of secondary plastic into new plastic</t>
  </si>
  <si>
    <t>Re-processing of secondary preciuos metals into new preciuos metals</t>
  </si>
  <si>
    <t>Re-processing of secondary steel into new steel</t>
  </si>
  <si>
    <t>Re-processing of secondary wood material into new wood material</t>
  </si>
  <si>
    <t>Real estate activities (70)</t>
  </si>
  <si>
    <t>Recreational, cultural and sporting activities (92)</t>
  </si>
  <si>
    <t>Recycling of bottles by direct reuse</t>
  </si>
  <si>
    <t>Recycling of waste and scrap</t>
  </si>
  <si>
    <t>Renting of machinery and equipment without operator and of personal and household goods (71)</t>
  </si>
  <si>
    <t>Research and development (73)</t>
  </si>
  <si>
    <t>Retail sale of automotive fuel</t>
  </si>
  <si>
    <t>Retail trade, except of motor vehicles and motorcycles; repair of personal and household goods (52)</t>
  </si>
  <si>
    <t>SR-BOF</t>
  </si>
  <si>
    <t>SR-BOF-CCS</t>
  </si>
  <si>
    <t>Sale, maintenance, repair of motor vehicles, motor vehicles parts, motorcycles, motor cycles parts and accessoiries</t>
  </si>
  <si>
    <t>Sea and coastal water transport</t>
  </si>
  <si>
    <t>Steam and hot water supply</t>
  </si>
  <si>
    <t>Sugar refining</t>
  </si>
  <si>
    <t>Supporting and auxiliary transport activities; activities of travel agencies (63)</t>
  </si>
  <si>
    <t>Tanning and dressing of leather; manufacture of luggage, handbags, saddlery, harness and footwear (19)</t>
  </si>
  <si>
    <t>Transmission of electricity</t>
  </si>
  <si>
    <t>Transport via pipelines</t>
  </si>
  <si>
    <t>Transport via railways</t>
  </si>
  <si>
    <t>Waste water treatment, food</t>
  </si>
  <si>
    <t>Waste water treatment, other</t>
  </si>
  <si>
    <t>Wholesale trade and commission trade, except of motor vehicles and motorcycles (51)</t>
  </si>
  <si>
    <t>Wool, silk-worm cocoons</t>
  </si>
  <si>
    <t>Additives/Blending Components</t>
  </si>
  <si>
    <t>tonnes</t>
  </si>
  <si>
    <t>Air transport services (62)</t>
  </si>
  <si>
    <t>Meuro</t>
  </si>
  <si>
    <t>Aluminium and aluminium products</t>
  </si>
  <si>
    <t>Aluminium ores and concentrates</t>
  </si>
  <si>
    <t>Anthracite</t>
  </si>
  <si>
    <t>Ash for treatment; Re-processing of ash into clinker</t>
  </si>
  <si>
    <t>tonnes (service)</t>
  </si>
  <si>
    <t>Aviation Gasoline</t>
  </si>
  <si>
    <t>BKB/Peat Briquettes</t>
  </si>
  <si>
    <t>Basic iron and steel and of ferro-alloys and first products thereof</t>
  </si>
  <si>
    <t>Beverages</t>
  </si>
  <si>
    <t>Biodiesels</t>
  </si>
  <si>
    <t>Biogas</t>
  </si>
  <si>
    <t>Biogasoline</t>
  </si>
  <si>
    <t>Bitumen</t>
  </si>
  <si>
    <t>Blast Furnace Gas</t>
  </si>
  <si>
    <t>Bottles for treatment; Recycling of bottles by direct reuse</t>
  </si>
  <si>
    <t>Bricks; tiles and construction products; in baked clay</t>
  </si>
  <si>
    <t>Cattle</t>
  </si>
  <si>
    <t>Cement; lime and plaster</t>
  </si>
  <si>
    <t>Ceramic goods</t>
  </si>
  <si>
    <t>Cereal grains nec</t>
  </si>
  <si>
    <t>Charcoal</t>
  </si>
  <si>
    <t>Chemical and fertilizer minerals; salt and other mining and quarrying products n.e.c.</t>
  </si>
  <si>
    <t>Coal Tar</t>
  </si>
  <si>
    <t>Coke Oven Coke</t>
  </si>
  <si>
    <t>Coke oven gas</t>
  </si>
  <si>
    <t>Coking Coal</t>
  </si>
  <si>
    <t>Collected and purified water; distribution services of water (41)</t>
  </si>
  <si>
    <t>Computer and related services (72)</t>
  </si>
  <si>
    <t>Construction work (45)</t>
  </si>
  <si>
    <t>Copper ores and concentrates</t>
  </si>
  <si>
    <t>Copper products</t>
  </si>
  <si>
    <t>Crops nec</t>
  </si>
  <si>
    <t>Crude petroleum and services related to crude oil extraction; excluding surveying</t>
  </si>
  <si>
    <t>Dairy products</t>
  </si>
  <si>
    <t>Distribution and trade services of electricity</t>
  </si>
  <si>
    <t>Distribution services of gaseous fuels through mains</t>
  </si>
  <si>
    <t>Education services (80)</t>
  </si>
  <si>
    <t>Electrical machinery and apparatus n.e.c. (31)</t>
  </si>
  <si>
    <t>Electrolyser</t>
  </si>
  <si>
    <t>Ethane</t>
  </si>
  <si>
    <t>Fabricated metal products; except machinery and equipment (28)</t>
  </si>
  <si>
    <t>Financial intermediation services; except insurance and pension funding services (65)</t>
  </si>
  <si>
    <t>Fish and other fishing products; services incidental of fishing (05)</t>
  </si>
  <si>
    <t>Fish products</t>
  </si>
  <si>
    <t>Food products nec</t>
  </si>
  <si>
    <t>Food waste for treatment: biogasification and land application</t>
  </si>
  <si>
    <t>Food waste for treatment: composting and land application</t>
  </si>
  <si>
    <t>Food waste for treatment: incineration</t>
  </si>
  <si>
    <t>Food waste for treatment: landfill</t>
  </si>
  <si>
    <t>Food waste for treatment: waste water treatment</t>
  </si>
  <si>
    <t>Foundry work services</t>
  </si>
  <si>
    <t>Furniture; other manufactured goods n.e.c. (36)</t>
  </si>
  <si>
    <t>Gas Coke</t>
  </si>
  <si>
    <t>Gas Works Gas</t>
  </si>
  <si>
    <t>Gas/Diesel Oil</t>
  </si>
  <si>
    <t>Gasoline Type Jet Fuel</t>
  </si>
  <si>
    <t>Glass and glass products</t>
  </si>
  <si>
    <t>Health and social work services (85)</t>
  </si>
  <si>
    <t>Heavy Fuel Oil</t>
  </si>
  <si>
    <t>Hotel and restaurant services (55)</t>
  </si>
  <si>
    <t>Inert/metal/hazardous waste for treatment: landfill</t>
  </si>
  <si>
    <t>Inland water transportation services</t>
  </si>
  <si>
    <t>Insurance and pension funding services; except compulsory social security services (66)</t>
  </si>
  <si>
    <t>Intert/metal waste for treatment: incineration</t>
  </si>
  <si>
    <t>Iron ores</t>
  </si>
  <si>
    <t>Kerosene</t>
  </si>
  <si>
    <t>Kerosene Type Jet Fuel</t>
  </si>
  <si>
    <t>Lead; zinc and tin and products thereof</t>
  </si>
  <si>
    <t>Lead; zinc and tin ores and concentrates</t>
  </si>
  <si>
    <t>Leather and leather products (19)</t>
  </si>
  <si>
    <t>Lignite/Brown Coal</t>
  </si>
  <si>
    <t>Liquefied Petroleum Gases (LPG)</t>
  </si>
  <si>
    <t>Lubricants</t>
  </si>
  <si>
    <t>Machinery and equipment n.e.c. (29)</t>
  </si>
  <si>
    <t>Manure (biogas treatment)</t>
  </si>
  <si>
    <t>Manure (conventional treatment)</t>
  </si>
  <si>
    <t>Meat products nec</t>
  </si>
  <si>
    <t>Medical; precision and optical instruments; watches and clocks (33)</t>
  </si>
  <si>
    <t>Membership organisation services n.e.c. (91)</t>
  </si>
  <si>
    <t>Motor Gasoline</t>
  </si>
  <si>
    <t>Motor vehicles; trailers and semi-trailers (34)</t>
  </si>
  <si>
    <t>Naphtha</t>
  </si>
  <si>
    <t>Natural Gas Liquids</t>
  </si>
  <si>
    <t>Natural gas and services related to natural gas extraction; excluding surveying</t>
  </si>
  <si>
    <t>Nickel ores and concentrates</t>
  </si>
  <si>
    <t>Non-specified Petroleum Products</t>
  </si>
  <si>
    <t>Nuclear fuel</t>
  </si>
  <si>
    <t>Office machinery and computers (30)</t>
  </si>
  <si>
    <t>Oil seeds</t>
  </si>
  <si>
    <t>Oil/hazardous waste for treatment: incineration</t>
  </si>
  <si>
    <t>Other Bituminous Coal</t>
  </si>
  <si>
    <t>Other Hydrocarbons</t>
  </si>
  <si>
    <t>Other Liquid Biofuels</t>
  </si>
  <si>
    <t>Other business services (74)</t>
  </si>
  <si>
    <t>Other land transportation services</t>
  </si>
  <si>
    <t>Other non-ferrous metal ores and concentrates</t>
  </si>
  <si>
    <t>Other non-ferrous metal products</t>
  </si>
  <si>
    <t>Other non-metallic mineral products</t>
  </si>
  <si>
    <t>Other services (93)</t>
  </si>
  <si>
    <t>Other transport equipment (35)</t>
  </si>
  <si>
    <t>Other waste for treatment: waste water treatment</t>
  </si>
  <si>
    <t>Oxygen Steel Furnace Gas</t>
  </si>
  <si>
    <t>Paddy rice</t>
  </si>
  <si>
    <t>Paper and paper products</t>
  </si>
  <si>
    <t>Paper and wood waste for treatment: composting and land application</t>
  </si>
  <si>
    <t>Paper for treatment: landfill</t>
  </si>
  <si>
    <t>Paper waste for treatment: biogasification and land application</t>
  </si>
  <si>
    <t>Paper waste for treatment: incineration</t>
  </si>
  <si>
    <t>Paraffin Waxes</t>
  </si>
  <si>
    <t>Patent Fuel</t>
  </si>
  <si>
    <t>Peat</t>
  </si>
  <si>
    <t>Petroleum Coke</t>
  </si>
  <si>
    <t>Pigs</t>
  </si>
  <si>
    <t>Plant-based fibers</t>
  </si>
  <si>
    <t>Plastic waste for treatment: incineration</t>
  </si>
  <si>
    <t>Plastic waste for treatment: landfill</t>
  </si>
  <si>
    <t>Plastics; basic</t>
  </si>
  <si>
    <t>Post and telecommunication services (64)</t>
  </si>
  <si>
    <t>Poultry</t>
  </si>
  <si>
    <t>Precious metal ores and concentrates</t>
  </si>
  <si>
    <t>Precious metals</t>
  </si>
  <si>
    <t>Printed matter and recorded media (22)</t>
  </si>
  <si>
    <t>Products of forestry; logging and related services (02)</t>
  </si>
  <si>
    <t>Products of meat cattle</t>
  </si>
  <si>
    <t>Products of meat pigs</t>
  </si>
  <si>
    <t>Products of meat poultry</t>
  </si>
  <si>
    <t>Public administration and defence services; compulsory social security services (75)</t>
  </si>
  <si>
    <t>Radio; television and communication equipment and apparatus (32)</t>
  </si>
  <si>
    <t>Railway transportation services</t>
  </si>
  <si>
    <t>Real estate services (70)</t>
  </si>
  <si>
    <t>Recreational; cultural and sporting services (92)</t>
  </si>
  <si>
    <t>Refinery Feedstocks</t>
  </si>
  <si>
    <t>Refinery Gas</t>
  </si>
  <si>
    <t>Renting services of machinery and equipment without operator and of personal and household goods (71)</t>
  </si>
  <si>
    <t>Research and development services (73)</t>
  </si>
  <si>
    <t>Retail  trade services; except of motor vehicles and motorcycles; repair services of personal and household goods (52)</t>
  </si>
  <si>
    <t>Retail trade services of motor fuel</t>
  </si>
  <si>
    <t>Rubber and plastic products (25)</t>
  </si>
  <si>
    <t>Sale; maintenance; repair of motor vehicles; motor vehicles parts; motorcycles; motor cycles parts and accessoiries</t>
  </si>
  <si>
    <t>Sand and clay</t>
  </si>
  <si>
    <t>Sea and coastal water transportation services</t>
  </si>
  <si>
    <t>Secondary aluminium for treatment; Re-processing of secondary aluminium into new aluminium</t>
  </si>
  <si>
    <t>Secondary construction material for treatment; Re-processing of secondary construction material into aggregates</t>
  </si>
  <si>
    <t>Secondary copper for treatment; Re-processing of secondary copper into new copper</t>
  </si>
  <si>
    <t>Secondary glass for treatment; Re-processing of secondary glass into new glass</t>
  </si>
  <si>
    <t>Secondary lead for treatment; Re-processing of secondary lead into new lead</t>
  </si>
  <si>
    <t>Secondary other non-ferrous metals for treatment; Re-processing of secondary other non-ferrous metals into new other non-ferrous metals</t>
  </si>
  <si>
    <t>Secondary paper for treatment; Re-processing of secondary paper into new pulp</t>
  </si>
  <si>
    <t>Secondary plastic for treatment; Re-processing of secondary plastic into new plastic</t>
  </si>
  <si>
    <t>Secondary preciuos metals for treatment; Re-processing of secondary preciuos metals into new preciuos metals</t>
  </si>
  <si>
    <t>Secondary raw materials</t>
  </si>
  <si>
    <t>Secondary steel for treatment; Re-processing of secondary steel into new steel</t>
  </si>
  <si>
    <t>Services auxiliary to financial intermediation (67)</t>
  </si>
  <si>
    <t>Sewage sludge for treatment: biogasification and land application</t>
  </si>
  <si>
    <t>Steam and hot water supply services</t>
  </si>
  <si>
    <t>Steam reformer</t>
  </si>
  <si>
    <t>Stone</t>
  </si>
  <si>
    <t>Sub-Bituminous Coal</t>
  </si>
  <si>
    <t>Sugar</t>
  </si>
  <si>
    <t>Sugar cane; sugar beet</t>
  </si>
  <si>
    <t>Supporting and auxiliary transport services; travel agency services (63)</t>
  </si>
  <si>
    <t>Textiles (17)</t>
  </si>
  <si>
    <t>Textiles waste for treatment: incineration</t>
  </si>
  <si>
    <t>Textiles waste for treatment: landfill</t>
  </si>
  <si>
    <t>Tobacco products (16)</t>
  </si>
  <si>
    <t>Transmission services of electricity</t>
  </si>
  <si>
    <t>Transportation services via pipelines</t>
  </si>
  <si>
    <t>Uranium and thorium ores (12)</t>
  </si>
  <si>
    <t>Vegetables; fruit; nuts</t>
  </si>
  <si>
    <t>Wearing apparel; furs (18)</t>
  </si>
  <si>
    <t>Wheat</t>
  </si>
  <si>
    <t>White Spirit &amp; SBP</t>
  </si>
  <si>
    <t>Wholesale trade and commission trade services; except of motor vehicles and motorcycles (51)</t>
  </si>
  <si>
    <t>Wood and products of wood and cork (except furniture); articles of straw and plaiting materials (20)</t>
  </si>
  <si>
    <t>Wood material for treatment; Re-processing of secondary wood material into new wood material</t>
  </si>
  <si>
    <t>Wood waste for treatment: incineration</t>
  </si>
  <si>
    <t>Wood waste for treatment: landfill</t>
  </si>
  <si>
    <t>Wool; silk-worm cocoons</t>
  </si>
  <si>
    <t>products of Vegetable oils and fats</t>
  </si>
  <si>
    <t>Factor of production</t>
  </si>
  <si>
    <t>Compensation of employees</t>
  </si>
  <si>
    <t>Operating surplus: Consumption of fixed capital</t>
  </si>
  <si>
    <t>Taxes, subsidies and net surplus</t>
  </si>
  <si>
    <t>Satellite account</t>
  </si>
  <si>
    <t>As</t>
  </si>
  <si>
    <t>CH4</t>
  </si>
  <si>
    <t>CO</t>
  </si>
  <si>
    <t>Carbon dioxide</t>
  </si>
  <si>
    <t>Cd</t>
  </si>
  <si>
    <t>Cr</t>
  </si>
  <si>
    <t>Cu</t>
  </si>
  <si>
    <t>Employment</t>
  </si>
  <si>
    <t>1000 persons</t>
  </si>
  <si>
    <t>HFCs</t>
  </si>
  <si>
    <t>Hg</t>
  </si>
  <si>
    <t>N</t>
  </si>
  <si>
    <t>N2O</t>
  </si>
  <si>
    <t>NH3</t>
  </si>
  <si>
    <t>NMVOC</t>
  </si>
  <si>
    <t>NOX</t>
  </si>
  <si>
    <t>Ni</t>
  </si>
  <si>
    <t>Other emissions nec</t>
  </si>
  <si>
    <t>P</t>
  </si>
  <si>
    <t>PM10</t>
  </si>
  <si>
    <t>PM2.5</t>
  </si>
  <si>
    <t>Pb</t>
  </si>
  <si>
    <t>SOx</t>
  </si>
  <si>
    <t>TSP (total suspended particulate)</t>
  </si>
  <si>
    <t>Zn</t>
  </si>
  <si>
    <t>Diesel</t>
  </si>
  <si>
    <t>Update</t>
  </si>
  <si>
    <t>Smith, Brittany L., et al. "An Updated Life Cycle Assessment of Utility-Scale Solar Photovoltaic Systems Installed in the United States." , Mar. 2024. https://doi.org/10.2172/2331447</t>
  </si>
  <si>
    <t>MJ</t>
  </si>
  <si>
    <t>electricity, medium voltage</t>
  </si>
  <si>
    <t>Smith, Brittany L., et al. "An Updated Life Cycle Assessment of Utility-Scale Solar Photovoltaic Systems Installed in the United States." , Mar. 2024. https://doi.org/10.2172/2331448</t>
  </si>
  <si>
    <t>Smith, Brittany L., et al. "An Updated Life Cycle Assessment of Utility-Scale Solar Photovoltaic Systems Installed in the United States." , Mar. 2024. https://doi.org/10.2172/2331449</t>
  </si>
  <si>
    <t>transport, freight, lorry</t>
  </si>
  <si>
    <t>Smith, Brittany L., et al. "An Updated Life Cycle Assessment of Utility-Scale Solar Photovoltaic Systems Installed in the United States." , Mar. 2024. https://doi.org/10.2172/2331450</t>
  </si>
  <si>
    <t>average incineration residue</t>
  </si>
  <si>
    <t>Smith, Brittany L., et al. "An Updated Life Cycle Assessment of Utility-Scale Solar Photovoltaic Systems Installed in the United States." , Mar. 2024. https://doi.org/10.2172/2331451</t>
  </si>
  <si>
    <t>CO2</t>
  </si>
  <si>
    <t>Estimation, emissions related to the combustion of 2.6 MJ of diesel</t>
  </si>
  <si>
    <t>aluminium scrap, post-consumer</t>
  </si>
  <si>
    <t>Smith, Brittany L., et al. "An Updated Life Cycle Assessment of Utility-Scale Solar Photovoltaic Systems Installed in the United States." , Mar. 2024. https://doi.org/10.2172/2331453</t>
  </si>
  <si>
    <t>Smith, Brittany L., et al. "An Updated Life Cycle Assessment of Utility-Scale Solar Photovoltaic Systems Installed in the United States." , Mar. 2024. https://doi.org/10.2172/2331454</t>
  </si>
  <si>
    <t>copper, cathode</t>
  </si>
  <si>
    <t>Smith, Brittany L., et al. "An Updated Life Cycle Assessment of Utility-Scale Solar Photovoltaic Systems Installed in the United States." , Mar. 2024. https://doi.org/10.2172/2331455</t>
  </si>
  <si>
    <t>kWh</t>
  </si>
  <si>
    <t>heat, district or industrial, natural gas</t>
  </si>
  <si>
    <t>heat, district or industrial, other than natural gas</t>
  </si>
  <si>
    <t>lime packed</t>
  </si>
  <si>
    <t>Smith, Brittany L., et al. "An Updated Life Cycle Assessment of Utility-Scale Solar Photovoltaic Systems Installed in the United States." , Mar. 2024. https://doi.org/10.2172/2331452</t>
  </si>
  <si>
    <t>silica sand</t>
  </si>
  <si>
    <t>soda ash light</t>
  </si>
  <si>
    <t>waste plastic, mixture - landfill</t>
  </si>
  <si>
    <t>Smith, Brittany L., et al. "An Updated Life Cycle Assessment of Utility-Scale Solar Photovoltaic Systems Installed in the United States." , Mar. 2024. https://doi.org/10.2172/2331458</t>
  </si>
  <si>
    <t>waste plastic, mixture - incineration</t>
  </si>
  <si>
    <t>Estimation, emissions related to the combustion of 0.016053 of diesel</t>
  </si>
  <si>
    <t>Smith, Brittany L., et al. "An Updated Life Cycle Assessment of Utility-Scale Solar Photovoltaic Systems Installed in the United States." , Mar. 2024. https://doi.org/10.2172/2331456</t>
  </si>
  <si>
    <t>Smith, Brittany L., et al. "An Updated Life Cycle Assessment of Utility-Scale Solar Photovoltaic Systems Installed in the United States." , Mar. 2024. https://doi.org/10.2172/2331457</t>
  </si>
  <si>
    <t>Smith, Brittany L., et al. "An Updated Life Cycle Assessment of Utility-Scale Solar Photovoltaic Systems Installed in the United States." , Mar. 2024. https://doi.org/10.2172/2331459</t>
  </si>
  <si>
    <t>Smith, Brittany L., et al. "An Updated Life Cycle Assessment of Utility-Scale Solar Photovoltaic Systems Installed in the United States." , Mar. 2024. https://doi.org/10.2172/2331460</t>
  </si>
  <si>
    <t>Smith, Brittany L., et al. "An Updated Life Cycle Assessment of Utility-Scale Solar Photovoltaic Systems Installed in the United States." , Mar. 2024. https://doi.org/10.2172/2331461</t>
  </si>
  <si>
    <t>Smith, Brittany L., et al. "An Updated Life Cycle Assessment of Utility-Scale Solar Photovoltaic Systems Installed in the United States." , Mar. 2024. https://doi.org/10.2172/2331462</t>
  </si>
  <si>
    <t>aluminium, wrought alloy</t>
  </si>
  <si>
    <t>epoxy resin, liquid</t>
  </si>
  <si>
    <t>nylon 6</t>
  </si>
  <si>
    <t>polycarbonate</t>
  </si>
  <si>
    <t>polyvinylchloride, bulk 
polymerised</t>
  </si>
  <si>
    <t>wire drawing, copper</t>
  </si>
  <si>
    <t>diesel, burned in building machine</t>
  </si>
  <si>
    <t>electric motor, vehicle</t>
  </si>
  <si>
    <t>petrol, low-sulfur</t>
  </si>
  <si>
    <t>concrete slab</t>
  </si>
  <si>
    <t>ferrite</t>
  </si>
  <si>
    <t>injection moulding</t>
  </si>
  <si>
    <t>lubricating oil</t>
  </si>
  <si>
    <t>reinforcing steel</t>
  </si>
  <si>
    <t>cable, network cable, category 
5, without plugs</t>
  </si>
  <si>
    <t>cable, three-conductor cable</t>
  </si>
  <si>
    <t>capacitor, electrolyte type, &gt;2 
cm height</t>
  </si>
  <si>
    <t>capacitor, film type, for 
through-hole mounting</t>
  </si>
  <si>
    <t>Smith, Brittany L., et al. "An Updated Life Cycle Assessment of Utility-Scale Solar Photovoltaic Systems Installed in the United States." , Mar. 2024. https://doi.org/10.2172/2331463</t>
  </si>
  <si>
    <t>glass fibre reinforced plastic, 
polyamide, injection moulded</t>
  </si>
  <si>
    <t>Smith, Brittany L., et al. "An Updated Life Cycle Assessment of Utility-Scale Solar Photovoltaic Systems Installed in the United States." , Mar. 2024. https://doi.org/10.2172/2331464</t>
  </si>
  <si>
    <t>inductor, ring core choke type</t>
  </si>
  <si>
    <t>Smith, Brittany L., et al. "An Updated Life Cycle Assessment of Utility-Scale Solar Photovoltaic Systems Installed in the United States." , Mar. 2024. https://doi.org/10.2172/2331465</t>
  </si>
  <si>
    <t>integrated circuit, logic type</t>
  </si>
  <si>
    <t>Smith, Brittany L., et al. "An Updated Life Cycle Assessment of Utility-Scale Solar Photovoltaic Systems Installed in the United States." , Mar. 2024. https://doi.org/10.2172/2331466</t>
  </si>
  <si>
    <t>Smith, Brittany L., et al. "An Updated Life Cycle Assessment of Utility-Scale Solar Photovoltaic Systems Installed in the United States." , Mar. 2024. https://doi.org/10.2172/2331467</t>
  </si>
  <si>
    <t>printed wiring board, through-
hole mounted, unspecified, Pb 
free</t>
  </si>
  <si>
    <t>Smith, Brittany L., et al. "An Updated Life Cycle Assessment of Utility-Scale Solar Photovoltaic Systems Installed in the United States." , Mar. 2024. https://doi.org/10.2172/2331468</t>
  </si>
  <si>
    <t>Smith, Brittany L., et al. "An Updated Life Cycle Assessment of Utility-Scale Solar Photovoltaic Systems Installed in the United States." , Mar. 2024. https://doi.org/10.2172/2331469</t>
  </si>
  <si>
    <t>transformer, high voltage use</t>
  </si>
  <si>
    <t>Smith, Brittany L., et al. "An Updated Life Cycle Assessment of Utility-Scale Solar Photovoltaic Systems Installed in the United States." , Mar. 2024. https://doi.org/10.2172/2331470</t>
  </si>
  <si>
    <t>transistor, wired, big size, 
through-hole mounting</t>
  </si>
  <si>
    <t>Smith, Brittany L., et al. "An Updated Life Cycle Assessment of Utility-Scale Solar Photovoltaic Systems Installed in the United States." , Mar. 2024. https://doi.org/10.2172/2331471</t>
  </si>
  <si>
    <t>fan, for power supply unit, 
desktop computer</t>
  </si>
  <si>
    <t>Smith, Brittany L., et al. "An Updated Life Cycle Assessment of Utility-Scale Solar Photovoltaic Systems Installed in the United States." , Mar. 2024. https://doi.org/10.2172/2331472</t>
  </si>
  <si>
    <t>Smith, Brittany L., et al. "An Updated Life Cycle Assessment of Utility-Scale Solar Photovoltaic Systems Installed in the United States." , Mar. 2024. https://doi.org/10.2172/2331473</t>
  </si>
  <si>
    <t>Smith, Brittany L., et al. "An Updated Life Cycle Assessment of Utility-Scale Solar Photovoltaic Systems Installed in the United States." , Mar. 2024. https://doi.org/10.2172/2331474</t>
  </si>
  <si>
    <t>Smith, Brittany L., et al. "An Updated Life Cycle Assessment of Utility-Scale Solar Photovoltaic Systems Installed in the United States." , Mar. 2024. https://doi.org/10.2172/2331475</t>
  </si>
  <si>
    <t>battery cell, Li-ion, LFP</t>
  </si>
  <si>
    <t>corrugated board box</t>
  </si>
  <si>
    <t>photovoltaic panel, single-Si wafer</t>
  </si>
  <si>
    <t>Smith, Brittany L., et al. "An Updated Life Cycle Assessment of Utility-Scale Solar Photovoltaic Systems Installed in the United States." , Mar. 2024. https://doi.org/10.2172/2331476</t>
  </si>
  <si>
    <t>polystyrene, high impact</t>
  </si>
  <si>
    <t>Smith, Brittany L., et al. "An Updated Life Cycle Assessment of Utility-Scale Solar Photovoltaic Systems Installed in the United States." , Mar. 2024. https://doi.org/10.2172/2331477</t>
  </si>
  <si>
    <t>section bar extrusion, aluminium</t>
  </si>
  <si>
    <t>Smith, Brittany L., et al. "An Updated Life Cycle Assessment of Utility-Scale Solar Photovoltaic Systems Installed in the United States." , Mar. 2024. https://doi.org/10.2172/2331478</t>
  </si>
  <si>
    <t>section bar rolling, steel</t>
  </si>
  <si>
    <t>Smith, Brittany L., et al. "An Updated Life Cycle Assessment of Utility-Scale Solar Photovoltaic Systems Installed in the United States." , Mar. 2024. https://doi.org/10.2172/2331479</t>
  </si>
  <si>
    <t>Smith, Brittany L., et al. "An Updated Life Cycle Assessment of Utility-Scale Solar Photovoltaic Systems Installed in the United States." , Mar. 2024. https://doi.org/10.2172/2331480</t>
  </si>
  <si>
    <t>steel, chromium steel 18/8</t>
  </si>
  <si>
    <t>Smith, Brittany L., et al. "An Updated Life Cycle Assessment of Utility-Scale Solar Photovoltaic Systems Installed in the United States." , Mar. 2024. https://doi.org/10.2172/2331481</t>
  </si>
  <si>
    <t>steel, low-alloyed, hot rolled</t>
  </si>
  <si>
    <t>Smith, Brittany L., et al. "An Updated Life Cycle Assessment of Utility-Scale Solar Photovoltaic Systems Installed in the United States." , Mar. 2024. https://doi.org/10.2172/2331482</t>
  </si>
  <si>
    <t>concrete, 25MPa</t>
  </si>
  <si>
    <t>steel, low-alloyed</t>
  </si>
  <si>
    <t>wire drawing, steel</t>
  </si>
  <si>
    <t>Smith, Brittany L., et al. "An Updated Life Cycle Assessment of Utility-Scale Solar Photovoltaic Systems Installed in the United States." , Mar. 2024. https://doi.org/10.2172/2331483</t>
  </si>
  <si>
    <t>zinc coat, coils</t>
  </si>
  <si>
    <t>Smith, Brittany L., et al. "An Updated Life Cycle Assessment of Utility-Scale Solar Photovoltaic Systems Installed in the United States." , Mar. 2024. https://doi.org/10.2172/2331484</t>
  </si>
  <si>
    <t>from U.S. Solar Photovoltaic System Cost Benchmark: Q1 2017, pag 53</t>
  </si>
  <si>
    <t>Estimation, emissions related to the combustion of 0,055 kg of diesel</t>
  </si>
  <si>
    <t>transport, transoceanic freight ship</t>
  </si>
  <si>
    <t>Estimation through UN ComTrade data</t>
  </si>
  <si>
    <t>transport, freight, lorry, fleet average</t>
  </si>
  <si>
    <t>transport, freight, rail</t>
  </si>
  <si>
    <t>EOL</t>
  </si>
  <si>
    <t>photovoltaic cell, single-Si, at plant</t>
  </si>
  <si>
    <t>IEA PVPS Task 12: PV Sustainability (Dec. 2020)</t>
  </si>
  <si>
    <t>aluminium alloy, AlMg3, at plant</t>
  </si>
  <si>
    <t>copper, at regional storage</t>
  </si>
  <si>
    <t>diode, unspecified, at plant</t>
  </si>
  <si>
    <t>silicone product, at plant</t>
  </si>
  <si>
    <t>tin, at regional storage</t>
  </si>
  <si>
    <t>lead, at regional storage</t>
  </si>
  <si>
    <t>solar glass, low-iron, at regional storage</t>
  </si>
  <si>
    <t>tempering, flat glass</t>
  </si>
  <si>
    <t>glass fibre reinforced plastic, polyamide, injection moulding, at plant</t>
  </si>
  <si>
    <t>polyethylene terephthalate, granulate, amorphous, at plant</t>
  </si>
  <si>
    <t>polyethylene, HDPE, granulate, at plant</t>
  </si>
  <si>
    <t>ethylvinylacetate, foil, at plant</t>
  </si>
  <si>
    <t>polyvinylfluoride film, at plant</t>
  </si>
  <si>
    <t>tap water, water balance according to MoeK 2013, at user</t>
  </si>
  <si>
    <t>hydrogen fluoride, at plant</t>
  </si>
  <si>
    <t>1-propanol, at plant</t>
  </si>
  <si>
    <t>isopropanol, at plant</t>
  </si>
  <si>
    <t>potassium hydroxide, at regional storage</t>
  </si>
  <si>
    <t>soap, at plant</t>
  </si>
  <si>
    <t>corrugated board, mixed fibre, single wall, at plant</t>
  </si>
  <si>
    <t>EUR-flat pallet</t>
  </si>
  <si>
    <t>electricity, medium voltage, at grid</t>
  </si>
  <si>
    <t>diesel, burned in building machine, average</t>
  </si>
  <si>
    <t>disposal, municipal solid waste, 22.9% water, to municipal incineration</t>
  </si>
  <si>
    <t>disposal, polyvinylfluoride, 0.2% water, to municipal incineration</t>
  </si>
  <si>
    <t>disposal, plastics, mixture, 15.3% water, to municipal incineration</t>
  </si>
  <si>
    <t>disposal, used mineral oil, 10% water, to hazardous waste incineration</t>
  </si>
  <si>
    <t>R&amp;D</t>
  </si>
  <si>
    <t>Crystalline Silicon Photovoltaic Module US Energy Agency 2018</t>
  </si>
  <si>
    <t>Sales, General and Administrative</t>
  </si>
  <si>
    <t>NMVOC, non-methane volatile organic compounds, unspecified origin</t>
  </si>
  <si>
    <t>Estimation thrugh GHG protocol data</t>
  </si>
  <si>
    <t>single-Si wafer, photovoltaics, at plant</t>
  </si>
  <si>
    <t>metallization paste, front side, at plant</t>
  </si>
  <si>
    <t>metallization paste, back side, at plant</t>
  </si>
  <si>
    <t>metallization paste, back side, aluminium, at plant</t>
  </si>
  <si>
    <t>ammonia, liquid, at regional storehouse</t>
  </si>
  <si>
    <t>phosphoryl chloride, at plant</t>
  </si>
  <si>
    <t>hydrochloric acid, 30% in H2O, at plant</t>
  </si>
  <si>
    <t>sodium hydroxide, 50% in H2O, production mix, at plant</t>
  </si>
  <si>
    <t>lime, hydrated, packed, at plant</t>
  </si>
  <si>
    <t>refrigerant R134a, at plant</t>
  </si>
  <si>
    <t>nitrogen, liquid, at plant</t>
  </si>
  <si>
    <t>silane, at plant</t>
  </si>
  <si>
    <t>natural gas, burned in industrial furnace low-NOX&gt;100kW</t>
  </si>
  <si>
    <t>disposal, waste, Si waferprod., inorg, 9.4% water, to residual material landfill</t>
  </si>
  <si>
    <t>disposal, solvents mixture, 16.5% water, to hazardous waste incineration</t>
  </si>
  <si>
    <t>Aluminium</t>
  </si>
  <si>
    <t>Lead</t>
  </si>
  <si>
    <t>Silicon</t>
  </si>
  <si>
    <t>Silver</t>
  </si>
  <si>
    <t>Tin</t>
  </si>
  <si>
    <t>Ammonia</t>
  </si>
  <si>
    <t>Carbon dioxide, fossil</t>
  </si>
  <si>
    <t>Chlorine</t>
  </si>
  <si>
    <t>2-Propanol</t>
  </si>
  <si>
    <t>Acetaldehyde</t>
  </si>
  <si>
    <t>Ethane, 1,1,1,2-tetrafluoro-, HFC-134a</t>
  </si>
  <si>
    <t>silver, at regional storage</t>
  </si>
  <si>
    <t>aluminium, primary, at plant</t>
  </si>
  <si>
    <t>silica sand, at plant</t>
  </si>
  <si>
    <t>chemicals organic, at plant</t>
  </si>
  <si>
    <t>electricity, medium voltage, production ENTSO, at grid</t>
  </si>
  <si>
    <t>MG-silicon, at plant</t>
  </si>
  <si>
    <t>natural gas, burned in boiler condensing modulating &gt;100kW</t>
  </si>
  <si>
    <t>silicon tetrachloride, at plant</t>
  </si>
  <si>
    <t>hydrogen, liquid, at plant</t>
  </si>
  <si>
    <t>Chloride</t>
  </si>
  <si>
    <t>Copper</t>
  </si>
  <si>
    <t>Nitrogen</t>
  </si>
  <si>
    <t>Phosphate</t>
  </si>
  <si>
    <t>Sodium, ion</t>
  </si>
  <si>
    <t>Zinc</t>
  </si>
  <si>
    <t>Iron</t>
  </si>
  <si>
    <t>Cadmium</t>
  </si>
  <si>
    <t>Chromium</t>
  </si>
  <si>
    <t>Fluoride</t>
  </si>
  <si>
    <t>Mercury</t>
  </si>
  <si>
    <t>Nickel</t>
  </si>
  <si>
    <t>Phosphorus</t>
  </si>
  <si>
    <t>Sulfate</t>
  </si>
  <si>
    <t>CZ single crystalline silicon, photovoltaics, at plant</t>
  </si>
  <si>
    <t>flat glass, uncoated, at plant</t>
  </si>
  <si>
    <t>acetic acid, 98% in H2O, at plant</t>
  </si>
  <si>
    <t>dipropylene glycol monomethyl ether, at plant</t>
  </si>
  <si>
    <t>alkylbenzene sulfonate, linear, petrochemical, at plant</t>
  </si>
  <si>
    <t>acrylic binder, 34% in H2O, at plant</t>
  </si>
  <si>
    <t>brass, at plant</t>
  </si>
  <si>
    <t>chromium steel 18/8, at plant</t>
  </si>
  <si>
    <t>disposal, waste, silicon wafer production, 0% water, to underground deposit</t>
  </si>
  <si>
    <t>water, deionised, water balance according to MoeK 2013, at plant</t>
  </si>
  <si>
    <t>silicon, production mix, photovoltaics, at plant</t>
  </si>
  <si>
    <t>argon, liquid, at plant</t>
  </si>
  <si>
    <t>nitric acid, 50% in H2O, at plant</t>
  </si>
  <si>
    <t>ceramic tiles, at regional storage</t>
  </si>
  <si>
    <t>Nitrogen oxides</t>
  </si>
  <si>
    <t>Hydroxide</t>
  </si>
  <si>
    <t>Nitrate</t>
  </si>
  <si>
    <t>heat, at cogen 1MWe lean burn, allocation exergy</t>
  </si>
  <si>
    <t>IEA PVPS Task 12: PV Sustainability (Dec. 2020), Same data in Smith, Brittany L., et al. "An Updated Life Cycle Assessment of Utility-Scale Solar…</t>
  </si>
  <si>
    <t>Same data in Smith, Brittany L., et al. "An Updated Life Cycle Assessment of Utility-Scale Solar…</t>
  </si>
  <si>
    <t>wood chips, production mix, wet, measured as dry mass, at forest road &amp; at sawmill</t>
  </si>
  <si>
    <t>hard coal coke, at plant</t>
  </si>
  <si>
    <t>graphite, at plant</t>
  </si>
  <si>
    <t>charcoal, at plant</t>
  </si>
  <si>
    <t>petroleum coke, at refinery</t>
  </si>
  <si>
    <t>oxygen, liquid, at plant</t>
  </si>
  <si>
    <t>disposal, slag from MG silicon production, 0% water, to inert material landfill</t>
  </si>
  <si>
    <t>Arsenic</t>
  </si>
  <si>
    <t>Air (Same data in Smith, Brittany L., et al. "An Updated Life Cycle Assessment of Utility-Scale Solar…)</t>
  </si>
  <si>
    <t>Antimony</t>
  </si>
  <si>
    <t>Boron</t>
  </si>
  <si>
    <t>Calcium</t>
  </si>
  <si>
    <t>Carbon monoxide, biogenic</t>
  </si>
  <si>
    <t>Carbon monoxide, fossil</t>
  </si>
  <si>
    <t>Carbon dioxide, biogenic</t>
  </si>
  <si>
    <t>Cyanide</t>
  </si>
  <si>
    <t>Fluorine</t>
  </si>
  <si>
    <t>Hydrogen sulfide</t>
  </si>
  <si>
    <t>Particulates, &gt; 10 um</t>
  </si>
  <si>
    <t>Potassium</t>
  </si>
  <si>
    <t>Sodium</t>
  </si>
  <si>
    <t>Sulfur dioxide</t>
  </si>
  <si>
    <t>Fluorspar</t>
  </si>
  <si>
    <t>heavy fuel oil, burned in industrial furnace 1MW, non-modulating</t>
  </si>
  <si>
    <t>natural gas, burned in industrial furnace &gt;100kW</t>
  </si>
  <si>
    <t>Particulates, &lt; 2.5 um</t>
  </si>
  <si>
    <t>Particulates, &gt; 2.5 um, and &lt; 10um</t>
  </si>
  <si>
    <t>fluorspar, 97%, at plant</t>
  </si>
  <si>
    <t>sulphuric acid, liquid, at plant</t>
  </si>
  <si>
    <t>acetylene, at regional storehouse</t>
  </si>
  <si>
    <t>zinc, primary, at regional storage</t>
  </si>
  <si>
    <t>Ethane, 1,1-difluoro-, HFC-152a</t>
  </si>
  <si>
    <t>1,1-difluoroethane, HFC-152a, at plant</t>
  </si>
  <si>
    <t>vinyl fluoride, at plant</t>
  </si>
  <si>
    <t>polyvinylfluoride, at plant</t>
  </si>
  <si>
    <t>polyvinylfluoride, dispersion, at plant</t>
  </si>
  <si>
    <t>titanium dioxide, production mix, at plant</t>
  </si>
  <si>
    <t>PV end of life management</t>
  </si>
  <si>
    <t xml:space="preserve">Estimation, emissions related to the combustion of wastes to produce 77.826 MJ of electricity. Hp: first law electricity efficiency = 25% </t>
  </si>
  <si>
    <t xml:space="preserve">Estimation, emissions related to the combustion of wastes to produce 9.047+5.8642 MJ of heat. Hp: first law efficiency = 90% </t>
  </si>
  <si>
    <t>IEA PVPS Task 12: PV Sustainability (Stolz et al. Dec. 2017)</t>
  </si>
  <si>
    <t>Estimation, emissions related to the combustion of  19.76 kg of 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</si>
</sst>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&quot;-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2" xfId="0" applyFont="1" applyBorder="1" applyAlignment="1">
      <alignment horizontal="center" vertical="top"/>
    </xf>
    <xf numFmtId="0" fontId="0" fillId="2" borderId="0" xfId="0" applyFill="1"/>
    <xf numFmtId="11" fontId="0" fillId="0" borderId="0" xfId="0" applyNumberFormat="1"/>
    <xf numFmtId="11" fontId="0" fillId="0" borderId="3" xfId="0" applyNumberFormat="1" applyBorder="1"/>
    <xf numFmtId="0" fontId="0" fillId="0" borderId="4" xfId="0" applyBorder="1"/>
    <xf numFmtId="164" fontId="0" fillId="0" borderId="4" xfId="0" applyNumberFormat="1" applyBorder="1"/>
    <xf numFmtId="0" fontId="0" fillId="0" borderId="5" xfId="0" applyBorder="1"/>
    <xf numFmtId="11" fontId="0" fillId="0" borderId="6" xfId="0" applyNumberFormat="1" applyBorder="1"/>
    <xf numFmtId="0" fontId="0" fillId="0" borderId="7" xfId="0" applyBorder="1"/>
    <xf numFmtId="0" fontId="0" fillId="0" borderId="3" xfId="0" applyBorder="1"/>
    <xf numFmtId="0" fontId="0" fillId="0" borderId="6" xfId="0" applyBorder="1"/>
    <xf numFmtId="11" fontId="0" fillId="0" borderId="8" xfId="0" applyNumberFormat="1" applyBorder="1"/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3" fillId="0" borderId="0" xfId="0" applyFont="1"/>
    <xf numFmtId="164" fontId="0" fillId="2" borderId="0" xfId="0" applyNumberFormat="1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rle\Desktop\Tesi\Mario\EU\Add_sectors_data.xlsx" TargetMode="External"/><Relationship Id="rId1" Type="http://schemas.openxmlformats.org/officeDocument/2006/relationships/externalLinkPath" Target="Add_sectors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"/>
      <sheetName val="Regions Clusters"/>
      <sheetName val="Commodities Clusters"/>
      <sheetName val="landfill"/>
      <sheetName val="partial recycling"/>
      <sheetName val="high recycling"/>
      <sheetName val="PV use EU"/>
      <sheetName val="PV use CN"/>
      <sheetName val="PV use US"/>
      <sheetName val="PV use APAC"/>
      <sheetName val="PV prod EU"/>
      <sheetName val="PV prod CN"/>
      <sheetName val="PV prod US"/>
      <sheetName val="PV prod APAC"/>
      <sheetName val="Cell prod EU"/>
      <sheetName val="Cell prod CN"/>
      <sheetName val="Cell prod US"/>
      <sheetName val="Cell prod APAC"/>
      <sheetName val="Paste"/>
      <sheetName val="Silane"/>
      <sheetName val="Wafer prod EU"/>
      <sheetName val="Wafer prod CN"/>
      <sheetName val="Wafer prod US"/>
      <sheetName val="Wafer prod APAC"/>
      <sheetName val="Ingot prod EU"/>
      <sheetName val="Ingot prod CN"/>
      <sheetName val="Ingot prod US"/>
      <sheetName val="Ingot prod APAC"/>
      <sheetName val="SGS prod EU"/>
      <sheetName val="SGS prod CN"/>
      <sheetName val="SGS prod US"/>
      <sheetName val="SGS prod APAC"/>
      <sheetName val="MGS prod"/>
      <sheetName val="CaF2 97%"/>
      <sheetName val="HF"/>
      <sheetName val="HFC-152a"/>
      <sheetName val="VF"/>
      <sheetName val="PVF"/>
      <sheetName val="PVF disp"/>
      <sheetName val="PVF film"/>
      <sheetName val="DB uni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7">
          <cell r="I27">
            <v>5.9944933475078696E-6</v>
          </cell>
        </row>
        <row r="28">
          <cell r="I28">
            <v>7.9913132871930647E-6</v>
          </cell>
        </row>
        <row r="29">
          <cell r="I29">
            <v>0</v>
          </cell>
        </row>
      </sheetData>
      <sheetData sheetId="11">
        <row r="27">
          <cell r="I27">
            <v>0</v>
          </cell>
        </row>
        <row r="28">
          <cell r="I28">
            <v>4.2381980736401578E-7</v>
          </cell>
        </row>
        <row r="29">
          <cell r="I29">
            <v>4.4207030338922215E-6</v>
          </cell>
        </row>
      </sheetData>
      <sheetData sheetId="12">
        <row r="27">
          <cell r="I27">
            <v>6.423249258242018E-6</v>
          </cell>
        </row>
        <row r="28">
          <cell r="I28">
            <v>4.2381980736401578E-7</v>
          </cell>
        </row>
        <row r="29">
          <cell r="I29">
            <v>4.4207030338922215E-6</v>
          </cell>
        </row>
      </sheetData>
      <sheetData sheetId="13">
        <row r="27">
          <cell r="I27">
            <v>2.3492840251369478E-7</v>
          </cell>
        </row>
        <row r="28">
          <cell r="I28">
            <v>4.2381980736401578E-7</v>
          </cell>
        </row>
        <row r="29">
          <cell r="I29">
            <v>4.4207030338922215E-6</v>
          </cell>
        </row>
      </sheetData>
      <sheetData sheetId="14">
        <row r="19">
          <cell r="I19">
            <v>1.7894690998318899E-6</v>
          </cell>
        </row>
        <row r="20">
          <cell r="I20">
            <v>3.014067053589841E-6</v>
          </cell>
        </row>
        <row r="21">
          <cell r="I21">
            <v>3.0651202759139745E-7</v>
          </cell>
        </row>
      </sheetData>
      <sheetData sheetId="15">
        <row r="19">
          <cell r="I19">
            <v>0</v>
          </cell>
        </row>
        <row r="20">
          <cell r="I20">
            <v>3.014067053589841E-6</v>
          </cell>
        </row>
        <row r="21">
          <cell r="I21">
            <v>3.0651202759139745E-7</v>
          </cell>
        </row>
      </sheetData>
      <sheetData sheetId="16">
        <row r="19">
          <cell r="I19">
            <v>2.4247249417187197E-6</v>
          </cell>
        </row>
        <row r="20">
          <cell r="I20">
            <v>3.014067053589841E-6</v>
          </cell>
        </row>
        <row r="21">
          <cell r="I21">
            <v>3.0651202759139745E-7</v>
          </cell>
        </row>
      </sheetData>
      <sheetData sheetId="17">
        <row r="19">
          <cell r="I19">
            <v>0</v>
          </cell>
        </row>
        <row r="20">
          <cell r="I20">
            <v>3.014067053589841E-6</v>
          </cell>
        </row>
        <row r="21">
          <cell r="I21">
            <v>3.0651202759139745E-7</v>
          </cell>
        </row>
      </sheetData>
      <sheetData sheetId="18" refreshError="1"/>
      <sheetData sheetId="19" refreshError="1"/>
      <sheetData sheetId="20">
        <row r="16">
          <cell r="I16">
            <v>1.1117545324977768E-6</v>
          </cell>
        </row>
        <row r="17">
          <cell r="I17">
            <v>7.2483318024722841E-6</v>
          </cell>
        </row>
        <row r="18">
          <cell r="I18">
            <v>4.5541400092721314E-8</v>
          </cell>
        </row>
      </sheetData>
      <sheetData sheetId="21">
        <row r="16">
          <cell r="I16">
            <v>0</v>
          </cell>
        </row>
        <row r="17">
          <cell r="I17">
            <v>7.2483318024722841E-6</v>
          </cell>
        </row>
        <row r="18">
          <cell r="I18">
            <v>4.5541400092721314E-8</v>
          </cell>
        </row>
      </sheetData>
      <sheetData sheetId="22">
        <row r="16">
          <cell r="I16">
            <v>5.7137429569329411E-6</v>
          </cell>
        </row>
        <row r="17">
          <cell r="I17">
            <v>7.2483318024722841E-6</v>
          </cell>
        </row>
        <row r="18">
          <cell r="I18">
            <v>4.5541400092721314E-8</v>
          </cell>
        </row>
      </sheetData>
      <sheetData sheetId="23">
        <row r="16">
          <cell r="I16">
            <v>1.0943133132306021E-6</v>
          </cell>
        </row>
        <row r="17">
          <cell r="I17">
            <v>7.2483318024722841E-6</v>
          </cell>
        </row>
        <row r="18">
          <cell r="I18">
            <v>4.5541400092721314E-8</v>
          </cell>
        </row>
      </sheetData>
      <sheetData sheetId="24">
        <row r="12">
          <cell r="I12">
            <v>0</v>
          </cell>
        </row>
        <row r="13">
          <cell r="I13">
            <v>1.2229254135450123E-7</v>
          </cell>
        </row>
        <row r="14">
          <cell r="I14">
            <v>1.640606341579916E-7</v>
          </cell>
        </row>
      </sheetData>
      <sheetData sheetId="25">
        <row r="12">
          <cell r="I12">
            <v>6.9982507693825402E-7</v>
          </cell>
        </row>
        <row r="13">
          <cell r="I13">
            <v>1.2229254135450123E-7</v>
          </cell>
        </row>
        <row r="14">
          <cell r="I14">
            <v>1.640606341579916E-7</v>
          </cell>
        </row>
      </sheetData>
      <sheetData sheetId="26">
        <row r="12">
          <cell r="I12">
            <v>0</v>
          </cell>
        </row>
        <row r="13">
          <cell r="I13">
            <v>1.2229254135450123E-7</v>
          </cell>
        </row>
        <row r="14">
          <cell r="I14">
            <v>1.640606341579916E-7</v>
          </cell>
        </row>
      </sheetData>
      <sheetData sheetId="27">
        <row r="12">
          <cell r="I12">
            <v>0</v>
          </cell>
        </row>
        <row r="13">
          <cell r="I13">
            <v>1.2229254135450123E-7</v>
          </cell>
        </row>
        <row r="14">
          <cell r="I14">
            <v>1.640606341579916E-7</v>
          </cell>
        </row>
      </sheetData>
      <sheetData sheetId="28">
        <row r="6">
          <cell r="I6">
            <v>0</v>
          </cell>
        </row>
        <row r="7">
          <cell r="I7">
            <v>1.2229254135450123E-7</v>
          </cell>
        </row>
        <row r="8">
          <cell r="I8">
            <v>1.640606341579916E-7</v>
          </cell>
        </row>
      </sheetData>
      <sheetData sheetId="29">
        <row r="6">
          <cell r="I6">
            <v>6.9982507693825402E-7</v>
          </cell>
        </row>
        <row r="7">
          <cell r="I7">
            <v>1.2229254135450123E-7</v>
          </cell>
        </row>
        <row r="8">
          <cell r="I8">
            <v>1.640606341579916E-7</v>
          </cell>
        </row>
      </sheetData>
      <sheetData sheetId="30">
        <row r="6">
          <cell r="I6">
            <v>0</v>
          </cell>
        </row>
        <row r="7">
          <cell r="I7">
            <v>1.2229254135450123E-7</v>
          </cell>
        </row>
        <row r="8">
          <cell r="I8">
            <v>1.640606341579916E-7</v>
          </cell>
        </row>
      </sheetData>
      <sheetData sheetId="31">
        <row r="6">
          <cell r="I6">
            <v>0</v>
          </cell>
        </row>
        <row r="7">
          <cell r="I7">
            <v>1.2229254135450123E-7</v>
          </cell>
        </row>
        <row r="8">
          <cell r="I8">
            <v>1.640606341579916E-7</v>
          </cell>
        </row>
      </sheetData>
      <sheetData sheetId="32">
        <row r="11">
          <cell r="I11">
            <v>0</v>
          </cell>
        </row>
        <row r="12">
          <cell r="I12">
            <v>1.2229254135450123E-7</v>
          </cell>
        </row>
        <row r="13">
          <cell r="I13">
            <v>1.640606341579916E-7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affaele Merletti" id="{30DD4BF9-EE67-4686-BFA0-8650DC971093}" userId="S::10767786@polimi.it::17c9a6e6-a93f-4b0e-93cb-44c078a461da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5-08-12T15:10:03.39" personId="{30DD4BF9-EE67-4686-BFA0-8650DC971093}" id="{DEB9C441-DE4B-4CC9-8C49-11D6BA99842E}">
    <text>Assumed to be null: landfilling can produce electricity only if some of the wastes are burned to produce heat and feed a TDN cycle, but the value available in the source is too high (from 10.9 kg of PV (1 m2, all the material is burn), assuming LHV=10 MJ/kg and conversion efficiency of 0.25 (quite high) we can produce 27 MJ, not 77 MJ)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36" dT="2025-03-28T08:07:20.40" personId="{30DD4BF9-EE67-4686-BFA0-8650DC971093}" id="{6B91D7D0-9EE9-48FD-AD82-E35C2B7E51C7}">
    <text>To be previously aggregated on Exiobase</text>
  </threadedComment>
  <threadedComment ref="E38" dT="2025-03-28T08:12:12.38" personId="{30DD4BF9-EE67-4686-BFA0-8650DC971093}" id="{B7BFA960-EC9A-444F-B768-BEE93343EF60}">
    <text>To be previously aggregated on Exiobase</text>
  </threadedComment>
  <threadedComment ref="E39" dT="2025-03-28T08:12:12.38" personId="{30DD4BF9-EE67-4686-BFA0-8650DC971093}" id="{D5A39CA3-1D9A-4F5F-87CB-D261048FAFDA}">
    <text>To be previously aggregated on Exiobase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36" dT="2025-03-28T08:07:20.40" personId="{30DD4BF9-EE67-4686-BFA0-8650DC971093}" id="{8175B186-92EC-4EE2-BF61-0DE0E7FEFF96}">
    <text>To be previously aggregated on Exiobase</text>
  </threadedComment>
  <threadedComment ref="E38" dT="2025-03-28T08:12:12.38" personId="{30DD4BF9-EE67-4686-BFA0-8650DC971093}" id="{CB43489D-48F1-4FEE-99D1-40BB03816D28}">
    <text>To be previously aggregated on Exiobase</text>
  </threadedComment>
  <threadedComment ref="E39" dT="2025-03-28T08:12:12.38" personId="{30DD4BF9-EE67-4686-BFA0-8650DC971093}" id="{1011CA1A-A1AE-422E-807E-B1E65217751A}">
    <text>To be previously aggregated on Exiobase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36" dT="2025-03-28T08:07:20.40" personId="{30DD4BF9-EE67-4686-BFA0-8650DC971093}" id="{F52AE9B2-1AA2-44EE-AEAE-72AF17ED1995}">
    <text>To be previously aggregated on Exiobase</text>
  </threadedComment>
  <threadedComment ref="E38" dT="2025-03-28T08:12:12.38" personId="{30DD4BF9-EE67-4686-BFA0-8650DC971093}" id="{FD33E33E-3E65-45FB-8308-466FD91A9F88}">
    <text>To be previously aggregated on Exiobase</text>
  </threadedComment>
  <threadedComment ref="E39" dT="2025-03-28T08:12:12.38" personId="{30DD4BF9-EE67-4686-BFA0-8650DC971093}" id="{AD45D073-0B74-422D-882B-15A1B72F6001}">
    <text>To be previously aggregated on Exiobase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36" dT="2025-03-28T08:07:20.40" personId="{30DD4BF9-EE67-4686-BFA0-8650DC971093}" id="{7F1F2E56-6BAC-4E4C-B90B-96717B99B2AB}">
    <text>To be previously aggregated on Exiobase</text>
  </threadedComment>
  <threadedComment ref="E38" dT="2025-03-28T08:12:12.38" personId="{30DD4BF9-EE67-4686-BFA0-8650DC971093}" id="{9E83B2A3-D7ED-4B02-AFE4-B47831A3AC6A}">
    <text>To be previously aggregated on Exiobase</text>
  </threadedComment>
  <threadedComment ref="E39" dT="2025-03-28T08:12:12.38" personId="{30DD4BF9-EE67-4686-BFA0-8650DC971093}" id="{988F7D27-7231-4363-A3A2-CBDF1E027855}">
    <text>To be previously aggregated on Exiobase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6" dT="2025-03-28T08:07:20.40" personId="{30DD4BF9-EE67-4686-BFA0-8650DC971093}" id="{F795DAF8-57E6-49AD-8F93-DD8DC3388271}">
    <text>To be previously aggregated on Exiobase</text>
  </threadedComment>
  <threadedComment ref="E28" dT="2025-03-28T08:12:12.38" personId="{30DD4BF9-EE67-4686-BFA0-8650DC971093}" id="{6B074BCA-52CF-4801-83AC-6D52D7C9B955}">
    <text>To be previously aggregated on Exiobase</text>
  </threadedComment>
  <threadedComment ref="E29" dT="2025-03-28T08:12:12.38" personId="{30DD4BF9-EE67-4686-BFA0-8650DC971093}" id="{542BF0D8-12BA-47D2-83EF-FD7E8851FC34}">
    <text>To be previously aggregated on Exiobase</text>
  </threadedComment>
  <threadedComment ref="C42" dT="2025-04-09T13:00:06.78" personId="{30DD4BF9-EE67-4686-BFA0-8650DC971093}" id="{EB40AF7D-C294-44A1-90EC-58D3575BB4FD}">
    <text>A bit more impactful than the average HFCs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E26" dT="2025-03-28T08:07:20.40" personId="{30DD4BF9-EE67-4686-BFA0-8650DC971093}" id="{9A090C4C-556C-42B8-9709-0B3D64870029}">
    <text>To be previously aggregated on Exiobase</text>
  </threadedComment>
  <threadedComment ref="E28" dT="2025-03-28T08:12:12.38" personId="{30DD4BF9-EE67-4686-BFA0-8650DC971093}" id="{017B9CF1-B8B8-4BC1-A81C-8B81A3B9DDA3}">
    <text>To be previously aggregated on Exiobase</text>
  </threadedComment>
  <threadedComment ref="E29" dT="2025-03-28T08:12:12.38" personId="{30DD4BF9-EE67-4686-BFA0-8650DC971093}" id="{D3EEF6CF-7DD4-48D8-A963-DA650C764855}">
    <text>To be previously aggregated on Exiobase</text>
  </threadedComment>
  <threadedComment ref="C42" dT="2025-04-09T13:00:06.78" personId="{30DD4BF9-EE67-4686-BFA0-8650DC971093}" id="{6043FF01-7F28-46A7-BAAA-607FA0308531}">
    <text>A bit more impactful than the average HFCs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E26" dT="2025-03-28T08:07:20.40" personId="{30DD4BF9-EE67-4686-BFA0-8650DC971093}" id="{5AD046B0-BE5C-43FE-8F03-079EE1F04C7C}">
    <text>To be previously aggregated on Exiobase</text>
  </threadedComment>
  <threadedComment ref="E28" dT="2025-03-28T08:12:12.38" personId="{30DD4BF9-EE67-4686-BFA0-8650DC971093}" id="{DD9B6402-4E3B-4053-8EAB-1919B6191375}">
    <text>To be previously aggregated on Exiobase</text>
  </threadedComment>
  <threadedComment ref="E29" dT="2025-03-28T08:12:12.38" personId="{30DD4BF9-EE67-4686-BFA0-8650DC971093}" id="{8830FA29-ED7B-4763-B545-9C878C760036}">
    <text>To be previously aggregated on Exiobase</text>
  </threadedComment>
  <threadedComment ref="C42" dT="2025-04-09T13:00:06.78" personId="{30DD4BF9-EE67-4686-BFA0-8650DC971093}" id="{D50594DE-0DCA-43FB-8BF6-85B10B26C0D3}">
    <text>A bit more impactful than the average HFCs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E26" dT="2025-03-28T08:07:20.40" personId="{30DD4BF9-EE67-4686-BFA0-8650DC971093}" id="{4AEC2B11-AF06-4258-806A-E815CA9C7B0C}">
    <text>To be previously aggregated on Exiobase</text>
  </threadedComment>
  <threadedComment ref="E28" dT="2025-03-28T08:12:12.38" personId="{30DD4BF9-EE67-4686-BFA0-8650DC971093}" id="{D456EFDF-BFC4-4E30-BC03-FDF713BB2E7F}">
    <text>To be previously aggregated on Exiobase</text>
  </threadedComment>
  <threadedComment ref="E29" dT="2025-03-28T08:12:12.38" personId="{30DD4BF9-EE67-4686-BFA0-8650DC971093}" id="{1D0F74B4-1159-45AB-B9F4-79196EDA409F}">
    <text>To be previously aggregated on Exiobase</text>
  </threadedComment>
  <threadedComment ref="C42" dT="2025-04-09T13:00:06.78" personId="{30DD4BF9-EE67-4686-BFA0-8650DC971093}" id="{82949B8E-B476-4FE2-8E5D-BF836D1B353D}">
    <text>A bit more impactful than the average HFCs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E22" dT="2025-03-28T08:07:20.40" personId="{30DD4BF9-EE67-4686-BFA0-8650DC971093}" id="{C4C8D8A7-F3B1-4C02-96F8-8B6DDCA66990}">
    <text>To be previously aggregated on Exiobase</text>
  </threadedComment>
  <threadedComment ref="E24" dT="2025-03-28T08:12:12.38" personId="{30DD4BF9-EE67-4686-BFA0-8650DC971093}" id="{40E77A15-CF4C-48A6-A391-12EE28A248CF}">
    <text>To be previously aggregated on Exiobase</text>
  </threadedComment>
  <threadedComment ref="E25" dT="2025-03-28T08:12:12.38" personId="{30DD4BF9-EE67-4686-BFA0-8650DC971093}" id="{FAE78401-2F03-4946-8629-FAC4B052B735}">
    <text>To be previously aggregated on Exiobase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E22" dT="2025-03-28T08:07:20.40" personId="{30DD4BF9-EE67-4686-BFA0-8650DC971093}" id="{19F7BFA5-38BE-461E-BF17-D93FCDAEF96C}">
    <text>To be previously aggregated on Exiobase</text>
  </threadedComment>
  <threadedComment ref="E24" dT="2025-03-28T08:12:12.38" personId="{30DD4BF9-EE67-4686-BFA0-8650DC971093}" id="{DC36F5B3-B1F8-4679-A130-405C1F2B74B0}">
    <text>To be previously aggregated on Exiobase</text>
  </threadedComment>
  <threadedComment ref="E25" dT="2025-03-28T08:12:12.38" personId="{30DD4BF9-EE67-4686-BFA0-8650DC971093}" id="{1F6E3DC0-80A3-47D4-80EE-CBBA82649D33}">
    <text>To be previously aggregated on Exiobase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E22" dT="2025-03-28T08:07:20.40" personId="{30DD4BF9-EE67-4686-BFA0-8650DC971093}" id="{B4B71190-A619-4581-B992-A2AD529914A8}">
    <text>To be previously aggregated on Exiobase</text>
  </threadedComment>
  <threadedComment ref="E24" dT="2025-03-28T08:12:12.38" personId="{30DD4BF9-EE67-4686-BFA0-8650DC971093}" id="{000E348F-E09C-464D-A85B-B10DDDD48C6F}">
    <text>To be previously aggregated on Exiobase</text>
  </threadedComment>
  <threadedComment ref="E25" dT="2025-03-28T08:12:12.38" personId="{30DD4BF9-EE67-4686-BFA0-8650DC971093}" id="{EA7DA5C0-B1B7-4CD9-BA94-7D2312874B60}">
    <text>To be previously aggregated on Exiobase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E22" dT="2025-03-28T08:07:20.40" personId="{30DD4BF9-EE67-4686-BFA0-8650DC971093}" id="{0F06D1A3-8328-4EC1-AAEA-8BAF3EEAB873}">
    <text>To be previously aggregated on Exiobase</text>
  </threadedComment>
  <threadedComment ref="E24" dT="2025-03-28T08:12:12.38" personId="{30DD4BF9-EE67-4686-BFA0-8650DC971093}" id="{E639DCD7-BC91-4E97-A031-9FA7453FDA77}">
    <text>To be previously aggregated on Exiobase</text>
  </threadedComment>
  <threadedComment ref="E25" dT="2025-03-28T08:12:12.38" personId="{30DD4BF9-EE67-4686-BFA0-8650DC971093}" id="{95795730-780F-4F19-85E8-F009C032B60B}">
    <text>To be previously aggregated on Exiobase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E18" dT="2025-03-28T08:07:20.40" personId="{30DD4BF9-EE67-4686-BFA0-8650DC971093}" id="{3F3C444C-B42A-4A09-9A01-593D8FC3BBF1}">
    <text>To be previously aggregated on Exiobase</text>
  </threadedComment>
  <threadedComment ref="E20" dT="2025-03-28T08:12:12.38" personId="{30DD4BF9-EE67-4686-BFA0-8650DC971093}" id="{4D4625B5-84EC-4407-A8C7-35D53033F9EC}">
    <text>To be previously aggregated on Exiobase</text>
  </threadedComment>
  <threadedComment ref="E21" dT="2025-03-28T08:12:12.38" personId="{30DD4BF9-EE67-4686-BFA0-8650DC971093}" id="{0CC77BD8-9288-4858-A8A7-147D2F926639}">
    <text>To be previously aggregated on Exiobase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E18" dT="2025-03-28T08:07:20.40" personId="{30DD4BF9-EE67-4686-BFA0-8650DC971093}" id="{79116165-3575-47C5-9CDF-3D663BD78F16}">
    <text>To be previously aggregated on Exiobase</text>
  </threadedComment>
  <threadedComment ref="E20" dT="2025-03-28T08:12:12.38" personId="{30DD4BF9-EE67-4686-BFA0-8650DC971093}" id="{90026340-A558-472E-834A-2DFFFC67D83D}">
    <text>To be previously aggregated on Exiobase</text>
  </threadedComment>
  <threadedComment ref="E21" dT="2025-03-28T08:12:12.38" personId="{30DD4BF9-EE67-4686-BFA0-8650DC971093}" id="{8BA2F497-2771-4BDB-BA22-E87AA58D8284}">
    <text>To be previously aggregated on Exiobase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E18" dT="2025-03-28T08:07:20.40" personId="{30DD4BF9-EE67-4686-BFA0-8650DC971093}" id="{CD87DE8C-89AD-4FF1-BE82-20560924B7CE}">
    <text>To be previously aggregated on Exiobase</text>
  </threadedComment>
  <threadedComment ref="E20" dT="2025-03-28T08:12:12.38" personId="{30DD4BF9-EE67-4686-BFA0-8650DC971093}" id="{80DE7ADC-F321-49FD-AB05-8D73F99274E6}">
    <text>To be previously aggregated on Exiobase</text>
  </threadedComment>
  <threadedComment ref="E21" dT="2025-03-28T08:12:12.38" personId="{30DD4BF9-EE67-4686-BFA0-8650DC971093}" id="{681DCAAA-0C13-492C-A137-9915DEF4BABC}">
    <text>To be previously aggregated on Exiobase</text>
  </threadedComment>
</ThreadedComments>
</file>

<file path=xl/threadedComments/threadedComment17.xml><?xml version="1.0" encoding="utf-8"?>
<ThreadedComments xmlns="http://schemas.microsoft.com/office/spreadsheetml/2018/threadedcomments" xmlns:x="http://schemas.openxmlformats.org/spreadsheetml/2006/main">
  <threadedComment ref="E18" dT="2025-03-28T08:07:20.40" personId="{30DD4BF9-EE67-4686-BFA0-8650DC971093}" id="{2F6F1F0D-DBD4-45F6-A096-BB5B105BC2EB}">
    <text>To be previously aggregated on Exiobase</text>
  </threadedComment>
  <threadedComment ref="E20" dT="2025-03-28T08:12:12.38" personId="{30DD4BF9-EE67-4686-BFA0-8650DC971093}" id="{4AFC8DA6-B73A-4419-ADE1-DF791869D0D1}">
    <text>To be previously aggregated on Exiobase</text>
  </threadedComment>
  <threadedComment ref="E21" dT="2025-03-28T08:12:12.38" personId="{30DD4BF9-EE67-4686-BFA0-8650DC971093}" id="{151FC855-CB64-4CAA-8DFE-FFD12BD922FE}">
    <text>To be previously aggregated on Exiobase</text>
  </threadedComment>
</ThreadedComments>
</file>

<file path=xl/threadedComments/threadedComment18.xml><?xml version="1.0" encoding="utf-8"?>
<ThreadedComments xmlns="http://schemas.microsoft.com/office/spreadsheetml/2018/threadedcomments" xmlns:x="http://schemas.openxmlformats.org/spreadsheetml/2006/main">
  <threadedComment ref="E13" dT="2025-03-28T08:07:20.40" personId="{30DD4BF9-EE67-4686-BFA0-8650DC971093}" id="{5F3D08C7-40D1-4AC5-8A0A-B41D482C9382}">
    <text>To be previously aggregated on Exiobase</text>
  </threadedComment>
  <threadedComment ref="E15" dT="2025-03-28T08:12:12.38" personId="{30DD4BF9-EE67-4686-BFA0-8650DC971093}" id="{1A79043D-3063-41E0-9662-9F6A90A3A0E2}">
    <text>To be previously aggregated on Exiobase</text>
  </threadedComment>
  <threadedComment ref="E16" dT="2025-03-28T08:12:12.38" personId="{30DD4BF9-EE67-4686-BFA0-8650DC971093}" id="{A9AD0D45-93CD-4AC8-93C7-17AC709B5B44}">
    <text>To be previously aggregated on Exiobase</text>
  </threadedComment>
</ThreadedComments>
</file>

<file path=xl/threadedComments/threadedComment19.xml><?xml version="1.0" encoding="utf-8"?>
<ThreadedComments xmlns="http://schemas.microsoft.com/office/spreadsheetml/2018/threadedcomments" xmlns:x="http://schemas.openxmlformats.org/spreadsheetml/2006/main">
  <threadedComment ref="E13" dT="2025-03-28T08:07:20.40" personId="{30DD4BF9-EE67-4686-BFA0-8650DC971093}" id="{81294373-99F5-4C2A-A86F-6AD5B99009E6}">
    <text>To be previously aggregated on Exiobase</text>
  </threadedComment>
  <threadedComment ref="E15" dT="2025-03-28T08:12:12.38" personId="{30DD4BF9-EE67-4686-BFA0-8650DC971093}" id="{C3DD79EE-8BE6-4388-90AD-C76DD801A9F1}">
    <text>To be previously aggregated on Exiobase</text>
  </threadedComment>
  <threadedComment ref="E16" dT="2025-03-28T08:12:12.38" personId="{30DD4BF9-EE67-4686-BFA0-8650DC971093}" id="{BE592D27-A6E0-46AE-84BF-8A1C146CCB59}">
    <text>To be previously aggregated on Exiobase</text>
  </threadedComment>
</ThreadedComments>
</file>

<file path=xl/threadedComments/threadedComment20.xml><?xml version="1.0" encoding="utf-8"?>
<ThreadedComments xmlns="http://schemas.microsoft.com/office/spreadsheetml/2018/threadedcomments" xmlns:x="http://schemas.openxmlformats.org/spreadsheetml/2006/main">
  <threadedComment ref="E13" dT="2025-03-28T08:07:20.40" personId="{30DD4BF9-EE67-4686-BFA0-8650DC971093}" id="{7649218B-3448-4BE5-8AD9-9473DC24241D}">
    <text>To be previously aggregated on Exiobase</text>
  </threadedComment>
  <threadedComment ref="E15" dT="2025-03-28T08:12:12.38" personId="{30DD4BF9-EE67-4686-BFA0-8650DC971093}" id="{0B270DA5-A1A3-4CE0-931D-0F835B7F77A1}">
    <text>To be previously aggregated on Exiobase</text>
  </threadedComment>
  <threadedComment ref="E16" dT="2025-03-28T08:12:12.38" personId="{30DD4BF9-EE67-4686-BFA0-8650DC971093}" id="{F4D0945A-BE0A-4B20-BDBC-0B4D5E729205}">
    <text>To be previously aggregated on Exiobase</text>
  </threadedComment>
</ThreadedComments>
</file>

<file path=xl/threadedComments/threadedComment21.xml><?xml version="1.0" encoding="utf-8"?>
<ThreadedComments xmlns="http://schemas.microsoft.com/office/spreadsheetml/2018/threadedcomments" xmlns:x="http://schemas.openxmlformats.org/spreadsheetml/2006/main">
  <threadedComment ref="E13" dT="2025-03-28T08:07:20.40" personId="{30DD4BF9-EE67-4686-BFA0-8650DC971093}" id="{2B863257-1906-4FEA-A147-2FABA3D3F63D}">
    <text>To be previously aggregated on Exiobase</text>
  </threadedComment>
  <threadedComment ref="E15" dT="2025-03-28T08:12:12.38" personId="{30DD4BF9-EE67-4686-BFA0-8650DC971093}" id="{AA600FD9-B073-48EB-83DB-4A58D34E1BB4}">
    <text>To be previously aggregated on Exiobase</text>
  </threadedComment>
  <threadedComment ref="E16" dT="2025-03-28T08:12:12.38" personId="{30DD4BF9-EE67-4686-BFA0-8650DC971093}" id="{E6219285-784B-40E8-AE84-3EA5E793CA19}">
    <text>To be previously aggregated on Exiobase</text>
  </threadedComment>
</ThreadedComments>
</file>

<file path=xl/threadedComments/threadedComment22.xml><?xml version="1.0" encoding="utf-8"?>
<ThreadedComments xmlns="http://schemas.microsoft.com/office/spreadsheetml/2018/threadedcomments" xmlns:x="http://schemas.openxmlformats.org/spreadsheetml/2006/main">
  <threadedComment ref="I11" dT="2025-08-09T13:06:51.97" personId="{30DD4BF9-EE67-4686-BFA0-8650DC971093}" id="{1BEBB4DD-832D-45A2-A292-5831E5E38874}">
    <text>Not null only for China, this exception is handled in the sheet SGS prod CN</text>
  </threadedComment>
  <threadedComment ref="E16" dT="2025-03-28T08:07:20.40" personId="{30DD4BF9-EE67-4686-BFA0-8650DC971093}" id="{32745915-D15A-4E7F-AE6C-5D5E1BB4DB20}">
    <text>To be previously aggregated on Exiobase</text>
  </threadedComment>
  <threadedComment ref="E18" dT="2025-03-28T08:12:12.38" personId="{30DD4BF9-EE67-4686-BFA0-8650DC971093}" id="{661728B9-218B-4AB0-B36A-609228D49263}">
    <text>To be previously aggregated on Exiobase</text>
  </threadedComment>
  <threadedComment ref="E19" dT="2025-03-28T08:12:12.38" personId="{30DD4BF9-EE67-4686-BFA0-8650DC971093}" id="{0144196E-F8D8-4F52-B931-80987339E66C}">
    <text>To be previously aggregated on Exiobase</text>
  </threadedComment>
</ThreadedComments>
</file>

<file path=xl/threadedComments/threadedComment23.xml><?xml version="1.0" encoding="utf-8"?>
<ThreadedComments xmlns="http://schemas.microsoft.com/office/spreadsheetml/2018/threadedcomments" xmlns:x="http://schemas.openxmlformats.org/spreadsheetml/2006/main">
  <threadedComment ref="C8" dT="2025-04-09T11:24:58.03" personId="{30DD4BF9-EE67-4686-BFA0-8650DC971093}" id="{C47CA2D9-2B88-45B1-9442-A9E68ED021A6}">
    <text>In practive this is much less impactful than the average HFC on GWP (circa un decimo)</text>
  </threadedComment>
</ThreadedComments>
</file>

<file path=xl/threadedComments/threadedComment24.xml><?xml version="1.0" encoding="utf-8"?>
<ThreadedComments xmlns="http://schemas.microsoft.com/office/spreadsheetml/2018/threadedcomments" xmlns:x="http://schemas.openxmlformats.org/spreadsheetml/2006/main">
  <threadedComment ref="C6" dT="2025-04-09T11:24:58.03" personId="{30DD4BF9-EE67-4686-BFA0-8650DC971093}" id="{ED721A22-E355-49AA-9BEB-5DEBCC0E4416}">
    <text>In practive this is much less impactful than the average HFC on GWP (circa un decimo)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7.xml"/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8.xml"/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9.xml"/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3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0.xml"/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3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1.xml"/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3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2.xml"/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3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3.xml"/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3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4.xml"/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5"/>
  <sheetViews>
    <sheetView tabSelected="1" topLeftCell="A82" workbookViewId="0">
      <selection activeCell="B2" sqref="B2"/>
    </sheetView>
  </sheetViews>
  <sheetFormatPr defaultRowHeight="14.4" x14ac:dyDescent="0.3"/>
  <cols>
    <col min="2" max="2" width="35" bestFit="1" customWidth="1"/>
    <col min="4" max="4" width="15.2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s="2" t="s">
        <v>14</v>
      </c>
      <c r="C2" s="2" t="s">
        <v>765</v>
      </c>
      <c r="D2" t="s">
        <v>15</v>
      </c>
      <c r="E2">
        <v>1</v>
      </c>
      <c r="F2" s="2" t="s">
        <v>16</v>
      </c>
      <c r="G2">
        <v>1</v>
      </c>
      <c r="H2">
        <v>1</v>
      </c>
      <c r="I2" t="s">
        <v>17</v>
      </c>
    </row>
    <row r="3" spans="1:13" x14ac:dyDescent="0.3">
      <c r="A3" t="s">
        <v>13</v>
      </c>
      <c r="B3" s="2" t="s">
        <v>18</v>
      </c>
      <c r="C3" s="2" t="s">
        <v>765</v>
      </c>
      <c r="D3" t="s">
        <v>19</v>
      </c>
      <c r="E3">
        <v>1</v>
      </c>
      <c r="F3" s="2" t="s">
        <v>16</v>
      </c>
      <c r="G3">
        <v>1E-3</v>
      </c>
      <c r="H3">
        <v>1</v>
      </c>
      <c r="I3" t="s">
        <v>17</v>
      </c>
    </row>
    <row r="4" spans="1:13" x14ac:dyDescent="0.3">
      <c r="A4" t="s">
        <v>20</v>
      </c>
      <c r="B4" t="s">
        <v>102</v>
      </c>
      <c r="C4" t="s">
        <v>103</v>
      </c>
      <c r="D4" t="s">
        <v>104</v>
      </c>
      <c r="E4">
        <v>1</v>
      </c>
      <c r="F4" t="s">
        <v>105</v>
      </c>
      <c r="G4">
        <v>1</v>
      </c>
      <c r="H4">
        <v>1</v>
      </c>
      <c r="I4" t="s">
        <v>17</v>
      </c>
    </row>
    <row r="5" spans="1:13" x14ac:dyDescent="0.3">
      <c r="A5" t="s">
        <v>24</v>
      </c>
      <c r="B5" t="s">
        <v>102</v>
      </c>
      <c r="C5" t="s">
        <v>103</v>
      </c>
      <c r="D5" t="s">
        <v>106</v>
      </c>
      <c r="E5">
        <v>1</v>
      </c>
      <c r="F5" t="s">
        <v>105</v>
      </c>
      <c r="G5">
        <v>1</v>
      </c>
      <c r="H5">
        <v>1</v>
      </c>
      <c r="I5" t="s">
        <v>17</v>
      </c>
    </row>
    <row r="6" spans="1:13" x14ac:dyDescent="0.3">
      <c r="A6" t="s">
        <v>26</v>
      </c>
      <c r="B6" t="s">
        <v>102</v>
      </c>
      <c r="C6" t="s">
        <v>103</v>
      </c>
      <c r="D6" t="s">
        <v>107</v>
      </c>
      <c r="E6">
        <v>1</v>
      </c>
      <c r="F6" t="s">
        <v>105</v>
      </c>
      <c r="G6">
        <v>1</v>
      </c>
      <c r="H6">
        <v>1</v>
      </c>
      <c r="I6" t="s">
        <v>17</v>
      </c>
    </row>
    <row r="7" spans="1:13" x14ac:dyDescent="0.3">
      <c r="A7" t="s">
        <v>28</v>
      </c>
      <c r="B7" t="s">
        <v>102</v>
      </c>
      <c r="C7" t="s">
        <v>103</v>
      </c>
      <c r="D7" t="s">
        <v>107</v>
      </c>
      <c r="E7">
        <v>1</v>
      </c>
      <c r="F7" t="s">
        <v>105</v>
      </c>
      <c r="G7">
        <v>1</v>
      </c>
      <c r="H7">
        <v>1</v>
      </c>
      <c r="I7" t="s">
        <v>17</v>
      </c>
    </row>
    <row r="8" spans="1:13" x14ac:dyDescent="0.3">
      <c r="A8" t="s">
        <v>29</v>
      </c>
      <c r="B8" t="s">
        <v>102</v>
      </c>
      <c r="C8" t="s">
        <v>103</v>
      </c>
      <c r="D8" t="s">
        <v>107</v>
      </c>
      <c r="E8">
        <v>1</v>
      </c>
      <c r="F8" t="s">
        <v>105</v>
      </c>
      <c r="G8">
        <v>1</v>
      </c>
      <c r="H8">
        <v>1</v>
      </c>
      <c r="I8" t="s">
        <v>17</v>
      </c>
    </row>
    <row r="9" spans="1:13" x14ac:dyDescent="0.3">
      <c r="A9" t="s">
        <v>30</v>
      </c>
      <c r="B9" t="s">
        <v>102</v>
      </c>
      <c r="C9" t="s">
        <v>103</v>
      </c>
      <c r="D9" t="s">
        <v>108</v>
      </c>
      <c r="E9">
        <v>1</v>
      </c>
      <c r="F9" t="s">
        <v>105</v>
      </c>
      <c r="G9">
        <v>1</v>
      </c>
      <c r="H9">
        <v>1</v>
      </c>
      <c r="I9" t="s">
        <v>17</v>
      </c>
    </row>
    <row r="10" spans="1:13" x14ac:dyDescent="0.3">
      <c r="A10" t="s">
        <v>32</v>
      </c>
      <c r="B10" t="s">
        <v>102</v>
      </c>
      <c r="C10" t="s">
        <v>103</v>
      </c>
      <c r="D10" t="s">
        <v>106</v>
      </c>
      <c r="E10">
        <v>1</v>
      </c>
      <c r="F10" t="s">
        <v>105</v>
      </c>
      <c r="G10">
        <v>1</v>
      </c>
      <c r="H10">
        <v>1</v>
      </c>
      <c r="I10" t="s">
        <v>17</v>
      </c>
    </row>
    <row r="11" spans="1:13" x14ac:dyDescent="0.3">
      <c r="A11" t="s">
        <v>33</v>
      </c>
      <c r="B11" t="s">
        <v>102</v>
      </c>
      <c r="C11" t="s">
        <v>103</v>
      </c>
      <c r="D11" t="s">
        <v>108</v>
      </c>
      <c r="E11">
        <v>1</v>
      </c>
      <c r="F11" t="s">
        <v>105</v>
      </c>
      <c r="G11">
        <v>1</v>
      </c>
      <c r="H11">
        <v>1</v>
      </c>
      <c r="I11" t="s">
        <v>17</v>
      </c>
    </row>
    <row r="12" spans="1:13" x14ac:dyDescent="0.3">
      <c r="A12" t="s">
        <v>34</v>
      </c>
      <c r="B12" t="s">
        <v>102</v>
      </c>
      <c r="C12" t="s">
        <v>103</v>
      </c>
      <c r="D12" t="s">
        <v>106</v>
      </c>
      <c r="E12">
        <v>1</v>
      </c>
      <c r="F12" t="s">
        <v>105</v>
      </c>
      <c r="G12">
        <v>1</v>
      </c>
      <c r="H12">
        <v>1</v>
      </c>
      <c r="I12" t="s">
        <v>17</v>
      </c>
    </row>
    <row r="13" spans="1:13" x14ac:dyDescent="0.3">
      <c r="A13" t="s">
        <v>35</v>
      </c>
      <c r="B13" t="s">
        <v>102</v>
      </c>
      <c r="C13" t="s">
        <v>103</v>
      </c>
      <c r="D13" t="s">
        <v>108</v>
      </c>
      <c r="E13">
        <v>1</v>
      </c>
      <c r="F13" t="s">
        <v>105</v>
      </c>
      <c r="G13">
        <v>1</v>
      </c>
      <c r="H13">
        <v>1</v>
      </c>
      <c r="I13" t="s">
        <v>17</v>
      </c>
    </row>
    <row r="14" spans="1:13" x14ac:dyDescent="0.3">
      <c r="A14" t="s">
        <v>36</v>
      </c>
      <c r="B14" t="s">
        <v>102</v>
      </c>
      <c r="C14" t="s">
        <v>103</v>
      </c>
      <c r="D14" t="s">
        <v>108</v>
      </c>
      <c r="E14">
        <v>1</v>
      </c>
      <c r="F14" t="s">
        <v>105</v>
      </c>
      <c r="G14">
        <v>1</v>
      </c>
      <c r="H14">
        <v>1</v>
      </c>
      <c r="I14" t="s">
        <v>17</v>
      </c>
    </row>
    <row r="15" spans="1:13" x14ac:dyDescent="0.3">
      <c r="A15" t="s">
        <v>37</v>
      </c>
      <c r="B15" t="s">
        <v>102</v>
      </c>
      <c r="C15" t="s">
        <v>103</v>
      </c>
      <c r="D15" t="s">
        <v>108</v>
      </c>
      <c r="E15">
        <v>1</v>
      </c>
      <c r="F15" t="s">
        <v>105</v>
      </c>
      <c r="G15">
        <v>1</v>
      </c>
      <c r="H15">
        <v>1</v>
      </c>
      <c r="I15" t="s">
        <v>17</v>
      </c>
    </row>
    <row r="16" spans="1:13" x14ac:dyDescent="0.3">
      <c r="A16" t="s">
        <v>38</v>
      </c>
      <c r="B16" t="s">
        <v>102</v>
      </c>
      <c r="C16" t="s">
        <v>103</v>
      </c>
      <c r="D16" t="s">
        <v>107</v>
      </c>
      <c r="E16">
        <v>1</v>
      </c>
      <c r="F16" t="s">
        <v>105</v>
      </c>
      <c r="G16">
        <v>1</v>
      </c>
      <c r="H16">
        <v>1</v>
      </c>
      <c r="I16" t="s">
        <v>17</v>
      </c>
    </row>
    <row r="17" spans="1:9" x14ac:dyDescent="0.3">
      <c r="A17" t="s">
        <v>39</v>
      </c>
      <c r="B17" t="s">
        <v>102</v>
      </c>
      <c r="C17" t="s">
        <v>103</v>
      </c>
      <c r="D17" t="s">
        <v>108</v>
      </c>
      <c r="E17">
        <v>1</v>
      </c>
      <c r="F17" t="s">
        <v>105</v>
      </c>
      <c r="G17">
        <v>1</v>
      </c>
      <c r="H17">
        <v>1</v>
      </c>
      <c r="I17" t="s">
        <v>17</v>
      </c>
    </row>
    <row r="18" spans="1:9" x14ac:dyDescent="0.3">
      <c r="A18" t="s">
        <v>40</v>
      </c>
      <c r="B18" t="s">
        <v>102</v>
      </c>
      <c r="C18" t="s">
        <v>103</v>
      </c>
      <c r="D18" t="s">
        <v>108</v>
      </c>
      <c r="E18">
        <v>1</v>
      </c>
      <c r="F18" t="s">
        <v>105</v>
      </c>
      <c r="G18">
        <v>1</v>
      </c>
      <c r="H18">
        <v>1</v>
      </c>
      <c r="I18" t="s">
        <v>17</v>
      </c>
    </row>
    <row r="19" spans="1:9" x14ac:dyDescent="0.3">
      <c r="A19" t="s">
        <v>41</v>
      </c>
      <c r="B19" t="s">
        <v>102</v>
      </c>
      <c r="C19" t="s">
        <v>103</v>
      </c>
      <c r="D19" t="s">
        <v>108</v>
      </c>
      <c r="E19">
        <v>1</v>
      </c>
      <c r="F19" t="s">
        <v>105</v>
      </c>
      <c r="G19">
        <v>1</v>
      </c>
      <c r="H19">
        <v>1</v>
      </c>
      <c r="I19" t="s">
        <v>17</v>
      </c>
    </row>
    <row r="20" spans="1:9" x14ac:dyDescent="0.3">
      <c r="A20" t="s">
        <v>42</v>
      </c>
      <c r="B20" t="s">
        <v>102</v>
      </c>
      <c r="C20" t="s">
        <v>103</v>
      </c>
      <c r="D20" t="s">
        <v>106</v>
      </c>
      <c r="E20">
        <v>1</v>
      </c>
      <c r="F20" t="s">
        <v>105</v>
      </c>
      <c r="G20">
        <v>1</v>
      </c>
      <c r="H20">
        <v>1</v>
      </c>
      <c r="I20" t="s">
        <v>17</v>
      </c>
    </row>
    <row r="21" spans="1:9" x14ac:dyDescent="0.3">
      <c r="A21" t="s">
        <v>43</v>
      </c>
      <c r="B21" t="s">
        <v>102</v>
      </c>
      <c r="C21" t="s">
        <v>103</v>
      </c>
      <c r="D21" t="s">
        <v>106</v>
      </c>
      <c r="E21">
        <v>1</v>
      </c>
      <c r="F21" t="s">
        <v>105</v>
      </c>
      <c r="G21">
        <v>1</v>
      </c>
      <c r="H21">
        <v>1</v>
      </c>
      <c r="I21" t="s">
        <v>17</v>
      </c>
    </row>
    <row r="22" spans="1:9" x14ac:dyDescent="0.3">
      <c r="A22" t="s">
        <v>44</v>
      </c>
      <c r="B22" t="s">
        <v>102</v>
      </c>
      <c r="C22" t="s">
        <v>103</v>
      </c>
      <c r="D22" t="s">
        <v>107</v>
      </c>
      <c r="E22">
        <v>1</v>
      </c>
      <c r="F22" t="s">
        <v>105</v>
      </c>
      <c r="G22">
        <v>1</v>
      </c>
      <c r="H22">
        <v>1</v>
      </c>
      <c r="I22" t="s">
        <v>17</v>
      </c>
    </row>
    <row r="23" spans="1:9" x14ac:dyDescent="0.3">
      <c r="A23" t="s">
        <v>45</v>
      </c>
      <c r="B23" t="s">
        <v>102</v>
      </c>
      <c r="C23" t="s">
        <v>103</v>
      </c>
      <c r="D23" t="s">
        <v>106</v>
      </c>
      <c r="E23">
        <v>1</v>
      </c>
      <c r="F23" t="s">
        <v>105</v>
      </c>
      <c r="G23">
        <v>1</v>
      </c>
      <c r="H23">
        <v>1</v>
      </c>
      <c r="I23" t="s">
        <v>17</v>
      </c>
    </row>
    <row r="24" spans="1:9" x14ac:dyDescent="0.3">
      <c r="A24" t="s">
        <v>46</v>
      </c>
      <c r="B24" t="s">
        <v>102</v>
      </c>
      <c r="C24" t="s">
        <v>103</v>
      </c>
      <c r="D24" t="s">
        <v>108</v>
      </c>
      <c r="E24">
        <v>1</v>
      </c>
      <c r="F24" t="s">
        <v>105</v>
      </c>
      <c r="G24">
        <v>1</v>
      </c>
      <c r="H24">
        <v>1</v>
      </c>
      <c r="I24" t="s">
        <v>17</v>
      </c>
    </row>
    <row r="25" spans="1:9" x14ac:dyDescent="0.3">
      <c r="A25" t="s">
        <v>47</v>
      </c>
      <c r="B25" t="s">
        <v>102</v>
      </c>
      <c r="C25" t="s">
        <v>103</v>
      </c>
      <c r="D25" t="s">
        <v>106</v>
      </c>
      <c r="E25">
        <v>1</v>
      </c>
      <c r="F25" t="s">
        <v>105</v>
      </c>
      <c r="G25">
        <v>1</v>
      </c>
      <c r="H25">
        <v>1</v>
      </c>
      <c r="I25" t="s">
        <v>17</v>
      </c>
    </row>
    <row r="26" spans="1:9" x14ac:dyDescent="0.3">
      <c r="A26" t="s">
        <v>20</v>
      </c>
      <c r="B26" t="s">
        <v>21</v>
      </c>
      <c r="C26" s="2" t="s">
        <v>22</v>
      </c>
      <c r="D26" t="s">
        <v>23</v>
      </c>
      <c r="E26">
        <v>1</v>
      </c>
      <c r="F26" t="s">
        <v>16</v>
      </c>
      <c r="G26">
        <v>1</v>
      </c>
      <c r="H26">
        <v>1</v>
      </c>
      <c r="I26" t="s">
        <v>17</v>
      </c>
    </row>
    <row r="27" spans="1:9" x14ac:dyDescent="0.3">
      <c r="A27" t="s">
        <v>24</v>
      </c>
      <c r="B27" t="s">
        <v>21</v>
      </c>
      <c r="C27" s="2" t="s">
        <v>22</v>
      </c>
      <c r="D27" t="s">
        <v>25</v>
      </c>
      <c r="E27">
        <v>1</v>
      </c>
      <c r="F27" t="s">
        <v>16</v>
      </c>
      <c r="G27">
        <v>1</v>
      </c>
      <c r="H27">
        <v>1</v>
      </c>
      <c r="I27" t="s">
        <v>17</v>
      </c>
    </row>
    <row r="28" spans="1:9" x14ac:dyDescent="0.3">
      <c r="A28" t="s">
        <v>26</v>
      </c>
      <c r="B28" t="s">
        <v>21</v>
      </c>
      <c r="C28" s="2" t="s">
        <v>22</v>
      </c>
      <c r="D28" t="s">
        <v>27</v>
      </c>
      <c r="E28">
        <v>1</v>
      </c>
      <c r="F28" t="s">
        <v>16</v>
      </c>
      <c r="G28">
        <v>1</v>
      </c>
      <c r="H28">
        <v>1</v>
      </c>
      <c r="I28" t="s">
        <v>17</v>
      </c>
    </row>
    <row r="29" spans="1:9" x14ac:dyDescent="0.3">
      <c r="A29" t="s">
        <v>28</v>
      </c>
      <c r="B29" t="s">
        <v>21</v>
      </c>
      <c r="C29" s="2" t="s">
        <v>22</v>
      </c>
      <c r="D29" t="s">
        <v>27</v>
      </c>
      <c r="E29">
        <v>1</v>
      </c>
      <c r="F29" t="s">
        <v>16</v>
      </c>
      <c r="G29">
        <v>1</v>
      </c>
      <c r="H29">
        <v>1</v>
      </c>
      <c r="I29" t="s">
        <v>17</v>
      </c>
    </row>
    <row r="30" spans="1:9" x14ac:dyDescent="0.3">
      <c r="A30" t="s">
        <v>29</v>
      </c>
      <c r="B30" t="s">
        <v>21</v>
      </c>
      <c r="C30" s="2" t="s">
        <v>22</v>
      </c>
      <c r="D30" t="s">
        <v>27</v>
      </c>
      <c r="E30">
        <v>1</v>
      </c>
      <c r="F30" t="s">
        <v>16</v>
      </c>
      <c r="G30">
        <v>1</v>
      </c>
      <c r="H30">
        <v>1</v>
      </c>
      <c r="I30" t="s">
        <v>17</v>
      </c>
    </row>
    <row r="31" spans="1:9" x14ac:dyDescent="0.3">
      <c r="A31" t="s">
        <v>30</v>
      </c>
      <c r="B31" t="s">
        <v>21</v>
      </c>
      <c r="C31" s="2" t="s">
        <v>22</v>
      </c>
      <c r="D31" t="s">
        <v>31</v>
      </c>
      <c r="E31">
        <v>1</v>
      </c>
      <c r="F31" t="s">
        <v>16</v>
      </c>
      <c r="G31">
        <v>1</v>
      </c>
      <c r="H31">
        <v>1</v>
      </c>
      <c r="I31" t="s">
        <v>17</v>
      </c>
    </row>
    <row r="32" spans="1:9" x14ac:dyDescent="0.3">
      <c r="A32" t="s">
        <v>32</v>
      </c>
      <c r="B32" t="s">
        <v>21</v>
      </c>
      <c r="C32" s="2" t="s">
        <v>22</v>
      </c>
      <c r="D32" t="s">
        <v>25</v>
      </c>
      <c r="E32">
        <v>1</v>
      </c>
      <c r="F32" t="s">
        <v>16</v>
      </c>
      <c r="G32">
        <v>1</v>
      </c>
      <c r="H32">
        <v>1</v>
      </c>
      <c r="I32" t="s">
        <v>17</v>
      </c>
    </row>
    <row r="33" spans="1:9" x14ac:dyDescent="0.3">
      <c r="A33" t="s">
        <v>33</v>
      </c>
      <c r="B33" t="s">
        <v>21</v>
      </c>
      <c r="C33" s="2" t="s">
        <v>22</v>
      </c>
      <c r="D33" t="s">
        <v>31</v>
      </c>
      <c r="E33">
        <v>1</v>
      </c>
      <c r="F33" t="s">
        <v>16</v>
      </c>
      <c r="G33">
        <v>1</v>
      </c>
      <c r="H33">
        <v>1</v>
      </c>
      <c r="I33" t="s">
        <v>17</v>
      </c>
    </row>
    <row r="34" spans="1:9" x14ac:dyDescent="0.3">
      <c r="A34" t="s">
        <v>34</v>
      </c>
      <c r="B34" t="s">
        <v>21</v>
      </c>
      <c r="C34" s="2" t="s">
        <v>22</v>
      </c>
      <c r="D34" t="s">
        <v>25</v>
      </c>
      <c r="E34">
        <v>1</v>
      </c>
      <c r="F34" t="s">
        <v>16</v>
      </c>
      <c r="G34">
        <v>1</v>
      </c>
      <c r="H34">
        <v>1</v>
      </c>
      <c r="I34" t="s">
        <v>17</v>
      </c>
    </row>
    <row r="35" spans="1:9" x14ac:dyDescent="0.3">
      <c r="A35" t="s">
        <v>35</v>
      </c>
      <c r="B35" t="s">
        <v>21</v>
      </c>
      <c r="C35" s="2" t="s">
        <v>22</v>
      </c>
      <c r="D35" t="s">
        <v>31</v>
      </c>
      <c r="E35">
        <v>1</v>
      </c>
      <c r="F35" t="s">
        <v>16</v>
      </c>
      <c r="G35">
        <v>1</v>
      </c>
      <c r="H35">
        <v>1</v>
      </c>
      <c r="I35" t="s">
        <v>17</v>
      </c>
    </row>
    <row r="36" spans="1:9" x14ac:dyDescent="0.3">
      <c r="A36" t="s">
        <v>36</v>
      </c>
      <c r="B36" t="s">
        <v>21</v>
      </c>
      <c r="C36" s="2" t="s">
        <v>22</v>
      </c>
      <c r="D36" t="s">
        <v>31</v>
      </c>
      <c r="E36">
        <v>1</v>
      </c>
      <c r="F36" t="s">
        <v>16</v>
      </c>
      <c r="G36">
        <v>1</v>
      </c>
      <c r="H36">
        <v>1</v>
      </c>
      <c r="I36" t="s">
        <v>17</v>
      </c>
    </row>
    <row r="37" spans="1:9" x14ac:dyDescent="0.3">
      <c r="A37" t="s">
        <v>37</v>
      </c>
      <c r="B37" t="s">
        <v>21</v>
      </c>
      <c r="C37" s="2" t="s">
        <v>22</v>
      </c>
      <c r="D37" t="s">
        <v>31</v>
      </c>
      <c r="E37">
        <v>1</v>
      </c>
      <c r="F37" t="s">
        <v>16</v>
      </c>
      <c r="G37">
        <v>1</v>
      </c>
      <c r="H37">
        <v>1</v>
      </c>
      <c r="I37" t="s">
        <v>17</v>
      </c>
    </row>
    <row r="38" spans="1:9" x14ac:dyDescent="0.3">
      <c r="A38" t="s">
        <v>38</v>
      </c>
      <c r="B38" t="s">
        <v>21</v>
      </c>
      <c r="C38" s="2" t="s">
        <v>22</v>
      </c>
      <c r="D38" t="s">
        <v>27</v>
      </c>
      <c r="E38">
        <v>1</v>
      </c>
      <c r="F38" t="s">
        <v>16</v>
      </c>
      <c r="G38">
        <v>1</v>
      </c>
      <c r="H38">
        <v>1</v>
      </c>
      <c r="I38" t="s">
        <v>17</v>
      </c>
    </row>
    <row r="39" spans="1:9" x14ac:dyDescent="0.3">
      <c r="A39" t="s">
        <v>39</v>
      </c>
      <c r="B39" t="s">
        <v>21</v>
      </c>
      <c r="C39" s="2" t="s">
        <v>22</v>
      </c>
      <c r="D39" t="s">
        <v>31</v>
      </c>
      <c r="E39">
        <v>1</v>
      </c>
      <c r="F39" t="s">
        <v>16</v>
      </c>
      <c r="G39">
        <v>1</v>
      </c>
      <c r="H39">
        <v>1</v>
      </c>
      <c r="I39" t="s">
        <v>17</v>
      </c>
    </row>
    <row r="40" spans="1:9" x14ac:dyDescent="0.3">
      <c r="A40" t="s">
        <v>40</v>
      </c>
      <c r="B40" t="s">
        <v>21</v>
      </c>
      <c r="C40" s="2" t="s">
        <v>22</v>
      </c>
      <c r="D40" t="s">
        <v>31</v>
      </c>
      <c r="E40">
        <v>1</v>
      </c>
      <c r="F40" t="s">
        <v>16</v>
      </c>
      <c r="G40">
        <v>1</v>
      </c>
      <c r="H40">
        <v>1</v>
      </c>
      <c r="I40" t="s">
        <v>17</v>
      </c>
    </row>
    <row r="41" spans="1:9" x14ac:dyDescent="0.3">
      <c r="A41" t="s">
        <v>41</v>
      </c>
      <c r="B41" t="s">
        <v>21</v>
      </c>
      <c r="C41" s="2" t="s">
        <v>22</v>
      </c>
      <c r="D41" t="s">
        <v>31</v>
      </c>
      <c r="E41">
        <v>1</v>
      </c>
      <c r="F41" t="s">
        <v>16</v>
      </c>
      <c r="G41">
        <v>1</v>
      </c>
      <c r="H41">
        <v>1</v>
      </c>
      <c r="I41" t="s">
        <v>17</v>
      </c>
    </row>
    <row r="42" spans="1:9" x14ac:dyDescent="0.3">
      <c r="A42" t="s">
        <v>42</v>
      </c>
      <c r="B42" t="s">
        <v>21</v>
      </c>
      <c r="C42" s="2" t="s">
        <v>22</v>
      </c>
      <c r="D42" t="s">
        <v>25</v>
      </c>
      <c r="E42">
        <v>1</v>
      </c>
      <c r="F42" t="s">
        <v>16</v>
      </c>
      <c r="G42">
        <v>1</v>
      </c>
      <c r="H42">
        <v>1</v>
      </c>
      <c r="I42" t="s">
        <v>17</v>
      </c>
    </row>
    <row r="43" spans="1:9" x14ac:dyDescent="0.3">
      <c r="A43" t="s">
        <v>43</v>
      </c>
      <c r="B43" t="s">
        <v>21</v>
      </c>
      <c r="C43" s="2" t="s">
        <v>22</v>
      </c>
      <c r="D43" t="s">
        <v>25</v>
      </c>
      <c r="E43">
        <v>1</v>
      </c>
      <c r="F43" t="s">
        <v>16</v>
      </c>
      <c r="G43">
        <v>1</v>
      </c>
      <c r="H43">
        <v>1</v>
      </c>
      <c r="I43" t="s">
        <v>17</v>
      </c>
    </row>
    <row r="44" spans="1:9" x14ac:dyDescent="0.3">
      <c r="A44" t="s">
        <v>44</v>
      </c>
      <c r="B44" t="s">
        <v>21</v>
      </c>
      <c r="C44" s="2" t="s">
        <v>22</v>
      </c>
      <c r="D44" t="s">
        <v>27</v>
      </c>
      <c r="E44">
        <v>1</v>
      </c>
      <c r="F44" t="s">
        <v>16</v>
      </c>
      <c r="G44">
        <v>1</v>
      </c>
      <c r="H44">
        <v>1</v>
      </c>
      <c r="I44" t="s">
        <v>17</v>
      </c>
    </row>
    <row r="45" spans="1:9" x14ac:dyDescent="0.3">
      <c r="A45" t="s">
        <v>45</v>
      </c>
      <c r="B45" t="s">
        <v>21</v>
      </c>
      <c r="C45" s="2" t="s">
        <v>22</v>
      </c>
      <c r="D45" t="s">
        <v>25</v>
      </c>
      <c r="E45">
        <v>1</v>
      </c>
      <c r="F45" t="s">
        <v>16</v>
      </c>
      <c r="G45">
        <v>1</v>
      </c>
      <c r="H45">
        <v>1</v>
      </c>
      <c r="I45" t="s">
        <v>17</v>
      </c>
    </row>
    <row r="46" spans="1:9" x14ac:dyDescent="0.3">
      <c r="A46" t="s">
        <v>46</v>
      </c>
      <c r="B46" t="s">
        <v>21</v>
      </c>
      <c r="C46" s="2" t="s">
        <v>22</v>
      </c>
      <c r="D46" t="s">
        <v>31</v>
      </c>
      <c r="E46">
        <v>1</v>
      </c>
      <c r="F46" t="s">
        <v>16</v>
      </c>
      <c r="G46">
        <v>1</v>
      </c>
      <c r="H46">
        <v>1</v>
      </c>
      <c r="I46" t="s">
        <v>17</v>
      </c>
    </row>
    <row r="47" spans="1:9" x14ac:dyDescent="0.3">
      <c r="A47" t="s">
        <v>47</v>
      </c>
      <c r="B47" t="s">
        <v>21</v>
      </c>
      <c r="C47" s="2" t="s">
        <v>22</v>
      </c>
      <c r="D47" t="s">
        <v>25</v>
      </c>
      <c r="E47">
        <v>1</v>
      </c>
      <c r="F47" t="s">
        <v>16</v>
      </c>
      <c r="G47">
        <v>1</v>
      </c>
      <c r="H47">
        <v>1</v>
      </c>
      <c r="I47" t="s">
        <v>17</v>
      </c>
    </row>
    <row r="48" spans="1:9" x14ac:dyDescent="0.3">
      <c r="A48" t="s">
        <v>20</v>
      </c>
      <c r="B48" t="s">
        <v>48</v>
      </c>
      <c r="C48" s="2" t="s">
        <v>49</v>
      </c>
      <c r="D48" t="s">
        <v>50</v>
      </c>
      <c r="E48">
        <v>1</v>
      </c>
      <c r="F48" t="s">
        <v>16</v>
      </c>
      <c r="G48">
        <v>1</v>
      </c>
      <c r="H48">
        <v>1</v>
      </c>
      <c r="I48" t="s">
        <v>17</v>
      </c>
    </row>
    <row r="49" spans="1:9" x14ac:dyDescent="0.3">
      <c r="A49" t="s">
        <v>24</v>
      </c>
      <c r="B49" t="s">
        <v>48</v>
      </c>
      <c r="C49" s="2" t="s">
        <v>49</v>
      </c>
      <c r="D49" t="s">
        <v>51</v>
      </c>
      <c r="E49">
        <v>1</v>
      </c>
      <c r="F49" t="s">
        <v>16</v>
      </c>
      <c r="G49">
        <v>1</v>
      </c>
      <c r="H49">
        <v>1</v>
      </c>
      <c r="I49" t="s">
        <v>17</v>
      </c>
    </row>
    <row r="50" spans="1:9" x14ac:dyDescent="0.3">
      <c r="A50" t="s">
        <v>26</v>
      </c>
      <c r="B50" t="s">
        <v>48</v>
      </c>
      <c r="C50" s="2" t="s">
        <v>49</v>
      </c>
      <c r="D50" t="s">
        <v>52</v>
      </c>
      <c r="E50">
        <v>1</v>
      </c>
      <c r="F50" t="s">
        <v>16</v>
      </c>
      <c r="G50">
        <v>1</v>
      </c>
      <c r="H50">
        <v>1</v>
      </c>
      <c r="I50" t="s">
        <v>17</v>
      </c>
    </row>
    <row r="51" spans="1:9" x14ac:dyDescent="0.3">
      <c r="A51" t="s">
        <v>28</v>
      </c>
      <c r="B51" t="s">
        <v>48</v>
      </c>
      <c r="C51" s="2" t="s">
        <v>49</v>
      </c>
      <c r="D51" t="s">
        <v>52</v>
      </c>
      <c r="E51">
        <v>1</v>
      </c>
      <c r="F51" t="s">
        <v>16</v>
      </c>
      <c r="G51">
        <v>1</v>
      </c>
      <c r="H51">
        <v>1</v>
      </c>
      <c r="I51" t="s">
        <v>17</v>
      </c>
    </row>
    <row r="52" spans="1:9" x14ac:dyDescent="0.3">
      <c r="A52" t="s">
        <v>29</v>
      </c>
      <c r="B52" t="s">
        <v>48</v>
      </c>
      <c r="C52" s="2" t="s">
        <v>49</v>
      </c>
      <c r="D52" t="s">
        <v>52</v>
      </c>
      <c r="E52">
        <v>1</v>
      </c>
      <c r="F52" t="s">
        <v>16</v>
      </c>
      <c r="G52">
        <v>1</v>
      </c>
      <c r="H52">
        <v>1</v>
      </c>
      <c r="I52" t="s">
        <v>17</v>
      </c>
    </row>
    <row r="53" spans="1:9" x14ac:dyDescent="0.3">
      <c r="A53" t="s">
        <v>30</v>
      </c>
      <c r="B53" t="s">
        <v>48</v>
      </c>
      <c r="C53" s="2" t="s">
        <v>49</v>
      </c>
      <c r="D53" t="s">
        <v>53</v>
      </c>
      <c r="E53">
        <v>1</v>
      </c>
      <c r="F53" t="s">
        <v>16</v>
      </c>
      <c r="G53">
        <v>1</v>
      </c>
      <c r="H53">
        <v>1</v>
      </c>
      <c r="I53" t="s">
        <v>17</v>
      </c>
    </row>
    <row r="54" spans="1:9" x14ac:dyDescent="0.3">
      <c r="A54" t="s">
        <v>32</v>
      </c>
      <c r="B54" t="s">
        <v>48</v>
      </c>
      <c r="C54" s="2" t="s">
        <v>49</v>
      </c>
      <c r="D54" t="s">
        <v>51</v>
      </c>
      <c r="E54">
        <v>1</v>
      </c>
      <c r="F54" t="s">
        <v>16</v>
      </c>
      <c r="G54">
        <v>1</v>
      </c>
      <c r="H54">
        <v>1</v>
      </c>
      <c r="I54" t="s">
        <v>17</v>
      </c>
    </row>
    <row r="55" spans="1:9" x14ac:dyDescent="0.3">
      <c r="A55" t="s">
        <v>33</v>
      </c>
      <c r="B55" t="s">
        <v>48</v>
      </c>
      <c r="C55" s="2" t="s">
        <v>49</v>
      </c>
      <c r="D55" t="s">
        <v>53</v>
      </c>
      <c r="E55">
        <v>1</v>
      </c>
      <c r="F55" t="s">
        <v>16</v>
      </c>
      <c r="G55">
        <v>1</v>
      </c>
      <c r="H55">
        <v>1</v>
      </c>
      <c r="I55" t="s">
        <v>17</v>
      </c>
    </row>
    <row r="56" spans="1:9" x14ac:dyDescent="0.3">
      <c r="A56" t="s">
        <v>34</v>
      </c>
      <c r="B56" t="s">
        <v>48</v>
      </c>
      <c r="C56" s="2" t="s">
        <v>49</v>
      </c>
      <c r="D56" t="s">
        <v>51</v>
      </c>
      <c r="E56">
        <v>1</v>
      </c>
      <c r="F56" t="s">
        <v>16</v>
      </c>
      <c r="G56">
        <v>1</v>
      </c>
      <c r="H56">
        <v>1</v>
      </c>
      <c r="I56" t="s">
        <v>17</v>
      </c>
    </row>
    <row r="57" spans="1:9" x14ac:dyDescent="0.3">
      <c r="A57" t="s">
        <v>35</v>
      </c>
      <c r="B57" t="s">
        <v>48</v>
      </c>
      <c r="C57" s="2" t="s">
        <v>49</v>
      </c>
      <c r="D57" t="s">
        <v>53</v>
      </c>
      <c r="E57">
        <v>1</v>
      </c>
      <c r="F57" t="s">
        <v>16</v>
      </c>
      <c r="G57">
        <v>1</v>
      </c>
      <c r="H57">
        <v>1</v>
      </c>
      <c r="I57" t="s">
        <v>17</v>
      </c>
    </row>
    <row r="58" spans="1:9" x14ac:dyDescent="0.3">
      <c r="A58" t="s">
        <v>36</v>
      </c>
      <c r="B58" t="s">
        <v>48</v>
      </c>
      <c r="C58" s="2" t="s">
        <v>49</v>
      </c>
      <c r="D58" t="s">
        <v>53</v>
      </c>
      <c r="E58">
        <v>1</v>
      </c>
      <c r="F58" t="s">
        <v>16</v>
      </c>
      <c r="G58">
        <v>1</v>
      </c>
      <c r="H58">
        <v>1</v>
      </c>
      <c r="I58" t="s">
        <v>17</v>
      </c>
    </row>
    <row r="59" spans="1:9" x14ac:dyDescent="0.3">
      <c r="A59" t="s">
        <v>37</v>
      </c>
      <c r="B59" t="s">
        <v>48</v>
      </c>
      <c r="C59" s="2" t="s">
        <v>49</v>
      </c>
      <c r="D59" t="s">
        <v>53</v>
      </c>
      <c r="E59">
        <v>1</v>
      </c>
      <c r="F59" t="s">
        <v>16</v>
      </c>
      <c r="G59">
        <v>1</v>
      </c>
      <c r="H59">
        <v>1</v>
      </c>
      <c r="I59" t="s">
        <v>17</v>
      </c>
    </row>
    <row r="60" spans="1:9" x14ac:dyDescent="0.3">
      <c r="A60" t="s">
        <v>38</v>
      </c>
      <c r="B60" t="s">
        <v>48</v>
      </c>
      <c r="C60" s="2" t="s">
        <v>49</v>
      </c>
      <c r="D60" t="s">
        <v>52</v>
      </c>
      <c r="E60">
        <v>1</v>
      </c>
      <c r="F60" t="s">
        <v>16</v>
      </c>
      <c r="G60">
        <v>1</v>
      </c>
      <c r="H60">
        <v>1</v>
      </c>
      <c r="I60" t="s">
        <v>17</v>
      </c>
    </row>
    <row r="61" spans="1:9" x14ac:dyDescent="0.3">
      <c r="A61" t="s">
        <v>39</v>
      </c>
      <c r="B61" t="s">
        <v>48</v>
      </c>
      <c r="C61" s="2" t="s">
        <v>49</v>
      </c>
      <c r="D61" t="s">
        <v>53</v>
      </c>
      <c r="E61">
        <v>1</v>
      </c>
      <c r="F61" t="s">
        <v>16</v>
      </c>
      <c r="G61">
        <v>1</v>
      </c>
      <c r="H61">
        <v>1</v>
      </c>
      <c r="I61" t="s">
        <v>17</v>
      </c>
    </row>
    <row r="62" spans="1:9" x14ac:dyDescent="0.3">
      <c r="A62" t="s">
        <v>40</v>
      </c>
      <c r="B62" t="s">
        <v>48</v>
      </c>
      <c r="C62" s="2" t="s">
        <v>49</v>
      </c>
      <c r="D62" t="s">
        <v>53</v>
      </c>
      <c r="E62">
        <v>1</v>
      </c>
      <c r="F62" t="s">
        <v>16</v>
      </c>
      <c r="G62">
        <v>1</v>
      </c>
      <c r="H62">
        <v>1</v>
      </c>
      <c r="I62" t="s">
        <v>17</v>
      </c>
    </row>
    <row r="63" spans="1:9" x14ac:dyDescent="0.3">
      <c r="A63" t="s">
        <v>41</v>
      </c>
      <c r="B63" t="s">
        <v>48</v>
      </c>
      <c r="C63" s="2" t="s">
        <v>49</v>
      </c>
      <c r="D63" t="s">
        <v>53</v>
      </c>
      <c r="E63">
        <v>1</v>
      </c>
      <c r="F63" t="s">
        <v>16</v>
      </c>
      <c r="G63">
        <v>1</v>
      </c>
      <c r="H63">
        <v>1</v>
      </c>
      <c r="I63" t="s">
        <v>17</v>
      </c>
    </row>
    <row r="64" spans="1:9" x14ac:dyDescent="0.3">
      <c r="A64" t="s">
        <v>42</v>
      </c>
      <c r="B64" t="s">
        <v>48</v>
      </c>
      <c r="C64" s="2" t="s">
        <v>49</v>
      </c>
      <c r="D64" t="s">
        <v>51</v>
      </c>
      <c r="E64">
        <v>1</v>
      </c>
      <c r="F64" t="s">
        <v>16</v>
      </c>
      <c r="G64">
        <v>1</v>
      </c>
      <c r="H64">
        <v>1</v>
      </c>
      <c r="I64" t="s">
        <v>17</v>
      </c>
    </row>
    <row r="65" spans="1:9" x14ac:dyDescent="0.3">
      <c r="A65" t="s">
        <v>43</v>
      </c>
      <c r="B65" t="s">
        <v>48</v>
      </c>
      <c r="C65" s="2" t="s">
        <v>49</v>
      </c>
      <c r="D65" t="s">
        <v>51</v>
      </c>
      <c r="E65">
        <v>1</v>
      </c>
      <c r="F65" t="s">
        <v>16</v>
      </c>
      <c r="G65">
        <v>1</v>
      </c>
      <c r="H65">
        <v>1</v>
      </c>
      <c r="I65" t="s">
        <v>17</v>
      </c>
    </row>
    <row r="66" spans="1:9" x14ac:dyDescent="0.3">
      <c r="A66" t="s">
        <v>44</v>
      </c>
      <c r="B66" t="s">
        <v>48</v>
      </c>
      <c r="C66" s="2" t="s">
        <v>49</v>
      </c>
      <c r="D66" t="s">
        <v>52</v>
      </c>
      <c r="E66">
        <v>1</v>
      </c>
      <c r="F66" t="s">
        <v>16</v>
      </c>
      <c r="G66">
        <v>1</v>
      </c>
      <c r="H66">
        <v>1</v>
      </c>
      <c r="I66" t="s">
        <v>17</v>
      </c>
    </row>
    <row r="67" spans="1:9" x14ac:dyDescent="0.3">
      <c r="A67" t="s">
        <v>45</v>
      </c>
      <c r="B67" t="s">
        <v>48</v>
      </c>
      <c r="C67" s="2" t="s">
        <v>49</v>
      </c>
      <c r="D67" t="s">
        <v>51</v>
      </c>
      <c r="E67">
        <v>1</v>
      </c>
      <c r="F67" t="s">
        <v>16</v>
      </c>
      <c r="G67">
        <v>1</v>
      </c>
      <c r="H67">
        <v>1</v>
      </c>
      <c r="I67" t="s">
        <v>17</v>
      </c>
    </row>
    <row r="68" spans="1:9" x14ac:dyDescent="0.3">
      <c r="A68" t="s">
        <v>46</v>
      </c>
      <c r="B68" t="s">
        <v>48</v>
      </c>
      <c r="C68" s="2" t="s">
        <v>49</v>
      </c>
      <c r="D68" t="s">
        <v>53</v>
      </c>
      <c r="E68">
        <v>1</v>
      </c>
      <c r="F68" t="s">
        <v>16</v>
      </c>
      <c r="G68">
        <v>1</v>
      </c>
      <c r="H68">
        <v>1</v>
      </c>
      <c r="I68" t="s">
        <v>17</v>
      </c>
    </row>
    <row r="69" spans="1:9" x14ac:dyDescent="0.3">
      <c r="A69" t="s">
        <v>47</v>
      </c>
      <c r="B69" t="s">
        <v>48</v>
      </c>
      <c r="C69" s="2" t="s">
        <v>49</v>
      </c>
      <c r="D69" t="s">
        <v>51</v>
      </c>
      <c r="E69">
        <v>1</v>
      </c>
      <c r="F69" t="s">
        <v>16</v>
      </c>
      <c r="G69">
        <v>1</v>
      </c>
      <c r="H69">
        <v>1</v>
      </c>
      <c r="I69" t="s">
        <v>17</v>
      </c>
    </row>
    <row r="70" spans="1:9" x14ac:dyDescent="0.3">
      <c r="A70" t="s">
        <v>13</v>
      </c>
      <c r="B70" s="2" t="s">
        <v>54</v>
      </c>
      <c r="C70" s="2" t="s">
        <v>55</v>
      </c>
      <c r="D70" t="s">
        <v>56</v>
      </c>
      <c r="E70">
        <v>1</v>
      </c>
      <c r="F70" t="s">
        <v>57</v>
      </c>
      <c r="G70">
        <v>1</v>
      </c>
      <c r="H70">
        <v>1</v>
      </c>
      <c r="I70" t="s">
        <v>17</v>
      </c>
    </row>
    <row r="71" spans="1:9" x14ac:dyDescent="0.3">
      <c r="A71" t="s">
        <v>13</v>
      </c>
      <c r="B71" t="s">
        <v>58</v>
      </c>
      <c r="C71" t="s">
        <v>59</v>
      </c>
      <c r="D71" t="s">
        <v>59</v>
      </c>
      <c r="E71">
        <v>1</v>
      </c>
      <c r="F71" t="s">
        <v>57</v>
      </c>
      <c r="G71">
        <v>1</v>
      </c>
      <c r="H71">
        <v>1</v>
      </c>
      <c r="I71" t="s">
        <v>17</v>
      </c>
    </row>
    <row r="72" spans="1:9" x14ac:dyDescent="0.3">
      <c r="A72" t="s">
        <v>20</v>
      </c>
      <c r="B72" t="s">
        <v>60</v>
      </c>
      <c r="C72" s="2" t="s">
        <v>61</v>
      </c>
      <c r="D72" t="s">
        <v>62</v>
      </c>
      <c r="E72">
        <v>1</v>
      </c>
      <c r="F72" t="s">
        <v>16</v>
      </c>
      <c r="G72">
        <v>1</v>
      </c>
      <c r="H72">
        <v>1</v>
      </c>
      <c r="I72" t="s">
        <v>17</v>
      </c>
    </row>
    <row r="73" spans="1:9" x14ac:dyDescent="0.3">
      <c r="A73" t="s">
        <v>24</v>
      </c>
      <c r="B73" t="s">
        <v>60</v>
      </c>
      <c r="C73" s="2" t="s">
        <v>61</v>
      </c>
      <c r="D73" t="s">
        <v>63</v>
      </c>
      <c r="E73">
        <v>1</v>
      </c>
      <c r="F73" t="s">
        <v>16</v>
      </c>
      <c r="G73">
        <v>1</v>
      </c>
      <c r="H73">
        <v>1</v>
      </c>
      <c r="I73" t="s">
        <v>17</v>
      </c>
    </row>
    <row r="74" spans="1:9" x14ac:dyDescent="0.3">
      <c r="A74" t="s">
        <v>26</v>
      </c>
      <c r="B74" t="s">
        <v>60</v>
      </c>
      <c r="C74" s="2" t="s">
        <v>61</v>
      </c>
      <c r="D74" t="s">
        <v>64</v>
      </c>
      <c r="E74">
        <v>1</v>
      </c>
      <c r="F74" t="s">
        <v>16</v>
      </c>
      <c r="G74">
        <v>1</v>
      </c>
      <c r="H74">
        <v>1</v>
      </c>
      <c r="I74" t="s">
        <v>17</v>
      </c>
    </row>
    <row r="75" spans="1:9" x14ac:dyDescent="0.3">
      <c r="A75" t="s">
        <v>28</v>
      </c>
      <c r="B75" t="s">
        <v>60</v>
      </c>
      <c r="C75" s="2" t="s">
        <v>61</v>
      </c>
      <c r="D75" t="s">
        <v>64</v>
      </c>
      <c r="E75">
        <v>1</v>
      </c>
      <c r="F75" t="s">
        <v>16</v>
      </c>
      <c r="G75">
        <v>1</v>
      </c>
      <c r="H75">
        <v>1</v>
      </c>
      <c r="I75" t="s">
        <v>17</v>
      </c>
    </row>
    <row r="76" spans="1:9" x14ac:dyDescent="0.3">
      <c r="A76" t="s">
        <v>29</v>
      </c>
      <c r="B76" t="s">
        <v>60</v>
      </c>
      <c r="C76" s="2" t="s">
        <v>61</v>
      </c>
      <c r="D76" t="s">
        <v>64</v>
      </c>
      <c r="E76">
        <v>1</v>
      </c>
      <c r="F76" t="s">
        <v>16</v>
      </c>
      <c r="G76">
        <v>1</v>
      </c>
      <c r="H76">
        <v>1</v>
      </c>
      <c r="I76" t="s">
        <v>17</v>
      </c>
    </row>
    <row r="77" spans="1:9" x14ac:dyDescent="0.3">
      <c r="A77" t="s">
        <v>30</v>
      </c>
      <c r="B77" t="s">
        <v>60</v>
      </c>
      <c r="C77" s="2" t="s">
        <v>61</v>
      </c>
      <c r="D77" t="s">
        <v>65</v>
      </c>
      <c r="E77">
        <v>1</v>
      </c>
      <c r="F77" t="s">
        <v>16</v>
      </c>
      <c r="G77">
        <v>1</v>
      </c>
      <c r="H77">
        <v>1</v>
      </c>
      <c r="I77" t="s">
        <v>17</v>
      </c>
    </row>
    <row r="78" spans="1:9" x14ac:dyDescent="0.3">
      <c r="A78" t="s">
        <v>32</v>
      </c>
      <c r="B78" t="s">
        <v>60</v>
      </c>
      <c r="C78" s="2" t="s">
        <v>61</v>
      </c>
      <c r="D78" t="s">
        <v>63</v>
      </c>
      <c r="E78">
        <v>1</v>
      </c>
      <c r="F78" t="s">
        <v>16</v>
      </c>
      <c r="G78">
        <v>1</v>
      </c>
      <c r="H78">
        <v>1</v>
      </c>
      <c r="I78" t="s">
        <v>17</v>
      </c>
    </row>
    <row r="79" spans="1:9" x14ac:dyDescent="0.3">
      <c r="A79" t="s">
        <v>33</v>
      </c>
      <c r="B79" t="s">
        <v>60</v>
      </c>
      <c r="C79" s="2" t="s">
        <v>61</v>
      </c>
      <c r="D79" t="s">
        <v>65</v>
      </c>
      <c r="E79">
        <v>1</v>
      </c>
      <c r="F79" t="s">
        <v>16</v>
      </c>
      <c r="G79">
        <v>1</v>
      </c>
      <c r="H79">
        <v>1</v>
      </c>
      <c r="I79" t="s">
        <v>17</v>
      </c>
    </row>
    <row r="80" spans="1:9" x14ac:dyDescent="0.3">
      <c r="A80" t="s">
        <v>34</v>
      </c>
      <c r="B80" t="s">
        <v>60</v>
      </c>
      <c r="C80" s="2" t="s">
        <v>61</v>
      </c>
      <c r="D80" t="s">
        <v>63</v>
      </c>
      <c r="E80">
        <v>1</v>
      </c>
      <c r="F80" t="s">
        <v>16</v>
      </c>
      <c r="G80">
        <v>1</v>
      </c>
      <c r="H80">
        <v>1</v>
      </c>
      <c r="I80" t="s">
        <v>17</v>
      </c>
    </row>
    <row r="81" spans="1:9" x14ac:dyDescent="0.3">
      <c r="A81" t="s">
        <v>35</v>
      </c>
      <c r="B81" t="s">
        <v>60</v>
      </c>
      <c r="C81" s="2" t="s">
        <v>61</v>
      </c>
      <c r="D81" t="s">
        <v>65</v>
      </c>
      <c r="E81">
        <v>1</v>
      </c>
      <c r="F81" t="s">
        <v>16</v>
      </c>
      <c r="G81">
        <v>1</v>
      </c>
      <c r="H81">
        <v>1</v>
      </c>
      <c r="I81" t="s">
        <v>17</v>
      </c>
    </row>
    <row r="82" spans="1:9" x14ac:dyDescent="0.3">
      <c r="A82" t="s">
        <v>36</v>
      </c>
      <c r="B82" t="s">
        <v>60</v>
      </c>
      <c r="C82" s="2" t="s">
        <v>61</v>
      </c>
      <c r="D82" t="s">
        <v>65</v>
      </c>
      <c r="E82">
        <v>1</v>
      </c>
      <c r="F82" t="s">
        <v>16</v>
      </c>
      <c r="G82">
        <v>1</v>
      </c>
      <c r="H82">
        <v>1</v>
      </c>
      <c r="I82" t="s">
        <v>17</v>
      </c>
    </row>
    <row r="83" spans="1:9" x14ac:dyDescent="0.3">
      <c r="A83" t="s">
        <v>37</v>
      </c>
      <c r="B83" t="s">
        <v>60</v>
      </c>
      <c r="C83" s="2" t="s">
        <v>61</v>
      </c>
      <c r="D83" t="s">
        <v>65</v>
      </c>
      <c r="E83">
        <v>1</v>
      </c>
      <c r="F83" t="s">
        <v>16</v>
      </c>
      <c r="G83">
        <v>1</v>
      </c>
      <c r="H83">
        <v>1</v>
      </c>
      <c r="I83" t="s">
        <v>17</v>
      </c>
    </row>
    <row r="84" spans="1:9" x14ac:dyDescent="0.3">
      <c r="A84" t="s">
        <v>38</v>
      </c>
      <c r="B84" t="s">
        <v>60</v>
      </c>
      <c r="C84" s="2" t="s">
        <v>61</v>
      </c>
      <c r="D84" t="s">
        <v>64</v>
      </c>
      <c r="E84">
        <v>1</v>
      </c>
      <c r="F84" t="s">
        <v>16</v>
      </c>
      <c r="G84">
        <v>1</v>
      </c>
      <c r="H84">
        <v>1</v>
      </c>
      <c r="I84" t="s">
        <v>17</v>
      </c>
    </row>
    <row r="85" spans="1:9" x14ac:dyDescent="0.3">
      <c r="A85" t="s">
        <v>39</v>
      </c>
      <c r="B85" t="s">
        <v>60</v>
      </c>
      <c r="C85" s="2" t="s">
        <v>61</v>
      </c>
      <c r="D85" t="s">
        <v>65</v>
      </c>
      <c r="E85">
        <v>1</v>
      </c>
      <c r="F85" t="s">
        <v>16</v>
      </c>
      <c r="G85">
        <v>1</v>
      </c>
      <c r="H85">
        <v>1</v>
      </c>
      <c r="I85" t="s">
        <v>17</v>
      </c>
    </row>
    <row r="86" spans="1:9" x14ac:dyDescent="0.3">
      <c r="A86" t="s">
        <v>40</v>
      </c>
      <c r="B86" t="s">
        <v>60</v>
      </c>
      <c r="C86" s="2" t="s">
        <v>61</v>
      </c>
      <c r="D86" t="s">
        <v>65</v>
      </c>
      <c r="E86">
        <v>1</v>
      </c>
      <c r="F86" t="s">
        <v>16</v>
      </c>
      <c r="G86">
        <v>1</v>
      </c>
      <c r="H86">
        <v>1</v>
      </c>
      <c r="I86" t="s">
        <v>17</v>
      </c>
    </row>
    <row r="87" spans="1:9" x14ac:dyDescent="0.3">
      <c r="A87" t="s">
        <v>41</v>
      </c>
      <c r="B87" t="s">
        <v>60</v>
      </c>
      <c r="C87" s="2" t="s">
        <v>61</v>
      </c>
      <c r="D87" t="s">
        <v>65</v>
      </c>
      <c r="E87">
        <v>1</v>
      </c>
      <c r="F87" t="s">
        <v>16</v>
      </c>
      <c r="G87">
        <v>1</v>
      </c>
      <c r="H87">
        <v>1</v>
      </c>
      <c r="I87" t="s">
        <v>17</v>
      </c>
    </row>
    <row r="88" spans="1:9" x14ac:dyDescent="0.3">
      <c r="A88" t="s">
        <v>42</v>
      </c>
      <c r="B88" t="s">
        <v>60</v>
      </c>
      <c r="C88" s="2" t="s">
        <v>61</v>
      </c>
      <c r="D88" t="s">
        <v>63</v>
      </c>
      <c r="E88">
        <v>1</v>
      </c>
      <c r="F88" t="s">
        <v>16</v>
      </c>
      <c r="G88">
        <v>1</v>
      </c>
      <c r="H88">
        <v>1</v>
      </c>
      <c r="I88" t="s">
        <v>17</v>
      </c>
    </row>
    <row r="89" spans="1:9" x14ac:dyDescent="0.3">
      <c r="A89" t="s">
        <v>43</v>
      </c>
      <c r="B89" t="s">
        <v>60</v>
      </c>
      <c r="C89" s="2" t="s">
        <v>61</v>
      </c>
      <c r="D89" t="s">
        <v>63</v>
      </c>
      <c r="E89">
        <v>1</v>
      </c>
      <c r="F89" t="s">
        <v>16</v>
      </c>
      <c r="G89">
        <v>1</v>
      </c>
      <c r="H89">
        <v>1</v>
      </c>
      <c r="I89" t="s">
        <v>17</v>
      </c>
    </row>
    <row r="90" spans="1:9" x14ac:dyDescent="0.3">
      <c r="A90" t="s">
        <v>44</v>
      </c>
      <c r="B90" t="s">
        <v>60</v>
      </c>
      <c r="C90" s="2" t="s">
        <v>61</v>
      </c>
      <c r="D90" t="s">
        <v>64</v>
      </c>
      <c r="E90">
        <v>1</v>
      </c>
      <c r="F90" t="s">
        <v>16</v>
      </c>
      <c r="G90">
        <v>1</v>
      </c>
      <c r="H90">
        <v>1</v>
      </c>
      <c r="I90" t="s">
        <v>17</v>
      </c>
    </row>
    <row r="91" spans="1:9" x14ac:dyDescent="0.3">
      <c r="A91" t="s">
        <v>45</v>
      </c>
      <c r="B91" t="s">
        <v>60</v>
      </c>
      <c r="C91" s="2" t="s">
        <v>61</v>
      </c>
      <c r="D91" t="s">
        <v>63</v>
      </c>
      <c r="E91">
        <v>1</v>
      </c>
      <c r="F91" t="s">
        <v>16</v>
      </c>
      <c r="G91">
        <v>1</v>
      </c>
      <c r="H91">
        <v>1</v>
      </c>
      <c r="I91" t="s">
        <v>17</v>
      </c>
    </row>
    <row r="92" spans="1:9" x14ac:dyDescent="0.3">
      <c r="A92" t="s">
        <v>46</v>
      </c>
      <c r="B92" t="s">
        <v>60</v>
      </c>
      <c r="C92" s="2" t="s">
        <v>61</v>
      </c>
      <c r="D92" t="s">
        <v>65</v>
      </c>
      <c r="E92">
        <v>1</v>
      </c>
      <c r="F92" t="s">
        <v>16</v>
      </c>
      <c r="G92">
        <v>1</v>
      </c>
      <c r="H92">
        <v>1</v>
      </c>
      <c r="I92" t="s">
        <v>17</v>
      </c>
    </row>
    <row r="93" spans="1:9" x14ac:dyDescent="0.3">
      <c r="A93" t="s">
        <v>47</v>
      </c>
      <c r="B93" t="s">
        <v>60</v>
      </c>
      <c r="C93" s="2" t="s">
        <v>61</v>
      </c>
      <c r="D93" t="s">
        <v>63</v>
      </c>
      <c r="E93">
        <v>1</v>
      </c>
      <c r="F93" t="s">
        <v>16</v>
      </c>
      <c r="G93">
        <v>1</v>
      </c>
      <c r="H93">
        <v>1</v>
      </c>
      <c r="I93" t="s">
        <v>17</v>
      </c>
    </row>
    <row r="94" spans="1:9" x14ac:dyDescent="0.3">
      <c r="A94" t="s">
        <v>20</v>
      </c>
      <c r="B94" t="s">
        <v>66</v>
      </c>
      <c r="C94" s="2" t="s">
        <v>67</v>
      </c>
      <c r="D94" t="s">
        <v>68</v>
      </c>
      <c r="E94">
        <v>1</v>
      </c>
      <c r="F94" t="s">
        <v>57</v>
      </c>
      <c r="G94">
        <v>1</v>
      </c>
      <c r="H94">
        <v>1</v>
      </c>
      <c r="I94" t="s">
        <v>17</v>
      </c>
    </row>
    <row r="95" spans="1:9" x14ac:dyDescent="0.3">
      <c r="A95" t="s">
        <v>24</v>
      </c>
      <c r="B95" t="s">
        <v>66</v>
      </c>
      <c r="C95" s="2" t="s">
        <v>67</v>
      </c>
      <c r="D95" t="s">
        <v>69</v>
      </c>
      <c r="E95">
        <v>1</v>
      </c>
      <c r="F95" t="s">
        <v>57</v>
      </c>
      <c r="G95">
        <v>1</v>
      </c>
      <c r="H95">
        <v>1</v>
      </c>
      <c r="I95" t="s">
        <v>17</v>
      </c>
    </row>
    <row r="96" spans="1:9" x14ac:dyDescent="0.3">
      <c r="A96" t="s">
        <v>26</v>
      </c>
      <c r="B96" t="s">
        <v>66</v>
      </c>
      <c r="C96" s="2" t="s">
        <v>67</v>
      </c>
      <c r="D96" t="s">
        <v>70</v>
      </c>
      <c r="E96">
        <v>1</v>
      </c>
      <c r="F96" t="s">
        <v>57</v>
      </c>
      <c r="G96">
        <v>1</v>
      </c>
      <c r="H96">
        <v>1</v>
      </c>
      <c r="I96" t="s">
        <v>17</v>
      </c>
    </row>
    <row r="97" spans="1:9" x14ac:dyDescent="0.3">
      <c r="A97" t="s">
        <v>28</v>
      </c>
      <c r="B97" t="s">
        <v>66</v>
      </c>
      <c r="C97" s="2" t="s">
        <v>67</v>
      </c>
      <c r="D97" t="s">
        <v>70</v>
      </c>
      <c r="E97">
        <v>1</v>
      </c>
      <c r="F97" t="s">
        <v>57</v>
      </c>
      <c r="G97">
        <v>1</v>
      </c>
      <c r="H97">
        <v>1</v>
      </c>
      <c r="I97" t="s">
        <v>17</v>
      </c>
    </row>
    <row r="98" spans="1:9" x14ac:dyDescent="0.3">
      <c r="A98" t="s">
        <v>29</v>
      </c>
      <c r="B98" t="s">
        <v>66</v>
      </c>
      <c r="C98" s="2" t="s">
        <v>67</v>
      </c>
      <c r="D98" t="s">
        <v>70</v>
      </c>
      <c r="E98">
        <v>1</v>
      </c>
      <c r="F98" t="s">
        <v>57</v>
      </c>
      <c r="G98">
        <v>1</v>
      </c>
      <c r="H98">
        <v>1</v>
      </c>
      <c r="I98" t="s">
        <v>17</v>
      </c>
    </row>
    <row r="99" spans="1:9" x14ac:dyDescent="0.3">
      <c r="A99" t="s">
        <v>30</v>
      </c>
      <c r="B99" t="s">
        <v>66</v>
      </c>
      <c r="C99" s="2" t="s">
        <v>67</v>
      </c>
      <c r="D99" t="s">
        <v>71</v>
      </c>
      <c r="E99">
        <v>1</v>
      </c>
      <c r="F99" t="s">
        <v>57</v>
      </c>
      <c r="G99">
        <v>1</v>
      </c>
      <c r="H99">
        <v>1</v>
      </c>
      <c r="I99" t="s">
        <v>17</v>
      </c>
    </row>
    <row r="100" spans="1:9" x14ac:dyDescent="0.3">
      <c r="A100" t="s">
        <v>32</v>
      </c>
      <c r="B100" t="s">
        <v>66</v>
      </c>
      <c r="C100" s="2" t="s">
        <v>67</v>
      </c>
      <c r="D100" t="s">
        <v>69</v>
      </c>
      <c r="E100">
        <v>1</v>
      </c>
      <c r="F100" t="s">
        <v>57</v>
      </c>
      <c r="G100">
        <v>1</v>
      </c>
      <c r="H100">
        <v>1</v>
      </c>
      <c r="I100" t="s">
        <v>17</v>
      </c>
    </row>
    <row r="101" spans="1:9" x14ac:dyDescent="0.3">
      <c r="A101" t="s">
        <v>33</v>
      </c>
      <c r="B101" t="s">
        <v>66</v>
      </c>
      <c r="C101" s="2" t="s">
        <v>67</v>
      </c>
      <c r="D101" t="s">
        <v>71</v>
      </c>
      <c r="E101">
        <v>1</v>
      </c>
      <c r="F101" t="s">
        <v>57</v>
      </c>
      <c r="G101">
        <v>1</v>
      </c>
      <c r="H101">
        <v>1</v>
      </c>
      <c r="I101" t="s">
        <v>17</v>
      </c>
    </row>
    <row r="102" spans="1:9" x14ac:dyDescent="0.3">
      <c r="A102" t="s">
        <v>34</v>
      </c>
      <c r="B102" t="s">
        <v>66</v>
      </c>
      <c r="C102" s="2" t="s">
        <v>67</v>
      </c>
      <c r="D102" t="s">
        <v>69</v>
      </c>
      <c r="E102">
        <v>1</v>
      </c>
      <c r="F102" t="s">
        <v>57</v>
      </c>
      <c r="G102">
        <v>1</v>
      </c>
      <c r="H102">
        <v>1</v>
      </c>
      <c r="I102" t="s">
        <v>17</v>
      </c>
    </row>
    <row r="103" spans="1:9" x14ac:dyDescent="0.3">
      <c r="A103" t="s">
        <v>35</v>
      </c>
      <c r="B103" t="s">
        <v>66</v>
      </c>
      <c r="C103" s="2" t="s">
        <v>67</v>
      </c>
      <c r="D103" t="s">
        <v>71</v>
      </c>
      <c r="E103">
        <v>1</v>
      </c>
      <c r="F103" t="s">
        <v>57</v>
      </c>
      <c r="G103">
        <v>1</v>
      </c>
      <c r="H103">
        <v>1</v>
      </c>
      <c r="I103" t="s">
        <v>17</v>
      </c>
    </row>
    <row r="104" spans="1:9" x14ac:dyDescent="0.3">
      <c r="A104" t="s">
        <v>36</v>
      </c>
      <c r="B104" t="s">
        <v>66</v>
      </c>
      <c r="C104" s="2" t="s">
        <v>67</v>
      </c>
      <c r="D104" t="s">
        <v>71</v>
      </c>
      <c r="E104">
        <v>1</v>
      </c>
      <c r="F104" t="s">
        <v>57</v>
      </c>
      <c r="G104">
        <v>1</v>
      </c>
      <c r="H104">
        <v>1</v>
      </c>
      <c r="I104" t="s">
        <v>17</v>
      </c>
    </row>
    <row r="105" spans="1:9" x14ac:dyDescent="0.3">
      <c r="A105" t="s">
        <v>37</v>
      </c>
      <c r="B105" t="s">
        <v>66</v>
      </c>
      <c r="C105" s="2" t="s">
        <v>67</v>
      </c>
      <c r="D105" t="s">
        <v>71</v>
      </c>
      <c r="E105">
        <v>1</v>
      </c>
      <c r="F105" t="s">
        <v>57</v>
      </c>
      <c r="G105">
        <v>1</v>
      </c>
      <c r="H105">
        <v>1</v>
      </c>
      <c r="I105" t="s">
        <v>17</v>
      </c>
    </row>
    <row r="106" spans="1:9" x14ac:dyDescent="0.3">
      <c r="A106" t="s">
        <v>38</v>
      </c>
      <c r="B106" t="s">
        <v>66</v>
      </c>
      <c r="C106" s="2" t="s">
        <v>67</v>
      </c>
      <c r="D106" t="s">
        <v>70</v>
      </c>
      <c r="E106">
        <v>1</v>
      </c>
      <c r="F106" t="s">
        <v>57</v>
      </c>
      <c r="G106">
        <v>1</v>
      </c>
      <c r="H106">
        <v>1</v>
      </c>
      <c r="I106" t="s">
        <v>17</v>
      </c>
    </row>
    <row r="107" spans="1:9" x14ac:dyDescent="0.3">
      <c r="A107" t="s">
        <v>39</v>
      </c>
      <c r="B107" t="s">
        <v>66</v>
      </c>
      <c r="C107" s="2" t="s">
        <v>67</v>
      </c>
      <c r="D107" t="s">
        <v>71</v>
      </c>
      <c r="E107">
        <v>1</v>
      </c>
      <c r="F107" t="s">
        <v>57</v>
      </c>
      <c r="G107">
        <v>1</v>
      </c>
      <c r="H107">
        <v>1</v>
      </c>
      <c r="I107" t="s">
        <v>17</v>
      </c>
    </row>
    <row r="108" spans="1:9" x14ac:dyDescent="0.3">
      <c r="A108" t="s">
        <v>40</v>
      </c>
      <c r="B108" t="s">
        <v>66</v>
      </c>
      <c r="C108" s="2" t="s">
        <v>67</v>
      </c>
      <c r="D108" t="s">
        <v>71</v>
      </c>
      <c r="E108">
        <v>1</v>
      </c>
      <c r="F108" t="s">
        <v>57</v>
      </c>
      <c r="G108">
        <v>1</v>
      </c>
      <c r="H108">
        <v>1</v>
      </c>
      <c r="I108" t="s">
        <v>17</v>
      </c>
    </row>
    <row r="109" spans="1:9" x14ac:dyDescent="0.3">
      <c r="A109" t="s">
        <v>41</v>
      </c>
      <c r="B109" t="s">
        <v>66</v>
      </c>
      <c r="C109" s="2" t="s">
        <v>67</v>
      </c>
      <c r="D109" t="s">
        <v>71</v>
      </c>
      <c r="E109">
        <v>1</v>
      </c>
      <c r="F109" t="s">
        <v>57</v>
      </c>
      <c r="G109">
        <v>1</v>
      </c>
      <c r="H109">
        <v>1</v>
      </c>
      <c r="I109" t="s">
        <v>17</v>
      </c>
    </row>
    <row r="110" spans="1:9" x14ac:dyDescent="0.3">
      <c r="A110" t="s">
        <v>42</v>
      </c>
      <c r="B110" t="s">
        <v>66</v>
      </c>
      <c r="C110" s="2" t="s">
        <v>67</v>
      </c>
      <c r="D110" t="s">
        <v>69</v>
      </c>
      <c r="E110">
        <v>1</v>
      </c>
      <c r="F110" t="s">
        <v>57</v>
      </c>
      <c r="G110">
        <v>1</v>
      </c>
      <c r="H110">
        <v>1</v>
      </c>
      <c r="I110" t="s">
        <v>17</v>
      </c>
    </row>
    <row r="111" spans="1:9" x14ac:dyDescent="0.3">
      <c r="A111" t="s">
        <v>43</v>
      </c>
      <c r="B111" t="s">
        <v>66</v>
      </c>
      <c r="C111" s="2" t="s">
        <v>67</v>
      </c>
      <c r="D111" t="s">
        <v>69</v>
      </c>
      <c r="E111">
        <v>1</v>
      </c>
      <c r="F111" t="s">
        <v>57</v>
      </c>
      <c r="G111">
        <v>1</v>
      </c>
      <c r="H111">
        <v>1</v>
      </c>
      <c r="I111" t="s">
        <v>17</v>
      </c>
    </row>
    <row r="112" spans="1:9" x14ac:dyDescent="0.3">
      <c r="A112" t="s">
        <v>44</v>
      </c>
      <c r="B112" t="s">
        <v>66</v>
      </c>
      <c r="C112" s="2" t="s">
        <v>67</v>
      </c>
      <c r="D112" t="s">
        <v>70</v>
      </c>
      <c r="E112">
        <v>1</v>
      </c>
      <c r="F112" t="s">
        <v>57</v>
      </c>
      <c r="G112">
        <v>1</v>
      </c>
      <c r="H112">
        <v>1</v>
      </c>
      <c r="I112" t="s">
        <v>17</v>
      </c>
    </row>
    <row r="113" spans="1:9" x14ac:dyDescent="0.3">
      <c r="A113" t="s">
        <v>45</v>
      </c>
      <c r="B113" t="s">
        <v>66</v>
      </c>
      <c r="C113" s="2" t="s">
        <v>67</v>
      </c>
      <c r="D113" t="s">
        <v>69</v>
      </c>
      <c r="E113">
        <v>1</v>
      </c>
      <c r="F113" t="s">
        <v>57</v>
      </c>
      <c r="G113">
        <v>1</v>
      </c>
      <c r="H113">
        <v>1</v>
      </c>
      <c r="I113" t="s">
        <v>17</v>
      </c>
    </row>
    <row r="114" spans="1:9" x14ac:dyDescent="0.3">
      <c r="A114" t="s">
        <v>46</v>
      </c>
      <c r="B114" t="s">
        <v>66</v>
      </c>
      <c r="C114" s="2" t="s">
        <v>67</v>
      </c>
      <c r="D114" t="s">
        <v>71</v>
      </c>
      <c r="E114">
        <v>1</v>
      </c>
      <c r="F114" t="s">
        <v>57</v>
      </c>
      <c r="G114">
        <v>1</v>
      </c>
      <c r="H114">
        <v>1</v>
      </c>
      <c r="I114" t="s">
        <v>17</v>
      </c>
    </row>
    <row r="115" spans="1:9" x14ac:dyDescent="0.3">
      <c r="A115" t="s">
        <v>47</v>
      </c>
      <c r="B115" t="s">
        <v>66</v>
      </c>
      <c r="C115" s="2" t="s">
        <v>67</v>
      </c>
      <c r="D115" t="s">
        <v>69</v>
      </c>
      <c r="E115">
        <v>1</v>
      </c>
      <c r="F115" t="s">
        <v>57</v>
      </c>
      <c r="G115">
        <v>1</v>
      </c>
      <c r="H115">
        <v>1</v>
      </c>
      <c r="I115" t="s">
        <v>17</v>
      </c>
    </row>
    <row r="116" spans="1:9" x14ac:dyDescent="0.3">
      <c r="A116" t="s">
        <v>20</v>
      </c>
      <c r="B116" t="s">
        <v>72</v>
      </c>
      <c r="C116" t="s">
        <v>73</v>
      </c>
      <c r="D116" t="s">
        <v>74</v>
      </c>
      <c r="E116">
        <v>1</v>
      </c>
      <c r="F116" t="s">
        <v>57</v>
      </c>
      <c r="G116">
        <v>1</v>
      </c>
      <c r="H116">
        <v>1</v>
      </c>
      <c r="I116" t="s">
        <v>17</v>
      </c>
    </row>
    <row r="117" spans="1:9" x14ac:dyDescent="0.3">
      <c r="A117" t="s">
        <v>24</v>
      </c>
      <c r="B117" t="s">
        <v>72</v>
      </c>
      <c r="C117" t="s">
        <v>73</v>
      </c>
      <c r="D117" t="s">
        <v>75</v>
      </c>
      <c r="E117">
        <v>1</v>
      </c>
      <c r="F117" t="s">
        <v>57</v>
      </c>
      <c r="G117">
        <v>1</v>
      </c>
      <c r="H117">
        <v>1</v>
      </c>
      <c r="I117" t="s">
        <v>17</v>
      </c>
    </row>
    <row r="118" spans="1:9" x14ac:dyDescent="0.3">
      <c r="A118" t="s">
        <v>26</v>
      </c>
      <c r="B118" t="s">
        <v>72</v>
      </c>
      <c r="C118" t="s">
        <v>73</v>
      </c>
      <c r="D118" t="s">
        <v>76</v>
      </c>
      <c r="E118">
        <v>1</v>
      </c>
      <c r="F118" t="s">
        <v>57</v>
      </c>
      <c r="G118">
        <v>1</v>
      </c>
      <c r="H118">
        <v>1</v>
      </c>
      <c r="I118" t="s">
        <v>17</v>
      </c>
    </row>
    <row r="119" spans="1:9" x14ac:dyDescent="0.3">
      <c r="A119" t="s">
        <v>28</v>
      </c>
      <c r="B119" t="s">
        <v>72</v>
      </c>
      <c r="C119" t="s">
        <v>73</v>
      </c>
      <c r="D119" t="s">
        <v>76</v>
      </c>
      <c r="E119">
        <v>1</v>
      </c>
      <c r="F119" t="s">
        <v>57</v>
      </c>
      <c r="G119">
        <v>1</v>
      </c>
      <c r="H119">
        <v>1</v>
      </c>
      <c r="I119" t="s">
        <v>17</v>
      </c>
    </row>
    <row r="120" spans="1:9" x14ac:dyDescent="0.3">
      <c r="A120" t="s">
        <v>29</v>
      </c>
      <c r="B120" t="s">
        <v>72</v>
      </c>
      <c r="C120" t="s">
        <v>73</v>
      </c>
      <c r="D120" t="s">
        <v>76</v>
      </c>
      <c r="E120">
        <v>1</v>
      </c>
      <c r="F120" t="s">
        <v>57</v>
      </c>
      <c r="G120">
        <v>1</v>
      </c>
      <c r="H120">
        <v>1</v>
      </c>
      <c r="I120" t="s">
        <v>17</v>
      </c>
    </row>
    <row r="121" spans="1:9" x14ac:dyDescent="0.3">
      <c r="A121" t="s">
        <v>30</v>
      </c>
      <c r="B121" t="s">
        <v>72</v>
      </c>
      <c r="C121" t="s">
        <v>73</v>
      </c>
      <c r="D121" t="s">
        <v>77</v>
      </c>
      <c r="E121">
        <v>1</v>
      </c>
      <c r="F121" t="s">
        <v>57</v>
      </c>
      <c r="G121">
        <v>1</v>
      </c>
      <c r="H121">
        <v>1</v>
      </c>
      <c r="I121" t="s">
        <v>17</v>
      </c>
    </row>
    <row r="122" spans="1:9" x14ac:dyDescent="0.3">
      <c r="A122" t="s">
        <v>32</v>
      </c>
      <c r="B122" t="s">
        <v>72</v>
      </c>
      <c r="C122" t="s">
        <v>73</v>
      </c>
      <c r="D122" t="s">
        <v>75</v>
      </c>
      <c r="E122">
        <v>1</v>
      </c>
      <c r="F122" t="s">
        <v>57</v>
      </c>
      <c r="G122">
        <v>1</v>
      </c>
      <c r="H122">
        <v>1</v>
      </c>
      <c r="I122" t="s">
        <v>17</v>
      </c>
    </row>
    <row r="123" spans="1:9" x14ac:dyDescent="0.3">
      <c r="A123" t="s">
        <v>33</v>
      </c>
      <c r="B123" t="s">
        <v>72</v>
      </c>
      <c r="C123" t="s">
        <v>73</v>
      </c>
      <c r="D123" t="s">
        <v>77</v>
      </c>
      <c r="E123">
        <v>1</v>
      </c>
      <c r="F123" t="s">
        <v>57</v>
      </c>
      <c r="G123">
        <v>1</v>
      </c>
      <c r="H123">
        <v>1</v>
      </c>
      <c r="I123" t="s">
        <v>17</v>
      </c>
    </row>
    <row r="124" spans="1:9" x14ac:dyDescent="0.3">
      <c r="A124" t="s">
        <v>34</v>
      </c>
      <c r="B124" t="s">
        <v>72</v>
      </c>
      <c r="C124" t="s">
        <v>73</v>
      </c>
      <c r="D124" t="s">
        <v>75</v>
      </c>
      <c r="E124">
        <v>1</v>
      </c>
      <c r="F124" t="s">
        <v>57</v>
      </c>
      <c r="G124">
        <v>1</v>
      </c>
      <c r="H124">
        <v>1</v>
      </c>
      <c r="I124" t="s">
        <v>17</v>
      </c>
    </row>
    <row r="125" spans="1:9" x14ac:dyDescent="0.3">
      <c r="A125" t="s">
        <v>35</v>
      </c>
      <c r="B125" t="s">
        <v>72</v>
      </c>
      <c r="C125" t="s">
        <v>73</v>
      </c>
      <c r="D125" t="s">
        <v>77</v>
      </c>
      <c r="E125">
        <v>1</v>
      </c>
      <c r="F125" t="s">
        <v>57</v>
      </c>
      <c r="G125">
        <v>1</v>
      </c>
      <c r="H125">
        <v>1</v>
      </c>
      <c r="I125" t="s">
        <v>17</v>
      </c>
    </row>
    <row r="126" spans="1:9" x14ac:dyDescent="0.3">
      <c r="A126" t="s">
        <v>36</v>
      </c>
      <c r="B126" t="s">
        <v>72</v>
      </c>
      <c r="C126" t="s">
        <v>73</v>
      </c>
      <c r="D126" t="s">
        <v>77</v>
      </c>
      <c r="E126">
        <v>1</v>
      </c>
      <c r="F126" t="s">
        <v>57</v>
      </c>
      <c r="G126">
        <v>1</v>
      </c>
      <c r="H126">
        <v>1</v>
      </c>
      <c r="I126" t="s">
        <v>17</v>
      </c>
    </row>
    <row r="127" spans="1:9" x14ac:dyDescent="0.3">
      <c r="A127" t="s">
        <v>37</v>
      </c>
      <c r="B127" t="s">
        <v>72</v>
      </c>
      <c r="C127" t="s">
        <v>73</v>
      </c>
      <c r="D127" t="s">
        <v>77</v>
      </c>
      <c r="E127">
        <v>1</v>
      </c>
      <c r="F127" t="s">
        <v>57</v>
      </c>
      <c r="G127">
        <v>1</v>
      </c>
      <c r="H127">
        <v>1</v>
      </c>
      <c r="I127" t="s">
        <v>17</v>
      </c>
    </row>
    <row r="128" spans="1:9" x14ac:dyDescent="0.3">
      <c r="A128" t="s">
        <v>38</v>
      </c>
      <c r="B128" t="s">
        <v>72</v>
      </c>
      <c r="C128" t="s">
        <v>73</v>
      </c>
      <c r="D128" t="s">
        <v>76</v>
      </c>
      <c r="E128">
        <v>1</v>
      </c>
      <c r="F128" t="s">
        <v>57</v>
      </c>
      <c r="G128">
        <v>1</v>
      </c>
      <c r="H128">
        <v>1</v>
      </c>
      <c r="I128" t="s">
        <v>17</v>
      </c>
    </row>
    <row r="129" spans="1:9" x14ac:dyDescent="0.3">
      <c r="A129" t="s">
        <v>39</v>
      </c>
      <c r="B129" t="s">
        <v>72</v>
      </c>
      <c r="C129" t="s">
        <v>73</v>
      </c>
      <c r="D129" t="s">
        <v>77</v>
      </c>
      <c r="E129">
        <v>1</v>
      </c>
      <c r="F129" t="s">
        <v>57</v>
      </c>
      <c r="G129">
        <v>1</v>
      </c>
      <c r="H129">
        <v>1</v>
      </c>
      <c r="I129" t="s">
        <v>17</v>
      </c>
    </row>
    <row r="130" spans="1:9" x14ac:dyDescent="0.3">
      <c r="A130" t="s">
        <v>40</v>
      </c>
      <c r="B130" t="s">
        <v>72</v>
      </c>
      <c r="C130" t="s">
        <v>73</v>
      </c>
      <c r="D130" t="s">
        <v>77</v>
      </c>
      <c r="E130">
        <v>1</v>
      </c>
      <c r="F130" t="s">
        <v>57</v>
      </c>
      <c r="G130">
        <v>1</v>
      </c>
      <c r="H130">
        <v>1</v>
      </c>
      <c r="I130" t="s">
        <v>17</v>
      </c>
    </row>
    <row r="131" spans="1:9" x14ac:dyDescent="0.3">
      <c r="A131" t="s">
        <v>41</v>
      </c>
      <c r="B131" t="s">
        <v>72</v>
      </c>
      <c r="C131" t="s">
        <v>73</v>
      </c>
      <c r="D131" t="s">
        <v>77</v>
      </c>
      <c r="E131">
        <v>1</v>
      </c>
      <c r="F131" t="s">
        <v>57</v>
      </c>
      <c r="G131">
        <v>1</v>
      </c>
      <c r="H131">
        <v>1</v>
      </c>
      <c r="I131" t="s">
        <v>17</v>
      </c>
    </row>
    <row r="132" spans="1:9" x14ac:dyDescent="0.3">
      <c r="A132" t="s">
        <v>42</v>
      </c>
      <c r="B132" t="s">
        <v>72</v>
      </c>
      <c r="C132" t="s">
        <v>73</v>
      </c>
      <c r="D132" t="s">
        <v>75</v>
      </c>
      <c r="E132">
        <v>1</v>
      </c>
      <c r="F132" t="s">
        <v>57</v>
      </c>
      <c r="G132">
        <v>1</v>
      </c>
      <c r="H132">
        <v>1</v>
      </c>
      <c r="I132" t="s">
        <v>17</v>
      </c>
    </row>
    <row r="133" spans="1:9" x14ac:dyDescent="0.3">
      <c r="A133" t="s">
        <v>43</v>
      </c>
      <c r="B133" t="s">
        <v>72</v>
      </c>
      <c r="C133" t="s">
        <v>73</v>
      </c>
      <c r="D133" t="s">
        <v>75</v>
      </c>
      <c r="E133">
        <v>1</v>
      </c>
      <c r="F133" t="s">
        <v>57</v>
      </c>
      <c r="G133">
        <v>1</v>
      </c>
      <c r="H133">
        <v>1</v>
      </c>
      <c r="I133" t="s">
        <v>17</v>
      </c>
    </row>
    <row r="134" spans="1:9" x14ac:dyDescent="0.3">
      <c r="A134" t="s">
        <v>44</v>
      </c>
      <c r="B134" t="s">
        <v>72</v>
      </c>
      <c r="C134" t="s">
        <v>73</v>
      </c>
      <c r="D134" t="s">
        <v>76</v>
      </c>
      <c r="E134">
        <v>1</v>
      </c>
      <c r="F134" t="s">
        <v>57</v>
      </c>
      <c r="G134">
        <v>1</v>
      </c>
      <c r="H134">
        <v>1</v>
      </c>
      <c r="I134" t="s">
        <v>17</v>
      </c>
    </row>
    <row r="135" spans="1:9" x14ac:dyDescent="0.3">
      <c r="A135" t="s">
        <v>45</v>
      </c>
      <c r="B135" t="s">
        <v>72</v>
      </c>
      <c r="C135" t="s">
        <v>73</v>
      </c>
      <c r="D135" t="s">
        <v>75</v>
      </c>
      <c r="E135">
        <v>1</v>
      </c>
      <c r="F135" t="s">
        <v>57</v>
      </c>
      <c r="G135">
        <v>1</v>
      </c>
      <c r="H135">
        <v>1</v>
      </c>
      <c r="I135" t="s">
        <v>17</v>
      </c>
    </row>
    <row r="136" spans="1:9" x14ac:dyDescent="0.3">
      <c r="A136" t="s">
        <v>46</v>
      </c>
      <c r="B136" t="s">
        <v>72</v>
      </c>
      <c r="C136" t="s">
        <v>73</v>
      </c>
      <c r="D136" t="s">
        <v>77</v>
      </c>
      <c r="E136">
        <v>1</v>
      </c>
      <c r="F136" t="s">
        <v>57</v>
      </c>
      <c r="G136">
        <v>1</v>
      </c>
      <c r="H136">
        <v>1</v>
      </c>
      <c r="I136" t="s">
        <v>17</v>
      </c>
    </row>
    <row r="137" spans="1:9" x14ac:dyDescent="0.3">
      <c r="A137" t="s">
        <v>47</v>
      </c>
      <c r="B137" t="s">
        <v>72</v>
      </c>
      <c r="C137" t="s">
        <v>73</v>
      </c>
      <c r="D137" t="s">
        <v>75</v>
      </c>
      <c r="E137">
        <v>1</v>
      </c>
      <c r="F137" t="s">
        <v>57</v>
      </c>
      <c r="G137">
        <v>1</v>
      </c>
      <c r="H137">
        <v>1</v>
      </c>
      <c r="I137" t="s">
        <v>17</v>
      </c>
    </row>
    <row r="138" spans="1:9" x14ac:dyDescent="0.3">
      <c r="A138" t="s">
        <v>13</v>
      </c>
      <c r="B138" t="s">
        <v>78</v>
      </c>
      <c r="C138" t="s">
        <v>79</v>
      </c>
      <c r="D138" t="s">
        <v>80</v>
      </c>
      <c r="E138">
        <v>1</v>
      </c>
      <c r="F138" t="s">
        <v>57</v>
      </c>
      <c r="G138">
        <v>1</v>
      </c>
      <c r="H138">
        <v>1</v>
      </c>
      <c r="I138" t="s">
        <v>17</v>
      </c>
    </row>
    <row r="139" spans="1:9" x14ac:dyDescent="0.3">
      <c r="A139" t="s">
        <v>13</v>
      </c>
      <c r="B139" t="s">
        <v>81</v>
      </c>
      <c r="C139" t="s">
        <v>82</v>
      </c>
      <c r="D139" t="s">
        <v>83</v>
      </c>
      <c r="E139">
        <v>1</v>
      </c>
      <c r="F139" t="s">
        <v>57</v>
      </c>
      <c r="G139">
        <v>1</v>
      </c>
      <c r="H139">
        <v>1</v>
      </c>
      <c r="I139" t="s">
        <v>17</v>
      </c>
    </row>
    <row r="140" spans="1:9" x14ac:dyDescent="0.3">
      <c r="A140" t="s">
        <v>13</v>
      </c>
      <c r="B140" t="s">
        <v>84</v>
      </c>
      <c r="C140" t="s">
        <v>85</v>
      </c>
      <c r="D140" t="s">
        <v>86</v>
      </c>
      <c r="E140">
        <v>1</v>
      </c>
      <c r="F140" t="s">
        <v>57</v>
      </c>
      <c r="G140">
        <v>1</v>
      </c>
      <c r="H140">
        <v>1</v>
      </c>
      <c r="I140" t="s">
        <v>17</v>
      </c>
    </row>
    <row r="141" spans="1:9" x14ac:dyDescent="0.3">
      <c r="A141" t="s">
        <v>13</v>
      </c>
      <c r="B141" t="s">
        <v>87</v>
      </c>
      <c r="C141" t="s">
        <v>88</v>
      </c>
      <c r="D141" t="s">
        <v>89</v>
      </c>
      <c r="E141">
        <v>1</v>
      </c>
      <c r="F141" t="s">
        <v>57</v>
      </c>
      <c r="G141">
        <v>1</v>
      </c>
      <c r="H141">
        <v>1</v>
      </c>
      <c r="I141" t="s">
        <v>17</v>
      </c>
    </row>
    <row r="142" spans="1:9" x14ac:dyDescent="0.3">
      <c r="A142" t="s">
        <v>13</v>
      </c>
      <c r="B142" t="s">
        <v>90</v>
      </c>
      <c r="C142" t="s">
        <v>91</v>
      </c>
      <c r="D142" t="s">
        <v>92</v>
      </c>
      <c r="E142">
        <v>1</v>
      </c>
      <c r="F142" t="s">
        <v>57</v>
      </c>
      <c r="G142">
        <v>1</v>
      </c>
      <c r="H142">
        <v>1</v>
      </c>
      <c r="I142" t="s">
        <v>17</v>
      </c>
    </row>
    <row r="143" spans="1:9" x14ac:dyDescent="0.3">
      <c r="A143" t="s">
        <v>13</v>
      </c>
      <c r="B143" t="s">
        <v>93</v>
      </c>
      <c r="C143" t="s">
        <v>94</v>
      </c>
      <c r="D143" t="s">
        <v>95</v>
      </c>
      <c r="E143">
        <v>1</v>
      </c>
      <c r="F143" t="s">
        <v>57</v>
      </c>
      <c r="G143">
        <v>1</v>
      </c>
      <c r="H143">
        <v>1</v>
      </c>
      <c r="I143" t="s">
        <v>17</v>
      </c>
    </row>
    <row r="144" spans="1:9" x14ac:dyDescent="0.3">
      <c r="A144" t="s">
        <v>13</v>
      </c>
      <c r="B144" t="s">
        <v>96</v>
      </c>
      <c r="C144" t="s">
        <v>97</v>
      </c>
      <c r="D144" t="s">
        <v>98</v>
      </c>
      <c r="E144">
        <v>1</v>
      </c>
      <c r="F144" t="s">
        <v>57</v>
      </c>
      <c r="G144">
        <v>1</v>
      </c>
      <c r="H144">
        <v>1</v>
      </c>
      <c r="I144" t="s">
        <v>17</v>
      </c>
    </row>
    <row r="145" spans="1:9" x14ac:dyDescent="0.3">
      <c r="A145" t="s">
        <v>13</v>
      </c>
      <c r="B145" t="s">
        <v>99</v>
      </c>
      <c r="C145" t="s">
        <v>100</v>
      </c>
      <c r="D145" t="s">
        <v>101</v>
      </c>
      <c r="E145">
        <v>1</v>
      </c>
      <c r="F145" t="s">
        <v>57</v>
      </c>
      <c r="G145">
        <v>1</v>
      </c>
      <c r="H145">
        <v>1</v>
      </c>
      <c r="I14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>
      <selection activeCell="B2" sqref="B2:B7"/>
    </sheetView>
  </sheetViews>
  <sheetFormatPr defaultRowHeight="14.4" x14ac:dyDescent="0.3"/>
  <sheetData>
    <row r="1" spans="1:3" x14ac:dyDescent="0.3">
      <c r="A1" s="1" t="s">
        <v>13</v>
      </c>
      <c r="B1" s="1" t="s">
        <v>109</v>
      </c>
      <c r="C1" s="1" t="s">
        <v>110</v>
      </c>
    </row>
    <row r="2" spans="1:3" x14ac:dyDescent="0.3">
      <c r="A2" t="s">
        <v>32</v>
      </c>
      <c r="B2" t="s">
        <v>41</v>
      </c>
      <c r="C2" t="s">
        <v>24</v>
      </c>
    </row>
    <row r="3" spans="1:3" x14ac:dyDescent="0.3">
      <c r="A3" t="s">
        <v>29</v>
      </c>
      <c r="B3" t="s">
        <v>35</v>
      </c>
      <c r="C3" t="s">
        <v>34</v>
      </c>
    </row>
    <row r="4" spans="1:3" x14ac:dyDescent="0.3">
      <c r="A4" t="s">
        <v>34</v>
      </c>
      <c r="B4" t="s">
        <v>39</v>
      </c>
      <c r="C4" t="s">
        <v>42</v>
      </c>
    </row>
    <row r="5" spans="1:3" x14ac:dyDescent="0.3">
      <c r="A5" t="s">
        <v>24</v>
      </c>
      <c r="B5" t="s">
        <v>36</v>
      </c>
      <c r="C5" t="s">
        <v>45</v>
      </c>
    </row>
    <row r="6" spans="1:3" x14ac:dyDescent="0.3">
      <c r="A6" t="s">
        <v>39</v>
      </c>
      <c r="B6" t="s">
        <v>46</v>
      </c>
      <c r="C6" t="s">
        <v>43</v>
      </c>
    </row>
    <row r="7" spans="1:3" x14ac:dyDescent="0.3">
      <c r="A7" t="s">
        <v>47</v>
      </c>
      <c r="B7" t="s">
        <v>37</v>
      </c>
      <c r="C7" t="s">
        <v>47</v>
      </c>
    </row>
    <row r="8" spans="1:3" x14ac:dyDescent="0.3">
      <c r="A8" t="s">
        <v>41</v>
      </c>
    </row>
    <row r="9" spans="1:3" x14ac:dyDescent="0.3">
      <c r="A9" t="s">
        <v>28</v>
      </c>
    </row>
    <row r="10" spans="1:3" x14ac:dyDescent="0.3">
      <c r="A10" t="s">
        <v>20</v>
      </c>
    </row>
    <row r="11" spans="1:3" x14ac:dyDescent="0.3">
      <c r="A11" t="s">
        <v>36</v>
      </c>
    </row>
    <row r="12" spans="1:3" x14ac:dyDescent="0.3">
      <c r="A12" t="s">
        <v>45</v>
      </c>
    </row>
    <row r="13" spans="1:3" x14ac:dyDescent="0.3">
      <c r="A13" t="s">
        <v>33</v>
      </c>
    </row>
    <row r="14" spans="1:3" x14ac:dyDescent="0.3">
      <c r="A14" t="s">
        <v>42</v>
      </c>
    </row>
    <row r="15" spans="1:3" x14ac:dyDescent="0.3">
      <c r="A15" t="s">
        <v>30</v>
      </c>
    </row>
    <row r="16" spans="1:3" x14ac:dyDescent="0.3">
      <c r="A16" t="s">
        <v>35</v>
      </c>
    </row>
    <row r="17" spans="1:1" x14ac:dyDescent="0.3">
      <c r="A17" t="s">
        <v>37</v>
      </c>
    </row>
    <row r="18" spans="1:1" x14ac:dyDescent="0.3">
      <c r="A18" t="s">
        <v>44</v>
      </c>
    </row>
    <row r="19" spans="1:1" x14ac:dyDescent="0.3">
      <c r="A19" t="s">
        <v>26</v>
      </c>
    </row>
    <row r="20" spans="1:1" x14ac:dyDescent="0.3">
      <c r="A20" t="s">
        <v>40</v>
      </c>
    </row>
    <row r="21" spans="1:1" x14ac:dyDescent="0.3">
      <c r="A21" t="s">
        <v>38</v>
      </c>
    </row>
    <row r="22" spans="1:1" x14ac:dyDescent="0.3">
      <c r="A22" t="s">
        <v>46</v>
      </c>
    </row>
    <row r="23" spans="1:1" x14ac:dyDescent="0.3">
      <c r="A23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C18" sqref="C18"/>
    </sheetView>
  </sheetViews>
  <sheetFormatPr defaultRowHeight="14.4" x14ac:dyDescent="0.3"/>
  <sheetData>
    <row r="1" spans="1:2" x14ac:dyDescent="0.3">
      <c r="A1" s="1" t="s">
        <v>111</v>
      </c>
      <c r="B1" s="1" t="s">
        <v>112</v>
      </c>
    </row>
    <row r="2" spans="1:2" x14ac:dyDescent="0.3">
      <c r="A2" s="2" t="s">
        <v>113</v>
      </c>
      <c r="B2" t="s">
        <v>114</v>
      </c>
    </row>
    <row r="3" spans="1:2" x14ac:dyDescent="0.3">
      <c r="A3" s="2" t="s">
        <v>115</v>
      </c>
      <c r="B3" t="s">
        <v>116</v>
      </c>
    </row>
    <row r="4" spans="1:2" x14ac:dyDescent="0.3">
      <c r="A4" s="2" t="s">
        <v>117</v>
      </c>
      <c r="B4" t="s">
        <v>118</v>
      </c>
    </row>
    <row r="5" spans="1:2" x14ac:dyDescent="0.3">
      <c r="A5" s="2" t="s">
        <v>119</v>
      </c>
      <c r="B5" t="s">
        <v>120</v>
      </c>
    </row>
    <row r="6" spans="1:2" x14ac:dyDescent="0.3">
      <c r="A6" s="2" t="s">
        <v>121</v>
      </c>
      <c r="B6" t="s">
        <v>122</v>
      </c>
    </row>
    <row r="7" spans="1:2" x14ac:dyDescent="0.3">
      <c r="A7" s="2" t="s">
        <v>123</v>
      </c>
    </row>
    <row r="8" spans="1:2" x14ac:dyDescent="0.3">
      <c r="A8" s="2" t="s">
        <v>103</v>
      </c>
    </row>
    <row r="9" spans="1:2" x14ac:dyDescent="0.3">
      <c r="A9" s="2" t="s">
        <v>124</v>
      </c>
    </row>
    <row r="10" spans="1:2" x14ac:dyDescent="0.3">
      <c r="A10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H2" sqref="H2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5.9090909090909097E-5</v>
      </c>
      <c r="B2" t="s">
        <v>312</v>
      </c>
      <c r="C2" t="s">
        <v>524</v>
      </c>
      <c r="D2" t="s">
        <v>2</v>
      </c>
      <c r="E2" t="s">
        <v>369</v>
      </c>
      <c r="F2" t="s">
        <v>13</v>
      </c>
      <c r="G2" t="s">
        <v>525</v>
      </c>
      <c r="H2" t="s">
        <v>526</v>
      </c>
    </row>
    <row r="3" spans="1:9" x14ac:dyDescent="0.3">
      <c r="A3">
        <v>3.488</v>
      </c>
      <c r="B3" t="s">
        <v>527</v>
      </c>
      <c r="C3" t="s">
        <v>528</v>
      </c>
      <c r="D3" t="s">
        <v>2</v>
      </c>
      <c r="E3" t="s">
        <v>111</v>
      </c>
      <c r="F3" t="s">
        <v>13</v>
      </c>
      <c r="G3" t="s">
        <v>525</v>
      </c>
      <c r="H3" t="s">
        <v>529</v>
      </c>
    </row>
    <row r="4" spans="1:9" x14ac:dyDescent="0.3">
      <c r="A4">
        <v>0</v>
      </c>
      <c r="B4" t="s">
        <v>527</v>
      </c>
      <c r="C4" t="s">
        <v>528</v>
      </c>
      <c r="D4" t="s">
        <v>2</v>
      </c>
      <c r="E4" t="s">
        <v>111</v>
      </c>
      <c r="F4" t="s">
        <v>13</v>
      </c>
      <c r="G4" t="s">
        <v>525</v>
      </c>
      <c r="H4" t="s">
        <v>530</v>
      </c>
      <c r="I4">
        <v>-77.825999999999993</v>
      </c>
    </row>
    <row r="5" spans="1:9" x14ac:dyDescent="0.3">
      <c r="A5">
        <v>3.4953859280321209E-7</v>
      </c>
      <c r="B5" t="s">
        <v>314</v>
      </c>
      <c r="C5" t="s">
        <v>531</v>
      </c>
      <c r="D5" t="s">
        <v>2</v>
      </c>
      <c r="E5" t="s">
        <v>409</v>
      </c>
      <c r="F5" t="s">
        <v>13</v>
      </c>
      <c r="G5" t="s">
        <v>525</v>
      </c>
      <c r="H5" t="s">
        <v>532</v>
      </c>
    </row>
    <row r="6" spans="1:9" x14ac:dyDescent="0.3">
      <c r="A6">
        <f>0.00218*5</f>
        <v>1.09E-2</v>
      </c>
      <c r="B6" t="s">
        <v>319</v>
      </c>
      <c r="C6" t="s">
        <v>533</v>
      </c>
      <c r="D6" t="s">
        <v>2</v>
      </c>
      <c r="E6" t="s">
        <v>375</v>
      </c>
      <c r="F6" t="s">
        <v>13</v>
      </c>
      <c r="G6" t="s">
        <v>525</v>
      </c>
      <c r="H6" t="s">
        <v>534</v>
      </c>
    </row>
    <row r="7" spans="1:9" x14ac:dyDescent="0.3">
      <c r="A7">
        <v>0.19266</v>
      </c>
      <c r="B7" t="s">
        <v>57</v>
      </c>
      <c r="C7" t="s">
        <v>535</v>
      </c>
      <c r="D7" t="s">
        <v>498</v>
      </c>
      <c r="E7" t="s">
        <v>502</v>
      </c>
      <c r="F7" t="s">
        <v>13</v>
      </c>
      <c r="G7" t="s">
        <v>525</v>
      </c>
      <c r="H7" t="s">
        <v>536</v>
      </c>
    </row>
    <row r="8" spans="1:9" x14ac:dyDescent="0.3">
      <c r="A8">
        <v>2.6000000000000002E-5</v>
      </c>
      <c r="B8" t="s">
        <v>57</v>
      </c>
      <c r="C8" t="s">
        <v>500</v>
      </c>
      <c r="D8" t="s">
        <v>498</v>
      </c>
      <c r="E8" t="s">
        <v>500</v>
      </c>
      <c r="F8" t="s">
        <v>13</v>
      </c>
      <c r="G8" t="s">
        <v>525</v>
      </c>
      <c r="H8" t="s">
        <v>536</v>
      </c>
    </row>
    <row r="9" spans="1:9" x14ac:dyDescent="0.3">
      <c r="A9">
        <v>1.5600000000000001E-6</v>
      </c>
      <c r="B9" t="s">
        <v>57</v>
      </c>
      <c r="C9" t="s">
        <v>511</v>
      </c>
      <c r="D9" t="s">
        <v>498</v>
      </c>
      <c r="E9" t="s">
        <v>511</v>
      </c>
      <c r="F9" t="s">
        <v>13</v>
      </c>
      <c r="G9" t="s">
        <v>525</v>
      </c>
      <c r="H9" t="s">
        <v>536</v>
      </c>
    </row>
    <row r="10" spans="1:9" x14ac:dyDescent="0.3">
      <c r="A10">
        <v>0</v>
      </c>
      <c r="B10" t="s">
        <v>57</v>
      </c>
      <c r="C10" t="s">
        <v>535</v>
      </c>
      <c r="D10" t="s">
        <v>498</v>
      </c>
      <c r="E10" t="s">
        <v>502</v>
      </c>
      <c r="F10" t="s">
        <v>13</v>
      </c>
      <c r="G10" t="s">
        <v>525</v>
      </c>
      <c r="H10" t="s">
        <v>766</v>
      </c>
      <c r="I10">
        <v>44.516471999999993</v>
      </c>
    </row>
    <row r="11" spans="1:9" x14ac:dyDescent="0.3">
      <c r="A11">
        <v>0</v>
      </c>
      <c r="B11" t="s">
        <v>57</v>
      </c>
      <c r="C11" t="s">
        <v>500</v>
      </c>
      <c r="D11" t="s">
        <v>498</v>
      </c>
      <c r="E11" t="s">
        <v>500</v>
      </c>
      <c r="F11" t="s">
        <v>13</v>
      </c>
      <c r="G11" t="s">
        <v>525</v>
      </c>
      <c r="H11" t="s">
        <v>766</v>
      </c>
      <c r="I11">
        <v>9.339119999999998E-2</v>
      </c>
    </row>
    <row r="12" spans="1:9" x14ac:dyDescent="0.3">
      <c r="A12">
        <v>0</v>
      </c>
      <c r="B12" t="s">
        <v>57</v>
      </c>
      <c r="C12" t="s">
        <v>511</v>
      </c>
      <c r="D12" t="s">
        <v>498</v>
      </c>
      <c r="E12" t="s">
        <v>511</v>
      </c>
      <c r="F12" t="s">
        <v>13</v>
      </c>
      <c r="G12" t="s">
        <v>525</v>
      </c>
      <c r="H12" t="s">
        <v>766</v>
      </c>
      <c r="I12">
        <v>1.2452159999999999E-3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"/>
  <sheetViews>
    <sheetView workbookViewId="0">
      <selection activeCell="D8" sqref="D8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5.909090909090909E-2</v>
      </c>
      <c r="B2" t="s">
        <v>57</v>
      </c>
      <c r="C2" t="s">
        <v>524</v>
      </c>
      <c r="D2" t="s">
        <v>2</v>
      </c>
      <c r="E2" t="s">
        <v>369</v>
      </c>
      <c r="F2" t="s">
        <v>13</v>
      </c>
      <c r="G2" t="s">
        <v>525</v>
      </c>
      <c r="H2" t="s">
        <v>526</v>
      </c>
    </row>
    <row r="3" spans="1:9" x14ac:dyDescent="0.3">
      <c r="A3">
        <v>-0.61258000000000001</v>
      </c>
      <c r="B3" t="s">
        <v>57</v>
      </c>
      <c r="C3" t="s">
        <v>537</v>
      </c>
      <c r="D3" t="s">
        <v>2</v>
      </c>
      <c r="E3" s="2" t="s">
        <v>316</v>
      </c>
      <c r="F3" t="s">
        <v>13</v>
      </c>
      <c r="G3" t="s">
        <v>525</v>
      </c>
      <c r="H3" t="s">
        <v>768</v>
      </c>
    </row>
    <row r="4" spans="1:9" x14ac:dyDescent="0.3">
      <c r="A4">
        <v>0</v>
      </c>
      <c r="B4" t="s">
        <v>319</v>
      </c>
      <c r="C4" t="s">
        <v>537</v>
      </c>
      <c r="D4" t="s">
        <v>2</v>
      </c>
      <c r="E4" t="s">
        <v>456</v>
      </c>
      <c r="F4" t="s">
        <v>13</v>
      </c>
      <c r="G4" t="s">
        <v>525</v>
      </c>
      <c r="H4" t="s">
        <v>768</v>
      </c>
    </row>
    <row r="5" spans="1:9" x14ac:dyDescent="0.3">
      <c r="A5">
        <v>-7.2049000000000002E-2</v>
      </c>
      <c r="B5" t="s">
        <v>57</v>
      </c>
      <c r="C5" t="s">
        <v>540</v>
      </c>
      <c r="D5" t="s">
        <v>2</v>
      </c>
      <c r="E5" s="2" t="s">
        <v>344</v>
      </c>
      <c r="F5" t="s">
        <v>13</v>
      </c>
      <c r="G5" t="s">
        <v>525</v>
      </c>
      <c r="H5" t="s">
        <v>768</v>
      </c>
    </row>
    <row r="6" spans="1:9" x14ac:dyDescent="0.3">
      <c r="A6">
        <v>0</v>
      </c>
      <c r="B6" t="s">
        <v>319</v>
      </c>
      <c r="C6" t="s">
        <v>540</v>
      </c>
      <c r="D6" t="s">
        <v>2</v>
      </c>
      <c r="E6" t="s">
        <v>458</v>
      </c>
      <c r="F6" t="s">
        <v>13</v>
      </c>
      <c r="G6" t="s">
        <v>525</v>
      </c>
      <c r="H6" t="s">
        <v>768</v>
      </c>
    </row>
    <row r="7" spans="1:9" x14ac:dyDescent="0.3">
      <c r="A7">
        <v>1.6052727272727274E-2</v>
      </c>
      <c r="B7" t="s">
        <v>57</v>
      </c>
      <c r="C7" t="s">
        <v>524</v>
      </c>
      <c r="D7" t="s">
        <v>2</v>
      </c>
      <c r="E7" t="s">
        <v>369</v>
      </c>
      <c r="F7" t="s">
        <v>13</v>
      </c>
      <c r="G7" t="s">
        <v>525</v>
      </c>
      <c r="H7" t="s">
        <v>768</v>
      </c>
    </row>
    <row r="8" spans="1:9" x14ac:dyDescent="0.3">
      <c r="A8">
        <v>1.2099</v>
      </c>
      <c r="B8" t="s">
        <v>542</v>
      </c>
      <c r="C8" t="s">
        <v>528</v>
      </c>
      <c r="D8" t="s">
        <v>2</v>
      </c>
      <c r="E8" t="s">
        <v>111</v>
      </c>
      <c r="F8" t="s">
        <v>13</v>
      </c>
      <c r="G8" t="s">
        <v>525</v>
      </c>
      <c r="H8" t="s">
        <v>768</v>
      </c>
    </row>
    <row r="9" spans="1:9" x14ac:dyDescent="0.3">
      <c r="A9">
        <v>1.0923081025100376E-6</v>
      </c>
      <c r="B9" t="s">
        <v>314</v>
      </c>
      <c r="C9" t="s">
        <v>531</v>
      </c>
      <c r="D9" t="s">
        <v>2</v>
      </c>
      <c r="E9" t="s">
        <v>409</v>
      </c>
      <c r="F9" t="s">
        <v>13</v>
      </c>
      <c r="G9" t="s">
        <v>525</v>
      </c>
      <c r="H9" t="s">
        <v>768</v>
      </c>
    </row>
    <row r="10" spans="1:9" x14ac:dyDescent="0.3">
      <c r="A10">
        <v>0</v>
      </c>
      <c r="B10" t="s">
        <v>527</v>
      </c>
      <c r="C10" t="s">
        <v>543</v>
      </c>
      <c r="D10" t="s">
        <v>2</v>
      </c>
      <c r="E10" t="s">
        <v>469</v>
      </c>
      <c r="F10" t="s">
        <v>13</v>
      </c>
      <c r="G10" t="s">
        <v>525</v>
      </c>
      <c r="H10" t="s">
        <v>768</v>
      </c>
      <c r="I10">
        <v>-8.8834999999999997</v>
      </c>
    </row>
    <row r="11" spans="1:9" x14ac:dyDescent="0.3">
      <c r="A11">
        <v>0</v>
      </c>
      <c r="B11" t="s">
        <v>527</v>
      </c>
      <c r="C11" t="s">
        <v>544</v>
      </c>
      <c r="D11" t="s">
        <v>2</v>
      </c>
      <c r="E11" t="s">
        <v>469</v>
      </c>
      <c r="F11" t="s">
        <v>13</v>
      </c>
      <c r="G11" t="s">
        <v>525</v>
      </c>
      <c r="H11" t="s">
        <v>768</v>
      </c>
      <c r="I11">
        <v>-5.7552000000000003</v>
      </c>
    </row>
    <row r="12" spans="1:9" x14ac:dyDescent="0.3">
      <c r="A12">
        <v>-2.5941999999999998</v>
      </c>
      <c r="B12" t="s">
        <v>57</v>
      </c>
      <c r="C12" t="s">
        <v>545</v>
      </c>
      <c r="D12" t="s">
        <v>2</v>
      </c>
      <c r="E12" t="s">
        <v>332</v>
      </c>
      <c r="F12" t="s">
        <v>13</v>
      </c>
      <c r="G12" t="s">
        <v>525</v>
      </c>
      <c r="H12" t="s">
        <v>768</v>
      </c>
    </row>
    <row r="13" spans="1:9" x14ac:dyDescent="0.3">
      <c r="A13">
        <v>-3.7496</v>
      </c>
      <c r="B13" t="s">
        <v>57</v>
      </c>
      <c r="C13" t="s">
        <v>547</v>
      </c>
      <c r="D13" t="s">
        <v>2</v>
      </c>
      <c r="E13" t="s">
        <v>454</v>
      </c>
      <c r="F13" t="s">
        <v>13</v>
      </c>
      <c r="G13" t="s">
        <v>525</v>
      </c>
      <c r="H13" t="s">
        <v>768</v>
      </c>
    </row>
    <row r="14" spans="1:9" x14ac:dyDescent="0.3">
      <c r="A14">
        <v>-1.4824000000000002</v>
      </c>
      <c r="B14" t="s">
        <v>57</v>
      </c>
      <c r="C14" t="s">
        <v>548</v>
      </c>
      <c r="D14" t="s">
        <v>2</v>
      </c>
      <c r="E14" t="s">
        <v>149</v>
      </c>
      <c r="F14" t="s">
        <v>13</v>
      </c>
      <c r="G14" t="s">
        <v>525</v>
      </c>
      <c r="H14" t="s">
        <v>768</v>
      </c>
    </row>
    <row r="15" spans="1:9" x14ac:dyDescent="0.3">
      <c r="A15">
        <v>1.6023000000000001E-3</v>
      </c>
      <c r="B15" t="s">
        <v>319</v>
      </c>
      <c r="C15" t="s">
        <v>549</v>
      </c>
      <c r="D15" t="s">
        <v>2</v>
      </c>
      <c r="E15" t="s">
        <v>430</v>
      </c>
      <c r="F15" t="s">
        <v>13</v>
      </c>
      <c r="G15" t="s">
        <v>525</v>
      </c>
      <c r="H15" t="s">
        <v>768</v>
      </c>
    </row>
    <row r="16" spans="1:9" x14ac:dyDescent="0.3">
      <c r="A16">
        <v>2.8013000000000002E-4</v>
      </c>
      <c r="B16" t="s">
        <v>319</v>
      </c>
      <c r="C16" t="s">
        <v>551</v>
      </c>
      <c r="D16" t="s">
        <v>2</v>
      </c>
      <c r="E16" t="s">
        <v>429</v>
      </c>
      <c r="F16" t="s">
        <v>13</v>
      </c>
      <c r="G16" t="s">
        <v>525</v>
      </c>
      <c r="H16" t="s">
        <v>768</v>
      </c>
    </row>
    <row r="17" spans="1:9" x14ac:dyDescent="0.3">
      <c r="A17">
        <v>-1.3516000000000001</v>
      </c>
      <c r="B17" t="s">
        <v>57</v>
      </c>
      <c r="C17" t="s">
        <v>680</v>
      </c>
      <c r="D17" t="s">
        <v>498</v>
      </c>
      <c r="E17" t="s">
        <v>502</v>
      </c>
      <c r="F17" t="s">
        <v>13</v>
      </c>
      <c r="G17" t="s">
        <v>525</v>
      </c>
      <c r="H17" t="s">
        <v>768</v>
      </c>
    </row>
    <row r="18" spans="1:9" x14ac:dyDescent="0.3">
      <c r="A18">
        <v>0.19266</v>
      </c>
      <c r="B18" t="s">
        <v>57</v>
      </c>
      <c r="C18" t="s">
        <v>535</v>
      </c>
      <c r="D18" t="s">
        <v>498</v>
      </c>
      <c r="E18" t="s">
        <v>502</v>
      </c>
      <c r="F18" t="s">
        <v>13</v>
      </c>
      <c r="G18" t="s">
        <v>525</v>
      </c>
      <c r="H18" t="s">
        <v>536</v>
      </c>
    </row>
    <row r="19" spans="1:9" x14ac:dyDescent="0.3">
      <c r="A19">
        <v>2.6000000000000002E-5</v>
      </c>
      <c r="B19" t="s">
        <v>57</v>
      </c>
      <c r="C19" t="s">
        <v>500</v>
      </c>
      <c r="D19" t="s">
        <v>498</v>
      </c>
      <c r="E19" t="s">
        <v>500</v>
      </c>
      <c r="F19" t="s">
        <v>13</v>
      </c>
      <c r="G19" t="s">
        <v>525</v>
      </c>
      <c r="H19" t="s">
        <v>536</v>
      </c>
    </row>
    <row r="20" spans="1:9" x14ac:dyDescent="0.3">
      <c r="A20">
        <v>1.5600000000000001E-6</v>
      </c>
      <c r="B20" t="s">
        <v>57</v>
      </c>
      <c r="C20" t="s">
        <v>511</v>
      </c>
      <c r="D20" t="s">
        <v>498</v>
      </c>
      <c r="E20" t="s">
        <v>511</v>
      </c>
      <c r="F20" t="s">
        <v>13</v>
      </c>
      <c r="G20" t="s">
        <v>525</v>
      </c>
      <c r="H20" t="s">
        <v>536</v>
      </c>
    </row>
    <row r="21" spans="1:9" x14ac:dyDescent="0.3">
      <c r="A21">
        <v>5.2338312000000005E-2</v>
      </c>
      <c r="B21" t="s">
        <v>57</v>
      </c>
      <c r="C21" t="s">
        <v>535</v>
      </c>
      <c r="D21" t="s">
        <v>498</v>
      </c>
      <c r="E21" t="s">
        <v>502</v>
      </c>
      <c r="F21" t="s">
        <v>13</v>
      </c>
      <c r="G21" t="s">
        <v>525</v>
      </c>
      <c r="H21" t="s">
        <v>552</v>
      </c>
    </row>
    <row r="22" spans="1:9" x14ac:dyDescent="0.3">
      <c r="A22">
        <v>7.0632000000000013E-6</v>
      </c>
      <c r="B22" t="s">
        <v>57</v>
      </c>
      <c r="C22" t="s">
        <v>500</v>
      </c>
      <c r="D22" t="s">
        <v>498</v>
      </c>
      <c r="E22" t="s">
        <v>500</v>
      </c>
      <c r="F22" t="s">
        <v>13</v>
      </c>
      <c r="G22" t="s">
        <v>525</v>
      </c>
      <c r="H22" t="s">
        <v>552</v>
      </c>
    </row>
    <row r="23" spans="1:9" x14ac:dyDescent="0.3">
      <c r="A23">
        <v>4.2379200000000007E-7</v>
      </c>
      <c r="B23" t="s">
        <v>57</v>
      </c>
      <c r="C23" t="s">
        <v>511</v>
      </c>
      <c r="D23" t="s">
        <v>498</v>
      </c>
      <c r="E23" t="s">
        <v>511</v>
      </c>
      <c r="F23" t="s">
        <v>13</v>
      </c>
      <c r="G23" t="s">
        <v>525</v>
      </c>
      <c r="H23" t="s">
        <v>552</v>
      </c>
    </row>
    <row r="24" spans="1:9" x14ac:dyDescent="0.3">
      <c r="A24">
        <v>0</v>
      </c>
      <c r="B24" t="s">
        <v>57</v>
      </c>
      <c r="C24" t="s">
        <v>535</v>
      </c>
      <c r="D24" t="s">
        <v>498</v>
      </c>
      <c r="E24" t="s">
        <v>502</v>
      </c>
      <c r="F24" t="s">
        <v>13</v>
      </c>
      <c r="G24" t="s">
        <v>525</v>
      </c>
      <c r="H24" t="s">
        <v>767</v>
      </c>
      <c r="I24">
        <v>2.3259267777777777</v>
      </c>
    </row>
    <row r="25" spans="1:9" x14ac:dyDescent="0.3">
      <c r="A25">
        <v>0</v>
      </c>
      <c r="B25" t="s">
        <v>57</v>
      </c>
      <c r="C25" t="s">
        <v>500</v>
      </c>
      <c r="D25" t="s">
        <v>498</v>
      </c>
      <c r="E25" t="s">
        <v>500</v>
      </c>
      <c r="F25" t="s">
        <v>13</v>
      </c>
      <c r="G25" t="s">
        <v>525</v>
      </c>
      <c r="H25" t="s">
        <v>767</v>
      </c>
      <c r="I25">
        <v>4.8795666666666664E-3</v>
      </c>
    </row>
    <row r="26" spans="1:9" x14ac:dyDescent="0.3">
      <c r="A26">
        <v>0</v>
      </c>
      <c r="B26" t="s">
        <v>57</v>
      </c>
      <c r="C26" t="s">
        <v>511</v>
      </c>
      <c r="D26" t="s">
        <v>498</v>
      </c>
      <c r="E26" t="s">
        <v>511</v>
      </c>
      <c r="F26" t="s">
        <v>13</v>
      </c>
      <c r="G26" t="s">
        <v>525</v>
      </c>
      <c r="H26" t="s">
        <v>767</v>
      </c>
      <c r="I26">
        <v>6.506088888888889E-5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315"/>
  <sheetViews>
    <sheetView topLeftCell="A56" workbookViewId="0">
      <selection activeCell="E70" sqref="E70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50.149466825925401</v>
      </c>
      <c r="B2" t="s">
        <v>16</v>
      </c>
      <c r="C2" t="s">
        <v>22</v>
      </c>
      <c r="D2" t="s">
        <v>2</v>
      </c>
      <c r="E2" t="s">
        <v>22</v>
      </c>
      <c r="F2" s="4" t="s">
        <v>13</v>
      </c>
      <c r="G2" t="s">
        <v>525</v>
      </c>
      <c r="H2" t="s">
        <v>529</v>
      </c>
    </row>
    <row r="3" spans="1:9" x14ac:dyDescent="0.3">
      <c r="A3">
        <v>19.763336680167665</v>
      </c>
      <c r="B3" t="s">
        <v>57</v>
      </c>
      <c r="C3" t="s">
        <v>559</v>
      </c>
      <c r="D3" t="s">
        <v>2</v>
      </c>
      <c r="E3" s="2" t="s">
        <v>315</v>
      </c>
      <c r="F3" t="s">
        <v>13</v>
      </c>
      <c r="G3" t="s">
        <v>525</v>
      </c>
      <c r="H3" t="s">
        <v>529</v>
      </c>
    </row>
    <row r="4" spans="1:9" x14ac:dyDescent="0.3">
      <c r="A4" s="5">
        <v>2.4210087433205389E-3</v>
      </c>
      <c r="B4" t="s">
        <v>57</v>
      </c>
      <c r="C4" t="s">
        <v>560</v>
      </c>
      <c r="D4" t="s">
        <v>2</v>
      </c>
      <c r="E4" t="s">
        <v>149</v>
      </c>
      <c r="F4" t="s">
        <v>13</v>
      </c>
      <c r="G4" t="s">
        <v>525</v>
      </c>
      <c r="H4" t="s">
        <v>529</v>
      </c>
    </row>
    <row r="5" spans="1:9" x14ac:dyDescent="0.3">
      <c r="A5" s="5">
        <v>0.31621338688268263</v>
      </c>
      <c r="B5" t="s">
        <v>57</v>
      </c>
      <c r="C5" t="s">
        <v>561</v>
      </c>
      <c r="D5" t="s">
        <v>2</v>
      </c>
      <c r="E5" t="s">
        <v>149</v>
      </c>
      <c r="F5" t="s">
        <v>13</v>
      </c>
      <c r="G5" t="s">
        <v>525</v>
      </c>
      <c r="H5" t="s">
        <v>529</v>
      </c>
    </row>
    <row r="6" spans="1:9" x14ac:dyDescent="0.3">
      <c r="A6" s="5">
        <v>3.0139088437255686E-3</v>
      </c>
      <c r="B6" t="s">
        <v>57</v>
      </c>
      <c r="C6" t="s">
        <v>562</v>
      </c>
      <c r="D6" t="s">
        <v>2</v>
      </c>
      <c r="E6" t="s">
        <v>149</v>
      </c>
      <c r="F6" t="s">
        <v>13</v>
      </c>
      <c r="G6" t="s">
        <v>525</v>
      </c>
      <c r="H6" t="s">
        <v>529</v>
      </c>
    </row>
    <row r="7" spans="1:9" x14ac:dyDescent="0.3">
      <c r="A7">
        <v>5.4349175870461073</v>
      </c>
      <c r="B7" t="s">
        <v>57</v>
      </c>
      <c r="C7" t="s">
        <v>563</v>
      </c>
      <c r="D7" t="s">
        <v>2</v>
      </c>
      <c r="E7" t="s">
        <v>149</v>
      </c>
      <c r="F7" t="s">
        <v>13</v>
      </c>
      <c r="G7" t="s">
        <v>525</v>
      </c>
      <c r="H7" t="s">
        <v>529</v>
      </c>
    </row>
    <row r="8" spans="1:9" x14ac:dyDescent="0.3">
      <c r="A8">
        <v>19.763336680167665</v>
      </c>
      <c r="B8" t="s">
        <v>57</v>
      </c>
      <c r="C8" t="s">
        <v>564</v>
      </c>
      <c r="D8" t="s">
        <v>2</v>
      </c>
      <c r="E8" s="2" t="s">
        <v>352</v>
      </c>
      <c r="F8" t="s">
        <v>13</v>
      </c>
      <c r="G8" t="s">
        <v>525</v>
      </c>
      <c r="H8" t="s">
        <v>529</v>
      </c>
    </row>
    <row r="9" spans="1:9" x14ac:dyDescent="0.3">
      <c r="A9">
        <v>2.9874811260718563</v>
      </c>
      <c r="B9" t="s">
        <v>57</v>
      </c>
      <c r="C9" t="s">
        <v>565</v>
      </c>
      <c r="D9" t="s">
        <v>2</v>
      </c>
      <c r="E9" t="s">
        <v>369</v>
      </c>
      <c r="F9" t="s">
        <v>13</v>
      </c>
      <c r="G9" t="s">
        <v>525</v>
      </c>
      <c r="H9" t="s">
        <v>529</v>
      </c>
    </row>
    <row r="10" spans="1:9" x14ac:dyDescent="0.3">
      <c r="A10" s="6">
        <v>0.83994180890712578</v>
      </c>
      <c r="B10" s="7" t="s">
        <v>57</v>
      </c>
      <c r="C10" s="7" t="s">
        <v>566</v>
      </c>
      <c r="D10" s="7" t="s">
        <v>2</v>
      </c>
      <c r="E10" s="8" t="s">
        <v>352</v>
      </c>
      <c r="F10" s="7" t="s">
        <v>13</v>
      </c>
      <c r="G10" s="7" t="s">
        <v>525</v>
      </c>
      <c r="H10" t="s">
        <v>529</v>
      </c>
    </row>
    <row r="11" spans="1:9" x14ac:dyDescent="0.3">
      <c r="A11" s="10">
        <v>2.7174587935230536</v>
      </c>
      <c r="B11" t="s">
        <v>57</v>
      </c>
      <c r="C11" t="s">
        <v>567</v>
      </c>
      <c r="D11" t="s">
        <v>2</v>
      </c>
      <c r="E11" t="s">
        <v>369</v>
      </c>
      <c r="F11" t="s">
        <v>13</v>
      </c>
      <c r="G11" t="s">
        <v>525</v>
      </c>
      <c r="H11" t="s">
        <v>529</v>
      </c>
    </row>
    <row r="12" spans="1:9" x14ac:dyDescent="0.3">
      <c r="A12" s="12">
        <v>7.1395794882231192</v>
      </c>
      <c r="B12" s="7" t="s">
        <v>57</v>
      </c>
      <c r="C12" s="7" t="s">
        <v>568</v>
      </c>
      <c r="D12" s="7" t="s">
        <v>2</v>
      </c>
      <c r="E12" s="7" t="s">
        <v>412</v>
      </c>
      <c r="F12" s="7" t="s">
        <v>13</v>
      </c>
      <c r="G12" s="7" t="s">
        <v>525</v>
      </c>
      <c r="H12" t="s">
        <v>529</v>
      </c>
    </row>
    <row r="13" spans="1:9" x14ac:dyDescent="0.3">
      <c r="A13" s="13">
        <v>16.0191725461099</v>
      </c>
      <c r="B13" t="s">
        <v>57</v>
      </c>
      <c r="C13" t="s">
        <v>540</v>
      </c>
      <c r="D13" t="s">
        <v>2</v>
      </c>
      <c r="E13" t="s">
        <v>345</v>
      </c>
      <c r="F13" t="s">
        <v>13</v>
      </c>
      <c r="G13" t="s">
        <v>525</v>
      </c>
      <c r="H13" t="s">
        <v>529</v>
      </c>
    </row>
    <row r="14" spans="1:9" x14ac:dyDescent="0.3">
      <c r="A14" s="13">
        <v>2.9000226161061029</v>
      </c>
      <c r="B14" t="s">
        <v>57</v>
      </c>
      <c r="C14" t="s">
        <v>560</v>
      </c>
      <c r="D14" t="s">
        <v>2</v>
      </c>
      <c r="E14" t="s">
        <v>431</v>
      </c>
      <c r="F14" t="s">
        <v>13</v>
      </c>
      <c r="G14" t="s">
        <v>525</v>
      </c>
      <c r="H14" t="s">
        <v>529</v>
      </c>
    </row>
    <row r="15" spans="1:9" x14ac:dyDescent="0.3">
      <c r="A15" s="13">
        <v>65.181460704860982</v>
      </c>
      <c r="B15" t="s">
        <v>57</v>
      </c>
      <c r="C15" t="s">
        <v>569</v>
      </c>
      <c r="D15" t="s">
        <v>2</v>
      </c>
      <c r="E15" t="s">
        <v>333</v>
      </c>
      <c r="F15" t="s">
        <v>13</v>
      </c>
      <c r="G15" t="s">
        <v>525</v>
      </c>
      <c r="H15" t="s">
        <v>529</v>
      </c>
    </row>
    <row r="16" spans="1:9" x14ac:dyDescent="0.3">
      <c r="A16" s="13">
        <v>2.9000226161061029</v>
      </c>
      <c r="B16" t="s">
        <v>57</v>
      </c>
      <c r="C16" t="s">
        <v>570</v>
      </c>
      <c r="D16" t="s">
        <v>2</v>
      </c>
      <c r="E16" t="s">
        <v>355</v>
      </c>
      <c r="F16" t="s">
        <v>13</v>
      </c>
      <c r="G16" t="s">
        <v>525</v>
      </c>
      <c r="H16" t="s">
        <v>529</v>
      </c>
    </row>
    <row r="17" spans="1:8" x14ac:dyDescent="0.3">
      <c r="A17" s="13">
        <v>58.000452322122058</v>
      </c>
      <c r="B17" t="s">
        <v>57</v>
      </c>
      <c r="C17" t="s">
        <v>571</v>
      </c>
      <c r="D17" t="s">
        <v>2</v>
      </c>
      <c r="E17" t="s">
        <v>387</v>
      </c>
      <c r="F17" t="s">
        <v>13</v>
      </c>
      <c r="G17" t="s">
        <v>525</v>
      </c>
      <c r="H17" t="s">
        <v>529</v>
      </c>
    </row>
    <row r="18" spans="1:8" x14ac:dyDescent="0.3">
      <c r="A18" s="13">
        <v>5.5238526021068628</v>
      </c>
      <c r="B18" t="s">
        <v>57</v>
      </c>
      <c r="C18" t="s">
        <v>572</v>
      </c>
      <c r="D18" t="s">
        <v>2</v>
      </c>
      <c r="E18" t="s">
        <v>322</v>
      </c>
      <c r="F18" t="s">
        <v>13</v>
      </c>
      <c r="G18" t="s">
        <v>525</v>
      </c>
      <c r="H18" t="s">
        <v>529</v>
      </c>
    </row>
    <row r="19" spans="1:8" x14ac:dyDescent="0.3">
      <c r="A19" s="13">
        <v>16.0191725461099</v>
      </c>
      <c r="B19" t="s">
        <v>57</v>
      </c>
      <c r="C19" t="s">
        <v>564</v>
      </c>
      <c r="D19" t="s">
        <v>2</v>
      </c>
      <c r="E19" s="2" t="s">
        <v>352</v>
      </c>
      <c r="F19" t="s">
        <v>13</v>
      </c>
      <c r="G19" t="s">
        <v>525</v>
      </c>
      <c r="H19" t="s">
        <v>529</v>
      </c>
    </row>
    <row r="20" spans="1:8" x14ac:dyDescent="0.3">
      <c r="A20" s="6">
        <v>0.22095410408427449</v>
      </c>
      <c r="B20" s="7" t="s">
        <v>57</v>
      </c>
      <c r="C20" s="7" t="s">
        <v>559</v>
      </c>
      <c r="D20" s="7" t="s">
        <v>2</v>
      </c>
      <c r="E20" s="8" t="s">
        <v>315</v>
      </c>
      <c r="F20" s="7" t="s">
        <v>13</v>
      </c>
      <c r="G20" s="7" t="s">
        <v>525</v>
      </c>
      <c r="H20" t="s">
        <v>529</v>
      </c>
    </row>
    <row r="21" spans="1:8" x14ac:dyDescent="0.3">
      <c r="A21" s="10">
        <v>9.0867375304657896E-2</v>
      </c>
      <c r="B21" t="s">
        <v>57</v>
      </c>
      <c r="C21" t="s">
        <v>573</v>
      </c>
      <c r="D21" t="s">
        <v>2</v>
      </c>
      <c r="E21" t="s">
        <v>352</v>
      </c>
      <c r="F21" t="s">
        <v>13</v>
      </c>
      <c r="G21" t="s">
        <v>525</v>
      </c>
      <c r="H21" t="s">
        <v>529</v>
      </c>
    </row>
    <row r="22" spans="1:8" x14ac:dyDescent="0.3">
      <c r="A22" s="10">
        <v>0.17521660453882967</v>
      </c>
      <c r="B22" t="s">
        <v>57</v>
      </c>
      <c r="C22" t="s">
        <v>574</v>
      </c>
      <c r="D22" t="s">
        <v>2</v>
      </c>
      <c r="E22" t="s">
        <v>352</v>
      </c>
      <c r="F22" t="s">
        <v>13</v>
      </c>
      <c r="G22" t="s">
        <v>525</v>
      </c>
      <c r="H22" t="s">
        <v>529</v>
      </c>
    </row>
    <row r="23" spans="1:8" x14ac:dyDescent="0.3">
      <c r="A23" s="10">
        <v>1.3809631505267156E-2</v>
      </c>
      <c r="B23" t="s">
        <v>57</v>
      </c>
      <c r="C23" t="s">
        <v>575</v>
      </c>
      <c r="D23" t="s">
        <v>2</v>
      </c>
      <c r="E23" t="s">
        <v>352</v>
      </c>
      <c r="F23" t="s">
        <v>13</v>
      </c>
      <c r="G23" t="s">
        <v>525</v>
      </c>
      <c r="H23" t="s">
        <v>529</v>
      </c>
    </row>
    <row r="24" spans="1:8" x14ac:dyDescent="0.3">
      <c r="A24" s="10">
        <v>0.13809631505267156</v>
      </c>
      <c r="B24" t="s">
        <v>57</v>
      </c>
      <c r="C24" t="s">
        <v>576</v>
      </c>
      <c r="D24" t="s">
        <v>2</v>
      </c>
      <c r="E24" t="s">
        <v>352</v>
      </c>
      <c r="F24" t="s">
        <v>13</v>
      </c>
      <c r="G24" t="s">
        <v>525</v>
      </c>
      <c r="H24" t="s">
        <v>529</v>
      </c>
    </row>
    <row r="25" spans="1:8" x14ac:dyDescent="0.3">
      <c r="A25" s="10">
        <v>7.1395794882231192</v>
      </c>
      <c r="B25" t="s">
        <v>57</v>
      </c>
      <c r="C25" t="s">
        <v>568</v>
      </c>
      <c r="D25" t="s">
        <v>2</v>
      </c>
      <c r="E25" t="s">
        <v>412</v>
      </c>
      <c r="F25" t="s">
        <v>13</v>
      </c>
      <c r="G25" t="s">
        <v>525</v>
      </c>
      <c r="H25" t="s">
        <v>529</v>
      </c>
    </row>
    <row r="26" spans="1:8" x14ac:dyDescent="0.3">
      <c r="A26" s="10">
        <v>1.1876283094529754</v>
      </c>
      <c r="B26" t="s">
        <v>57</v>
      </c>
      <c r="C26" t="s">
        <v>540</v>
      </c>
      <c r="D26" t="s">
        <v>2</v>
      </c>
      <c r="E26" t="s">
        <v>345</v>
      </c>
      <c r="F26" t="s">
        <v>13</v>
      </c>
      <c r="G26" t="s">
        <v>525</v>
      </c>
      <c r="H26" t="s">
        <v>529</v>
      </c>
    </row>
    <row r="27" spans="1:8" x14ac:dyDescent="0.3">
      <c r="A27" s="10">
        <v>8.285778903160293E-2</v>
      </c>
      <c r="B27" t="s">
        <v>57</v>
      </c>
      <c r="C27" t="s">
        <v>578</v>
      </c>
      <c r="D27" t="s">
        <v>2</v>
      </c>
      <c r="E27" t="s">
        <v>371</v>
      </c>
      <c r="F27" t="s">
        <v>13</v>
      </c>
      <c r="G27" t="s">
        <v>525</v>
      </c>
      <c r="H27" t="s">
        <v>529</v>
      </c>
    </row>
    <row r="28" spans="1:8" x14ac:dyDescent="0.3">
      <c r="A28" s="10">
        <v>1.7952520956847302</v>
      </c>
      <c r="B28" t="s">
        <v>57</v>
      </c>
      <c r="C28" t="s">
        <v>580</v>
      </c>
      <c r="D28" t="s">
        <v>2</v>
      </c>
      <c r="E28" t="s">
        <v>352</v>
      </c>
      <c r="F28" t="s">
        <v>13</v>
      </c>
      <c r="G28" t="s">
        <v>525</v>
      </c>
      <c r="H28" t="s">
        <v>529</v>
      </c>
    </row>
    <row r="29" spans="1:8" x14ac:dyDescent="0.3">
      <c r="A29" s="10">
        <v>5.523852602106863E-4</v>
      </c>
      <c r="B29" t="s">
        <v>57</v>
      </c>
      <c r="C29" t="s">
        <v>582</v>
      </c>
      <c r="D29" t="s">
        <v>2</v>
      </c>
      <c r="E29" t="s">
        <v>352</v>
      </c>
      <c r="F29" t="s">
        <v>13</v>
      </c>
      <c r="G29" t="s">
        <v>525</v>
      </c>
      <c r="H29" t="s">
        <v>529</v>
      </c>
    </row>
    <row r="30" spans="1:8" x14ac:dyDescent="0.3">
      <c r="A30" s="10">
        <v>2.7619263010534314E-3</v>
      </c>
      <c r="B30" t="s">
        <v>57</v>
      </c>
      <c r="C30" t="s">
        <v>571</v>
      </c>
      <c r="D30" t="s">
        <v>2</v>
      </c>
      <c r="E30" t="s">
        <v>387</v>
      </c>
      <c r="F30" t="s">
        <v>13</v>
      </c>
      <c r="G30" t="s">
        <v>525</v>
      </c>
      <c r="H30" t="s">
        <v>529</v>
      </c>
    </row>
    <row r="31" spans="1:8" x14ac:dyDescent="0.3">
      <c r="A31" s="10">
        <v>8.2857789031602937E-3</v>
      </c>
      <c r="B31" t="s">
        <v>57</v>
      </c>
      <c r="C31" t="s">
        <v>585</v>
      </c>
      <c r="D31" t="s">
        <v>2</v>
      </c>
      <c r="E31" t="s">
        <v>352</v>
      </c>
      <c r="F31" t="s">
        <v>13</v>
      </c>
      <c r="G31" t="s">
        <v>525</v>
      </c>
      <c r="H31" t="s">
        <v>529</v>
      </c>
    </row>
    <row r="32" spans="1:8" x14ac:dyDescent="0.3">
      <c r="A32" s="10">
        <v>3.3143115612641174</v>
      </c>
      <c r="B32" t="s">
        <v>57</v>
      </c>
      <c r="C32" t="s">
        <v>572</v>
      </c>
      <c r="D32" t="s">
        <v>2</v>
      </c>
      <c r="E32" t="s">
        <v>322</v>
      </c>
      <c r="F32" t="s">
        <v>13</v>
      </c>
      <c r="G32" t="s">
        <v>525</v>
      </c>
      <c r="H32" t="s">
        <v>529</v>
      </c>
    </row>
    <row r="33" spans="1:8" x14ac:dyDescent="0.3">
      <c r="A33" s="10">
        <v>0.27619263010534312</v>
      </c>
      <c r="B33" t="s">
        <v>57</v>
      </c>
      <c r="C33" t="s">
        <v>588</v>
      </c>
      <c r="D33" t="s">
        <v>2</v>
      </c>
      <c r="E33" t="s">
        <v>352</v>
      </c>
      <c r="F33" t="s">
        <v>13</v>
      </c>
      <c r="G33" t="s">
        <v>525</v>
      </c>
      <c r="H33" t="s">
        <v>529</v>
      </c>
    </row>
    <row r="34" spans="1:8" x14ac:dyDescent="0.3">
      <c r="A34" s="10">
        <v>8.2857789031602928E-4</v>
      </c>
      <c r="B34" t="s">
        <v>57</v>
      </c>
      <c r="C34" t="s">
        <v>590</v>
      </c>
      <c r="D34" t="s">
        <v>2</v>
      </c>
      <c r="E34" t="s">
        <v>352</v>
      </c>
      <c r="F34" t="s">
        <v>13</v>
      </c>
      <c r="G34" t="s">
        <v>525</v>
      </c>
      <c r="H34" t="s">
        <v>529</v>
      </c>
    </row>
    <row r="35" spans="1:8" x14ac:dyDescent="0.3">
      <c r="A35" s="14">
        <v>5.523852602106863E-4</v>
      </c>
      <c r="B35" s="15" t="s">
        <v>57</v>
      </c>
      <c r="C35" s="15" t="s">
        <v>592</v>
      </c>
      <c r="D35" s="15" t="s">
        <v>2</v>
      </c>
      <c r="E35" s="15" t="s">
        <v>352</v>
      </c>
      <c r="F35" s="15" t="s">
        <v>13</v>
      </c>
      <c r="G35" s="15" t="s">
        <v>525</v>
      </c>
      <c r="H35" t="s">
        <v>529</v>
      </c>
    </row>
    <row r="36" spans="1:8" x14ac:dyDescent="0.3">
      <c r="A36" s="12">
        <v>19.763336680167665</v>
      </c>
      <c r="B36" s="7" t="s">
        <v>57</v>
      </c>
      <c r="C36" s="7" t="s">
        <v>559</v>
      </c>
      <c r="D36" s="7" t="s">
        <v>2</v>
      </c>
      <c r="E36" s="8" t="s">
        <v>315</v>
      </c>
      <c r="F36" s="7" t="s">
        <v>13</v>
      </c>
      <c r="G36" s="7" t="s">
        <v>525</v>
      </c>
      <c r="H36" t="s">
        <v>529</v>
      </c>
    </row>
    <row r="37" spans="1:8" x14ac:dyDescent="0.3">
      <c r="A37" s="10">
        <v>2.4210087433205389E-3</v>
      </c>
      <c r="B37" t="s">
        <v>57</v>
      </c>
      <c r="C37" t="s">
        <v>560</v>
      </c>
      <c r="D37" t="s">
        <v>2</v>
      </c>
      <c r="E37" t="s">
        <v>431</v>
      </c>
      <c r="F37" t="s">
        <v>13</v>
      </c>
      <c r="G37" t="s">
        <v>525</v>
      </c>
      <c r="H37" t="s">
        <v>529</v>
      </c>
    </row>
    <row r="38" spans="1:8" x14ac:dyDescent="0.3">
      <c r="A38" s="10">
        <v>0.31621338688268263</v>
      </c>
      <c r="B38" t="s">
        <v>57</v>
      </c>
      <c r="C38" t="s">
        <v>561</v>
      </c>
      <c r="D38" t="s">
        <v>2</v>
      </c>
      <c r="E38" t="s">
        <v>476</v>
      </c>
      <c r="F38" t="s">
        <v>13</v>
      </c>
      <c r="G38" t="s">
        <v>525</v>
      </c>
      <c r="H38" t="s">
        <v>529</v>
      </c>
    </row>
    <row r="39" spans="1:8" x14ac:dyDescent="0.3">
      <c r="A39" s="10">
        <v>3.0139088437255686E-3</v>
      </c>
      <c r="B39" t="s">
        <v>57</v>
      </c>
      <c r="C39" t="s">
        <v>562</v>
      </c>
      <c r="D39" t="s">
        <v>2</v>
      </c>
      <c r="E39" t="s">
        <v>431</v>
      </c>
      <c r="F39" t="s">
        <v>13</v>
      </c>
      <c r="G39" t="s">
        <v>525</v>
      </c>
      <c r="H39" t="s">
        <v>529</v>
      </c>
    </row>
    <row r="40" spans="1:8" x14ac:dyDescent="0.3">
      <c r="A40" s="13">
        <v>5.4349175870461073</v>
      </c>
      <c r="B40" t="s">
        <v>57</v>
      </c>
      <c r="C40" t="s">
        <v>563</v>
      </c>
      <c r="D40" t="s">
        <v>2</v>
      </c>
      <c r="E40" t="s">
        <v>149</v>
      </c>
      <c r="F40" t="s">
        <v>13</v>
      </c>
      <c r="G40" t="s">
        <v>525</v>
      </c>
      <c r="H40" t="s">
        <v>529</v>
      </c>
    </row>
    <row r="41" spans="1:8" x14ac:dyDescent="0.3">
      <c r="A41" s="17">
        <v>19.763336680167665</v>
      </c>
      <c r="B41" s="15" t="s">
        <v>57</v>
      </c>
      <c r="C41" s="15" t="s">
        <v>564</v>
      </c>
      <c r="D41" s="15" t="s">
        <v>2</v>
      </c>
      <c r="E41" s="15" t="s">
        <v>352</v>
      </c>
      <c r="F41" s="15" t="s">
        <v>13</v>
      </c>
      <c r="G41" s="15" t="s">
        <v>525</v>
      </c>
      <c r="H41" t="s">
        <v>529</v>
      </c>
    </row>
    <row r="42" spans="1:8" x14ac:dyDescent="0.3">
      <c r="A42" s="6">
        <v>4.1305373661550417</v>
      </c>
      <c r="B42" s="7" t="s">
        <v>57</v>
      </c>
      <c r="C42" s="7" t="s">
        <v>559</v>
      </c>
      <c r="D42" s="7" t="s">
        <v>2</v>
      </c>
      <c r="E42" s="8" t="s">
        <v>315</v>
      </c>
      <c r="F42" s="7" t="s">
        <v>13</v>
      </c>
      <c r="G42" s="7" t="s">
        <v>525</v>
      </c>
      <c r="H42" t="s">
        <v>529</v>
      </c>
    </row>
    <row r="43" spans="1:8" x14ac:dyDescent="0.3">
      <c r="A43" s="10">
        <v>0.22727837182192814</v>
      </c>
      <c r="B43" t="s">
        <v>57</v>
      </c>
      <c r="C43" t="s">
        <v>597</v>
      </c>
      <c r="D43" t="s">
        <v>2</v>
      </c>
      <c r="E43" s="2" t="s">
        <v>352</v>
      </c>
      <c r="F43" t="s">
        <v>13</v>
      </c>
      <c r="G43" t="s">
        <v>525</v>
      </c>
      <c r="H43" t="s">
        <v>529</v>
      </c>
    </row>
    <row r="44" spans="1:8" x14ac:dyDescent="0.3">
      <c r="A44" s="10">
        <v>4.2392357178959639</v>
      </c>
      <c r="B44" t="s">
        <v>57</v>
      </c>
      <c r="C44" t="s">
        <v>598</v>
      </c>
      <c r="D44" t="s">
        <v>2</v>
      </c>
      <c r="E44" t="s">
        <v>418</v>
      </c>
      <c r="F44" t="s">
        <v>13</v>
      </c>
      <c r="G44" t="s">
        <v>525</v>
      </c>
      <c r="H44" t="s">
        <v>529</v>
      </c>
    </row>
    <row r="45" spans="1:8" x14ac:dyDescent="0.3">
      <c r="A45" s="10">
        <v>2.7915713060736826</v>
      </c>
      <c r="B45" t="s">
        <v>57</v>
      </c>
      <c r="C45" t="s">
        <v>566</v>
      </c>
      <c r="D45" t="s">
        <v>2</v>
      </c>
      <c r="E45" s="2" t="s">
        <v>352</v>
      </c>
      <c r="F45" t="s">
        <v>13</v>
      </c>
      <c r="G45" t="s">
        <v>525</v>
      </c>
      <c r="H45" t="s">
        <v>529</v>
      </c>
    </row>
    <row r="46" spans="1:8" x14ac:dyDescent="0.3">
      <c r="A46" s="10">
        <v>0.24704170850209581</v>
      </c>
      <c r="B46" t="s">
        <v>16</v>
      </c>
      <c r="C46" t="s">
        <v>599</v>
      </c>
      <c r="D46" t="s">
        <v>2</v>
      </c>
      <c r="E46" t="s">
        <v>61</v>
      </c>
      <c r="F46" s="4" t="s">
        <v>13</v>
      </c>
      <c r="G46" t="s">
        <v>525</v>
      </c>
      <c r="H46" t="s">
        <v>529</v>
      </c>
    </row>
    <row r="47" spans="1:8" x14ac:dyDescent="0.3">
      <c r="A47" s="10">
        <v>3.9378448335234066E-2</v>
      </c>
      <c r="B47" t="s">
        <v>57</v>
      </c>
      <c r="C47" t="s">
        <v>601</v>
      </c>
      <c r="D47" t="s">
        <v>2</v>
      </c>
      <c r="E47" t="s">
        <v>431</v>
      </c>
      <c r="F47" t="s">
        <v>13</v>
      </c>
      <c r="G47" t="s">
        <v>525</v>
      </c>
      <c r="H47" t="s">
        <v>529</v>
      </c>
    </row>
    <row r="48" spans="1:8" x14ac:dyDescent="0.3">
      <c r="A48" s="10">
        <v>4.1305373661550417</v>
      </c>
      <c r="B48" t="s">
        <v>57</v>
      </c>
      <c r="C48" t="s">
        <v>603</v>
      </c>
      <c r="D48" t="s">
        <v>2</v>
      </c>
      <c r="E48" s="2" t="s">
        <v>315</v>
      </c>
      <c r="F48" t="s">
        <v>13</v>
      </c>
      <c r="G48" t="s">
        <v>525</v>
      </c>
      <c r="H48" t="s">
        <v>529</v>
      </c>
    </row>
    <row r="49" spans="1:9" x14ac:dyDescent="0.3">
      <c r="A49" s="10">
        <v>466.90882906896104</v>
      </c>
      <c r="B49" t="s">
        <v>57</v>
      </c>
      <c r="C49" t="s">
        <v>605</v>
      </c>
      <c r="D49" t="s">
        <v>2</v>
      </c>
      <c r="E49" t="s">
        <v>322</v>
      </c>
      <c r="F49" t="s">
        <v>13</v>
      </c>
      <c r="G49" t="s">
        <v>525</v>
      </c>
      <c r="H49" t="s">
        <v>529</v>
      </c>
    </row>
    <row r="50" spans="1:9" x14ac:dyDescent="0.3">
      <c r="A50" s="10">
        <v>4.1305373661550417</v>
      </c>
      <c r="B50" t="s">
        <v>57</v>
      </c>
      <c r="C50" t="s">
        <v>605</v>
      </c>
      <c r="D50" t="s">
        <v>2</v>
      </c>
      <c r="E50" t="s">
        <v>322</v>
      </c>
      <c r="F50" t="s">
        <v>13</v>
      </c>
      <c r="G50" t="s">
        <v>525</v>
      </c>
      <c r="H50" t="s">
        <v>529</v>
      </c>
    </row>
    <row r="51" spans="1:9" x14ac:dyDescent="0.3">
      <c r="A51" s="10">
        <v>4.1305373661550417</v>
      </c>
      <c r="B51" t="s">
        <v>57</v>
      </c>
      <c r="C51" t="s">
        <v>608</v>
      </c>
      <c r="D51" t="s">
        <v>2</v>
      </c>
      <c r="E51" t="s">
        <v>322</v>
      </c>
      <c r="F51" t="s">
        <v>13</v>
      </c>
      <c r="G51" t="s">
        <v>525</v>
      </c>
      <c r="H51" t="s">
        <v>529</v>
      </c>
    </row>
    <row r="52" spans="1:9" x14ac:dyDescent="0.3">
      <c r="A52" s="14">
        <v>466.90882906896104</v>
      </c>
      <c r="B52" s="15" t="s">
        <v>57</v>
      </c>
      <c r="C52" s="15" t="s">
        <v>610</v>
      </c>
      <c r="D52" s="15" t="s">
        <v>2</v>
      </c>
      <c r="E52" s="15" t="s">
        <v>322</v>
      </c>
      <c r="F52" s="15" t="s">
        <v>13</v>
      </c>
      <c r="G52" s="15" t="s">
        <v>525</v>
      </c>
      <c r="H52" t="s">
        <v>529</v>
      </c>
    </row>
    <row r="53" spans="1:9" x14ac:dyDescent="0.3">
      <c r="A53" s="10">
        <v>0</v>
      </c>
      <c r="B53" s="7" t="s">
        <v>57</v>
      </c>
      <c r="C53" s="7" t="s">
        <v>612</v>
      </c>
      <c r="D53" s="7" t="s">
        <v>2</v>
      </c>
      <c r="E53" s="7" t="s">
        <v>412</v>
      </c>
      <c r="F53" s="7" t="s">
        <v>13</v>
      </c>
      <c r="G53" s="7" t="s">
        <v>525</v>
      </c>
      <c r="H53" t="s">
        <v>529</v>
      </c>
    </row>
    <row r="54" spans="1:9" x14ac:dyDescent="0.3">
      <c r="A54" s="10">
        <v>0</v>
      </c>
      <c r="B54" t="s">
        <v>57</v>
      </c>
      <c r="C54" t="s">
        <v>605</v>
      </c>
      <c r="D54" t="s">
        <v>2</v>
      </c>
      <c r="E54" t="s">
        <v>322</v>
      </c>
      <c r="F54" t="s">
        <v>13</v>
      </c>
      <c r="G54" t="s">
        <v>525</v>
      </c>
      <c r="H54" t="s">
        <v>529</v>
      </c>
    </row>
    <row r="55" spans="1:9" x14ac:dyDescent="0.3">
      <c r="A55" s="10">
        <v>0</v>
      </c>
      <c r="B55" t="s">
        <v>57</v>
      </c>
      <c r="C55" t="s">
        <v>613</v>
      </c>
      <c r="D55" t="s">
        <v>2</v>
      </c>
      <c r="E55" t="s">
        <v>322</v>
      </c>
      <c r="F55" t="s">
        <v>13</v>
      </c>
      <c r="G55" t="s">
        <v>525</v>
      </c>
      <c r="H55" t="s">
        <v>529</v>
      </c>
    </row>
    <row r="56" spans="1:9" x14ac:dyDescent="0.3">
      <c r="A56" s="10">
        <v>0</v>
      </c>
      <c r="B56" t="s">
        <v>57</v>
      </c>
      <c r="C56" t="s">
        <v>614</v>
      </c>
      <c r="D56" t="s">
        <v>2</v>
      </c>
      <c r="E56" t="s">
        <v>322</v>
      </c>
      <c r="F56" t="s">
        <v>13</v>
      </c>
      <c r="G56" t="s">
        <v>525</v>
      </c>
      <c r="H56" t="s">
        <v>529</v>
      </c>
    </row>
    <row r="57" spans="1:9" x14ac:dyDescent="0.3">
      <c r="A57" s="10">
        <v>0</v>
      </c>
      <c r="B57" s="15" t="s">
        <v>57</v>
      </c>
      <c r="C57" s="15" t="s">
        <v>616</v>
      </c>
      <c r="D57" s="15" t="s">
        <v>2</v>
      </c>
      <c r="E57" s="15" t="s">
        <v>355</v>
      </c>
      <c r="F57" s="15" t="s">
        <v>13</v>
      </c>
      <c r="G57" s="15" t="s">
        <v>525</v>
      </c>
      <c r="H57" t="s">
        <v>529</v>
      </c>
    </row>
    <row r="58" spans="1:9" x14ac:dyDescent="0.3">
      <c r="A58" s="10">
        <v>0</v>
      </c>
      <c r="B58" t="s">
        <v>314</v>
      </c>
      <c r="C58" t="s">
        <v>495</v>
      </c>
      <c r="D58" t="s">
        <v>494</v>
      </c>
      <c r="E58" t="s">
        <v>495</v>
      </c>
      <c r="F58" t="s">
        <v>13</v>
      </c>
      <c r="G58" t="s">
        <v>525</v>
      </c>
      <c r="H58" t="s">
        <v>618</v>
      </c>
      <c r="I58">
        <v>1.2333333333333332E-2</v>
      </c>
    </row>
    <row r="59" spans="1:9" x14ac:dyDescent="0.3">
      <c r="A59" s="10">
        <v>0</v>
      </c>
      <c r="B59" t="s">
        <v>314</v>
      </c>
      <c r="C59" t="s">
        <v>496</v>
      </c>
      <c r="D59" t="s">
        <v>494</v>
      </c>
      <c r="E59" t="s">
        <v>496</v>
      </c>
      <c r="F59" t="s">
        <v>13</v>
      </c>
      <c r="G59" t="s">
        <v>525</v>
      </c>
      <c r="H59" t="s">
        <v>618</v>
      </c>
      <c r="I59">
        <v>5.3600148159008293E-3</v>
      </c>
    </row>
    <row r="60" spans="1:9" x14ac:dyDescent="0.3">
      <c r="A60" s="5">
        <v>0</v>
      </c>
      <c r="B60" t="s">
        <v>314</v>
      </c>
      <c r="C60" t="s">
        <v>497</v>
      </c>
      <c r="D60" t="s">
        <v>494</v>
      </c>
      <c r="E60" t="s">
        <v>497</v>
      </c>
      <c r="F60" t="s">
        <v>13</v>
      </c>
      <c r="G60" t="s">
        <v>525</v>
      </c>
      <c r="H60" t="s">
        <v>618</v>
      </c>
      <c r="I60">
        <v>8.2633561745137751E-2</v>
      </c>
    </row>
    <row r="61" spans="1:9" x14ac:dyDescent="0.3">
      <c r="A61">
        <v>4.1111111111111101E-4</v>
      </c>
      <c r="B61" t="s">
        <v>507</v>
      </c>
      <c r="C61" t="s">
        <v>506</v>
      </c>
      <c r="D61" t="s">
        <v>498</v>
      </c>
      <c r="E61" t="s">
        <v>506</v>
      </c>
      <c r="F61" t="s">
        <v>13</v>
      </c>
      <c r="G61" t="s">
        <v>525</v>
      </c>
      <c r="H61" t="s">
        <v>618</v>
      </c>
    </row>
    <row r="62" spans="1:9" x14ac:dyDescent="0.3">
      <c r="A62">
        <v>9.5190111120027545</v>
      </c>
      <c r="B62" t="s">
        <v>57</v>
      </c>
      <c r="C62" t="s">
        <v>535</v>
      </c>
      <c r="D62" t="s">
        <v>498</v>
      </c>
      <c r="E62" t="s">
        <v>502</v>
      </c>
      <c r="F62" t="s">
        <v>13</v>
      </c>
      <c r="G62" t="s">
        <v>525</v>
      </c>
      <c r="H62" t="s">
        <v>769</v>
      </c>
    </row>
    <row r="63" spans="1:9" x14ac:dyDescent="0.3">
      <c r="A63">
        <v>1.2846168842108982E-3</v>
      </c>
      <c r="B63" t="s">
        <v>57</v>
      </c>
      <c r="C63" t="s">
        <v>500</v>
      </c>
      <c r="D63" t="s">
        <v>498</v>
      </c>
      <c r="E63" t="s">
        <v>500</v>
      </c>
      <c r="F63" t="s">
        <v>13</v>
      </c>
      <c r="G63" t="s">
        <v>525</v>
      </c>
      <c r="H63" t="s">
        <v>769</v>
      </c>
    </row>
    <row r="64" spans="1:9" x14ac:dyDescent="0.3">
      <c r="A64">
        <v>7.7077013052653895E-5</v>
      </c>
      <c r="B64" t="s">
        <v>57</v>
      </c>
      <c r="C64" t="s">
        <v>511</v>
      </c>
      <c r="D64" t="s">
        <v>498</v>
      </c>
      <c r="E64" t="s">
        <v>511</v>
      </c>
      <c r="F64" t="s">
        <v>13</v>
      </c>
      <c r="G64" t="s">
        <v>525</v>
      </c>
      <c r="H64" t="s">
        <v>769</v>
      </c>
    </row>
    <row r="65" spans="1:8" x14ac:dyDescent="0.3">
      <c r="A65">
        <v>8.658638953802507</v>
      </c>
      <c r="B65" t="s">
        <v>57</v>
      </c>
      <c r="C65" t="s">
        <v>535</v>
      </c>
      <c r="D65" t="s">
        <v>498</v>
      </c>
      <c r="E65" t="s">
        <v>502</v>
      </c>
      <c r="F65" t="s">
        <v>13</v>
      </c>
      <c r="G65" t="s">
        <v>525</v>
      </c>
      <c r="H65" t="s">
        <v>619</v>
      </c>
    </row>
    <row r="66" spans="1:8" x14ac:dyDescent="0.3">
      <c r="A66">
        <v>1.1685072812149132E-3</v>
      </c>
      <c r="B66" t="s">
        <v>57</v>
      </c>
      <c r="C66" t="s">
        <v>500</v>
      </c>
      <c r="D66" t="s">
        <v>498</v>
      </c>
      <c r="E66" t="s">
        <v>500</v>
      </c>
      <c r="F66" t="s">
        <v>13</v>
      </c>
      <c r="G66" t="s">
        <v>525</v>
      </c>
      <c r="H66" t="s">
        <v>619</v>
      </c>
    </row>
    <row r="67" spans="1:8" x14ac:dyDescent="0.3">
      <c r="A67">
        <v>7.0110436872894798E-5</v>
      </c>
      <c r="B67" t="s">
        <v>57</v>
      </c>
      <c r="C67" t="s">
        <v>511</v>
      </c>
      <c r="D67" t="s">
        <v>498</v>
      </c>
      <c r="E67" t="s">
        <v>511</v>
      </c>
      <c r="F67" t="s">
        <v>13</v>
      </c>
      <c r="G67" t="s">
        <v>525</v>
      </c>
      <c r="H67" t="s">
        <v>619</v>
      </c>
    </row>
    <row r="68" spans="1:8" x14ac:dyDescent="0.3">
      <c r="A68">
        <f>$A$2*'[1]PV prod CN'!I27</f>
        <v>0</v>
      </c>
      <c r="B68" t="s">
        <v>314</v>
      </c>
      <c r="C68" t="s">
        <v>620</v>
      </c>
      <c r="D68" t="s">
        <v>2</v>
      </c>
      <c r="E68" s="2" t="s">
        <v>455</v>
      </c>
      <c r="F68" t="s">
        <v>13</v>
      </c>
      <c r="G68" t="s">
        <v>525</v>
      </c>
      <c r="H68" t="s">
        <v>621</v>
      </c>
    </row>
    <row r="69" spans="1:8" x14ac:dyDescent="0.3">
      <c r="A69">
        <f>$A$2*'[1]PV prod CN'!I28</f>
        <v>2.1254337369571803E-5</v>
      </c>
      <c r="B69" s="2" t="s">
        <v>314</v>
      </c>
      <c r="C69" t="s">
        <v>622</v>
      </c>
      <c r="D69" t="s">
        <v>2</v>
      </c>
      <c r="E69" s="2" t="s">
        <v>409</v>
      </c>
      <c r="F69" t="s">
        <v>13</v>
      </c>
      <c r="G69" t="s">
        <v>525</v>
      </c>
      <c r="H69" t="s">
        <v>621</v>
      </c>
    </row>
    <row r="70" spans="1:8" x14ac:dyDescent="0.3">
      <c r="A70">
        <f>$A$2*'[1]PV prod CN'!I29</f>
        <v>2.2169590014544573E-4</v>
      </c>
      <c r="B70" s="2" t="s">
        <v>314</v>
      </c>
      <c r="C70" t="s">
        <v>623</v>
      </c>
      <c r="D70" t="s">
        <v>2</v>
      </c>
      <c r="E70" s="2" t="s">
        <v>443</v>
      </c>
      <c r="F70" t="s">
        <v>13</v>
      </c>
      <c r="G70" t="s">
        <v>525</v>
      </c>
      <c r="H70" t="s">
        <v>621</v>
      </c>
    </row>
    <row r="71" spans="1:8" x14ac:dyDescent="0.3">
      <c r="A71">
        <f>A2</f>
        <v>50.149466825925401</v>
      </c>
      <c r="B71" s="2" t="s">
        <v>16</v>
      </c>
      <c r="C71" t="s">
        <v>624</v>
      </c>
      <c r="D71" t="s">
        <v>2</v>
      </c>
      <c r="E71" s="2" t="s">
        <v>765</v>
      </c>
      <c r="F71" t="s">
        <v>13</v>
      </c>
      <c r="G71" t="s">
        <v>525</v>
      </c>
      <c r="H71" t="s">
        <v>529</v>
      </c>
    </row>
    <row r="72" spans="1:8" x14ac:dyDescent="0.3">
      <c r="A72">
        <v>0</v>
      </c>
      <c r="B72" t="s">
        <v>312</v>
      </c>
      <c r="C72" t="s">
        <v>483</v>
      </c>
      <c r="D72" t="s">
        <v>2</v>
      </c>
      <c r="E72" t="s">
        <v>483</v>
      </c>
      <c r="F72" t="s">
        <v>13</v>
      </c>
      <c r="G72" t="s">
        <v>525</v>
      </c>
    </row>
    <row r="73" spans="1:8" x14ac:dyDescent="0.3">
      <c r="A73">
        <v>0</v>
      </c>
      <c r="B73" t="s">
        <v>105</v>
      </c>
      <c r="C73" t="s">
        <v>125</v>
      </c>
      <c r="D73" t="s">
        <v>2</v>
      </c>
      <c r="E73" t="s">
        <v>125</v>
      </c>
      <c r="F73" t="s">
        <v>13</v>
      </c>
      <c r="G73" t="s">
        <v>525</v>
      </c>
    </row>
    <row r="74" spans="1:8" x14ac:dyDescent="0.3">
      <c r="A74">
        <v>0</v>
      </c>
      <c r="B74" t="s">
        <v>319</v>
      </c>
      <c r="C74" t="s">
        <v>461</v>
      </c>
      <c r="D74" t="s">
        <v>2</v>
      </c>
      <c r="E74" t="s">
        <v>461</v>
      </c>
      <c r="F74" t="s">
        <v>13</v>
      </c>
      <c r="G74" t="s">
        <v>525</v>
      </c>
    </row>
    <row r="75" spans="1:8" x14ac:dyDescent="0.3">
      <c r="A75">
        <v>0</v>
      </c>
      <c r="B75" t="s">
        <v>314</v>
      </c>
      <c r="C75" t="s">
        <v>395</v>
      </c>
      <c r="D75" t="s">
        <v>2</v>
      </c>
      <c r="E75" t="s">
        <v>395</v>
      </c>
      <c r="F75" t="s">
        <v>13</v>
      </c>
      <c r="G75" t="s">
        <v>525</v>
      </c>
    </row>
    <row r="76" spans="1:8" x14ac:dyDescent="0.3">
      <c r="A76">
        <v>0</v>
      </c>
      <c r="B76" t="s">
        <v>312</v>
      </c>
      <c r="C76" t="s">
        <v>399</v>
      </c>
      <c r="D76" t="s">
        <v>2</v>
      </c>
      <c r="E76" t="s">
        <v>399</v>
      </c>
      <c r="F76" t="s">
        <v>13</v>
      </c>
      <c r="G76" t="s">
        <v>525</v>
      </c>
    </row>
    <row r="77" spans="1:8" x14ac:dyDescent="0.3">
      <c r="A77">
        <v>0</v>
      </c>
      <c r="B77" t="s">
        <v>314</v>
      </c>
      <c r="C77" t="s">
        <v>432</v>
      </c>
      <c r="D77" t="s">
        <v>2</v>
      </c>
      <c r="E77" t="s">
        <v>432</v>
      </c>
      <c r="F77" t="s">
        <v>13</v>
      </c>
      <c r="G77" t="s">
        <v>525</v>
      </c>
    </row>
    <row r="78" spans="1:8" x14ac:dyDescent="0.3">
      <c r="A78">
        <v>0</v>
      </c>
      <c r="B78" t="s">
        <v>312</v>
      </c>
      <c r="C78" t="s">
        <v>325</v>
      </c>
      <c r="D78" t="s">
        <v>2</v>
      </c>
      <c r="E78" t="s">
        <v>325</v>
      </c>
      <c r="F78" t="s">
        <v>13</v>
      </c>
      <c r="G78" t="s">
        <v>525</v>
      </c>
    </row>
    <row r="79" spans="1:8" x14ac:dyDescent="0.3">
      <c r="A79">
        <v>0</v>
      </c>
      <c r="B79" t="s">
        <v>314</v>
      </c>
      <c r="C79" t="s">
        <v>372</v>
      </c>
      <c r="D79" t="s">
        <v>2</v>
      </c>
      <c r="E79" t="s">
        <v>372</v>
      </c>
      <c r="F79" t="s">
        <v>13</v>
      </c>
      <c r="G79" t="s">
        <v>525</v>
      </c>
    </row>
    <row r="80" spans="1:8" x14ac:dyDescent="0.3">
      <c r="A80">
        <v>0</v>
      </c>
      <c r="B80" t="s">
        <v>314</v>
      </c>
      <c r="C80" t="s">
        <v>260</v>
      </c>
      <c r="D80" t="s">
        <v>2</v>
      </c>
      <c r="E80" t="s">
        <v>260</v>
      </c>
      <c r="F80" t="s">
        <v>13</v>
      </c>
      <c r="G80" t="s">
        <v>525</v>
      </c>
    </row>
    <row r="81" spans="1:7" x14ac:dyDescent="0.3">
      <c r="A81">
        <v>0</v>
      </c>
      <c r="B81" t="s">
        <v>312</v>
      </c>
      <c r="C81" t="s">
        <v>330</v>
      </c>
      <c r="D81" t="s">
        <v>2</v>
      </c>
      <c r="E81" t="s">
        <v>330</v>
      </c>
      <c r="F81" t="s">
        <v>13</v>
      </c>
      <c r="G81" t="s">
        <v>525</v>
      </c>
    </row>
    <row r="82" spans="1:7" x14ac:dyDescent="0.3">
      <c r="A82">
        <v>0</v>
      </c>
      <c r="B82" t="s">
        <v>105</v>
      </c>
      <c r="C82" t="s">
        <v>401</v>
      </c>
      <c r="D82" t="s">
        <v>2</v>
      </c>
      <c r="E82" t="s">
        <v>401</v>
      </c>
      <c r="F82" t="s">
        <v>13</v>
      </c>
      <c r="G82" t="s">
        <v>525</v>
      </c>
    </row>
    <row r="83" spans="1:7" x14ac:dyDescent="0.3">
      <c r="A83">
        <v>0</v>
      </c>
      <c r="B83" t="s">
        <v>312</v>
      </c>
      <c r="C83" t="s">
        <v>416</v>
      </c>
      <c r="D83" t="s">
        <v>2</v>
      </c>
      <c r="E83" t="s">
        <v>416</v>
      </c>
      <c r="F83" t="s">
        <v>13</v>
      </c>
      <c r="G83" t="s">
        <v>525</v>
      </c>
    </row>
    <row r="84" spans="1:7" x14ac:dyDescent="0.3">
      <c r="A84">
        <v>0</v>
      </c>
      <c r="B84" t="s">
        <v>319</v>
      </c>
      <c r="C84" t="s">
        <v>375</v>
      </c>
      <c r="D84" t="s">
        <v>2</v>
      </c>
      <c r="E84" t="s">
        <v>375</v>
      </c>
      <c r="F84" t="s">
        <v>13</v>
      </c>
      <c r="G84" t="s">
        <v>525</v>
      </c>
    </row>
    <row r="85" spans="1:7" x14ac:dyDescent="0.3">
      <c r="A85">
        <v>0</v>
      </c>
      <c r="B85" t="s">
        <v>312</v>
      </c>
      <c r="C85" t="s">
        <v>333</v>
      </c>
      <c r="D85" t="s">
        <v>2</v>
      </c>
      <c r="E85" t="s">
        <v>333</v>
      </c>
      <c r="F85" t="s">
        <v>13</v>
      </c>
      <c r="G85" t="s">
        <v>525</v>
      </c>
    </row>
    <row r="86" spans="1:7" x14ac:dyDescent="0.3">
      <c r="A86">
        <v>0</v>
      </c>
      <c r="B86" t="s">
        <v>57</v>
      </c>
      <c r="C86" t="s">
        <v>118</v>
      </c>
      <c r="D86" t="s">
        <v>2</v>
      </c>
      <c r="E86" t="s">
        <v>118</v>
      </c>
      <c r="F86" t="s">
        <v>13</v>
      </c>
      <c r="G86" t="s">
        <v>525</v>
      </c>
    </row>
    <row r="87" spans="1:7" x14ac:dyDescent="0.3">
      <c r="A87">
        <v>0</v>
      </c>
      <c r="B87" t="s">
        <v>312</v>
      </c>
      <c r="C87" t="s">
        <v>406</v>
      </c>
      <c r="D87" t="s">
        <v>2</v>
      </c>
      <c r="E87" t="s">
        <v>406</v>
      </c>
      <c r="F87" t="s">
        <v>13</v>
      </c>
      <c r="G87" t="s">
        <v>525</v>
      </c>
    </row>
    <row r="88" spans="1:7" x14ac:dyDescent="0.3">
      <c r="A88">
        <v>0</v>
      </c>
      <c r="B88" t="s">
        <v>312</v>
      </c>
      <c r="C88" t="s">
        <v>315</v>
      </c>
      <c r="D88" t="s">
        <v>2</v>
      </c>
      <c r="E88" t="s">
        <v>315</v>
      </c>
      <c r="F88" t="s">
        <v>13</v>
      </c>
      <c r="G88" t="s">
        <v>525</v>
      </c>
    </row>
    <row r="89" spans="1:7" x14ac:dyDescent="0.3">
      <c r="A89">
        <v>0</v>
      </c>
      <c r="B89" t="s">
        <v>312</v>
      </c>
      <c r="C89" t="s">
        <v>358</v>
      </c>
      <c r="D89" t="s">
        <v>2</v>
      </c>
      <c r="E89" t="s">
        <v>358</v>
      </c>
      <c r="F89" t="s">
        <v>13</v>
      </c>
      <c r="G89" t="s">
        <v>525</v>
      </c>
    </row>
    <row r="90" spans="1:7" x14ac:dyDescent="0.3">
      <c r="A90">
        <v>0</v>
      </c>
      <c r="B90" t="s">
        <v>314</v>
      </c>
      <c r="C90" t="s">
        <v>444</v>
      </c>
      <c r="D90" t="s">
        <v>2</v>
      </c>
      <c r="E90" t="s">
        <v>444</v>
      </c>
      <c r="F90" t="s">
        <v>13</v>
      </c>
      <c r="G90" t="s">
        <v>525</v>
      </c>
    </row>
    <row r="91" spans="1:7" x14ac:dyDescent="0.3">
      <c r="A91">
        <v>0</v>
      </c>
      <c r="B91" t="s">
        <v>312</v>
      </c>
      <c r="C91" t="s">
        <v>439</v>
      </c>
      <c r="D91" t="s">
        <v>2</v>
      </c>
      <c r="E91" t="s">
        <v>439</v>
      </c>
      <c r="F91" t="s">
        <v>13</v>
      </c>
      <c r="G91" t="s">
        <v>525</v>
      </c>
    </row>
    <row r="92" spans="1:7" x14ac:dyDescent="0.3">
      <c r="A92">
        <v>0</v>
      </c>
      <c r="B92" t="s">
        <v>312</v>
      </c>
      <c r="C92" t="s">
        <v>381</v>
      </c>
      <c r="D92" t="s">
        <v>2</v>
      </c>
      <c r="E92" t="s">
        <v>381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418</v>
      </c>
      <c r="D93" t="s">
        <v>2</v>
      </c>
      <c r="E93" t="s">
        <v>418</v>
      </c>
      <c r="F93" t="s">
        <v>13</v>
      </c>
      <c r="G93" t="s">
        <v>525</v>
      </c>
    </row>
    <row r="94" spans="1:7" x14ac:dyDescent="0.3">
      <c r="A94">
        <v>0</v>
      </c>
      <c r="B94" t="s">
        <v>314</v>
      </c>
      <c r="C94" t="s">
        <v>465</v>
      </c>
      <c r="D94" t="s">
        <v>2</v>
      </c>
      <c r="E94" t="s">
        <v>465</v>
      </c>
      <c r="F94" t="s">
        <v>13</v>
      </c>
      <c r="G94" t="s">
        <v>525</v>
      </c>
    </row>
    <row r="95" spans="1:7" x14ac:dyDescent="0.3">
      <c r="A95">
        <v>0</v>
      </c>
      <c r="B95" t="s">
        <v>105</v>
      </c>
      <c r="C95" t="s">
        <v>103</v>
      </c>
      <c r="D95" t="s">
        <v>2</v>
      </c>
      <c r="E95" t="s">
        <v>103</v>
      </c>
      <c r="F95" t="s">
        <v>13</v>
      </c>
      <c r="G95" t="s">
        <v>525</v>
      </c>
    </row>
    <row r="96" spans="1:7" x14ac:dyDescent="0.3">
      <c r="A96">
        <v>0</v>
      </c>
      <c r="B96" t="s">
        <v>312</v>
      </c>
      <c r="C96" t="s">
        <v>320</v>
      </c>
      <c r="D96" t="s">
        <v>2</v>
      </c>
      <c r="E96" t="s">
        <v>320</v>
      </c>
      <c r="F96" t="s">
        <v>13</v>
      </c>
      <c r="G96" t="s">
        <v>525</v>
      </c>
    </row>
    <row r="97" spans="1:7" x14ac:dyDescent="0.3">
      <c r="A97">
        <v>0</v>
      </c>
      <c r="B97" t="s">
        <v>312</v>
      </c>
      <c r="C97" t="s">
        <v>334</v>
      </c>
      <c r="D97" t="s">
        <v>2</v>
      </c>
      <c r="E97" t="s">
        <v>334</v>
      </c>
      <c r="F97" t="s">
        <v>13</v>
      </c>
      <c r="G97" t="s">
        <v>525</v>
      </c>
    </row>
    <row r="98" spans="1:7" x14ac:dyDescent="0.3">
      <c r="A98">
        <v>0</v>
      </c>
      <c r="B98" t="s">
        <v>312</v>
      </c>
      <c r="C98" t="s">
        <v>435</v>
      </c>
      <c r="D98" t="s">
        <v>2</v>
      </c>
      <c r="E98" t="s">
        <v>435</v>
      </c>
      <c r="F98" t="s">
        <v>13</v>
      </c>
      <c r="G98" t="s">
        <v>525</v>
      </c>
    </row>
    <row r="99" spans="1:7" x14ac:dyDescent="0.3">
      <c r="A99">
        <v>0</v>
      </c>
      <c r="B99" t="s">
        <v>319</v>
      </c>
      <c r="C99" t="s">
        <v>456</v>
      </c>
      <c r="D99" t="s">
        <v>2</v>
      </c>
      <c r="E99" t="s">
        <v>456</v>
      </c>
      <c r="F99" t="s">
        <v>13</v>
      </c>
      <c r="G99" t="s">
        <v>525</v>
      </c>
    </row>
    <row r="100" spans="1:7" x14ac:dyDescent="0.3">
      <c r="A100">
        <v>0</v>
      </c>
      <c r="B100" t="s">
        <v>312</v>
      </c>
      <c r="C100" t="s">
        <v>474</v>
      </c>
      <c r="D100" t="s">
        <v>2</v>
      </c>
      <c r="E100" t="s">
        <v>474</v>
      </c>
      <c r="F100" t="s">
        <v>13</v>
      </c>
      <c r="G100" t="s">
        <v>525</v>
      </c>
    </row>
    <row r="101" spans="1:7" x14ac:dyDescent="0.3">
      <c r="A101">
        <v>0</v>
      </c>
      <c r="B101" t="s">
        <v>319</v>
      </c>
      <c r="C101" t="s">
        <v>318</v>
      </c>
      <c r="D101" t="s">
        <v>2</v>
      </c>
      <c r="E101" t="s">
        <v>318</v>
      </c>
      <c r="F101" t="s">
        <v>13</v>
      </c>
      <c r="G101" t="s">
        <v>525</v>
      </c>
    </row>
    <row r="102" spans="1:7" x14ac:dyDescent="0.3">
      <c r="A102">
        <v>0</v>
      </c>
      <c r="B102" t="s">
        <v>314</v>
      </c>
      <c r="C102" t="s">
        <v>475</v>
      </c>
      <c r="D102" t="s">
        <v>2</v>
      </c>
      <c r="E102" t="s">
        <v>475</v>
      </c>
      <c r="F102" t="s">
        <v>13</v>
      </c>
      <c r="G102" t="s">
        <v>525</v>
      </c>
    </row>
    <row r="103" spans="1:7" x14ac:dyDescent="0.3">
      <c r="A103">
        <v>0</v>
      </c>
      <c r="B103" t="s">
        <v>314</v>
      </c>
      <c r="C103" t="s">
        <v>449</v>
      </c>
      <c r="D103" t="s">
        <v>2</v>
      </c>
      <c r="E103" t="s">
        <v>449</v>
      </c>
      <c r="F103" t="s">
        <v>13</v>
      </c>
      <c r="G103" t="s">
        <v>525</v>
      </c>
    </row>
    <row r="104" spans="1:7" x14ac:dyDescent="0.3">
      <c r="A104">
        <v>0</v>
      </c>
      <c r="B104" t="s">
        <v>314</v>
      </c>
      <c r="C104" t="s">
        <v>176</v>
      </c>
      <c r="D104" t="s">
        <v>2</v>
      </c>
      <c r="E104" t="s">
        <v>176</v>
      </c>
      <c r="F104" t="s">
        <v>13</v>
      </c>
      <c r="G104" t="s">
        <v>525</v>
      </c>
    </row>
    <row r="105" spans="1:7" x14ac:dyDescent="0.3">
      <c r="A105">
        <v>0</v>
      </c>
      <c r="B105" t="s">
        <v>312</v>
      </c>
      <c r="C105" t="s">
        <v>388</v>
      </c>
      <c r="D105" t="s">
        <v>2</v>
      </c>
      <c r="E105" t="s">
        <v>388</v>
      </c>
      <c r="F105" t="s">
        <v>13</v>
      </c>
      <c r="G105" t="s">
        <v>525</v>
      </c>
    </row>
    <row r="106" spans="1:7" x14ac:dyDescent="0.3">
      <c r="A106">
        <v>0</v>
      </c>
      <c r="B106" t="s">
        <v>319</v>
      </c>
      <c r="C106" t="s">
        <v>429</v>
      </c>
      <c r="D106" t="s">
        <v>2</v>
      </c>
      <c r="E106" t="s">
        <v>429</v>
      </c>
      <c r="F106" t="s">
        <v>13</v>
      </c>
      <c r="G106" t="s">
        <v>525</v>
      </c>
    </row>
    <row r="107" spans="1:7" x14ac:dyDescent="0.3">
      <c r="A107">
        <v>0</v>
      </c>
      <c r="B107" t="s">
        <v>312</v>
      </c>
      <c r="C107" t="s">
        <v>272</v>
      </c>
      <c r="D107" t="s">
        <v>2</v>
      </c>
      <c r="E107" t="s">
        <v>272</v>
      </c>
      <c r="F107" t="s">
        <v>13</v>
      </c>
      <c r="G107" t="s">
        <v>525</v>
      </c>
    </row>
    <row r="108" spans="1:7" x14ac:dyDescent="0.3">
      <c r="A108">
        <v>0</v>
      </c>
      <c r="B108" t="s">
        <v>312</v>
      </c>
      <c r="C108" t="s">
        <v>410</v>
      </c>
      <c r="D108" t="s">
        <v>2</v>
      </c>
      <c r="E108" t="s">
        <v>410</v>
      </c>
      <c r="F108" t="s">
        <v>13</v>
      </c>
      <c r="G108" t="s">
        <v>525</v>
      </c>
    </row>
    <row r="109" spans="1:7" x14ac:dyDescent="0.3">
      <c r="A109">
        <v>0</v>
      </c>
      <c r="B109" t="s">
        <v>319</v>
      </c>
      <c r="C109" t="s">
        <v>363</v>
      </c>
      <c r="D109" t="s">
        <v>2</v>
      </c>
      <c r="E109" t="s">
        <v>363</v>
      </c>
      <c r="F109" t="s">
        <v>13</v>
      </c>
      <c r="G109" t="s">
        <v>525</v>
      </c>
    </row>
    <row r="110" spans="1:7" x14ac:dyDescent="0.3">
      <c r="A110">
        <v>0</v>
      </c>
      <c r="B110" t="s">
        <v>312</v>
      </c>
      <c r="C110" t="s">
        <v>382</v>
      </c>
      <c r="D110" t="s">
        <v>2</v>
      </c>
      <c r="E110" t="s">
        <v>382</v>
      </c>
      <c r="F110" t="s">
        <v>13</v>
      </c>
      <c r="G110" t="s">
        <v>525</v>
      </c>
    </row>
    <row r="111" spans="1:7" x14ac:dyDescent="0.3">
      <c r="A111">
        <v>0</v>
      </c>
      <c r="B111" t="s">
        <v>312</v>
      </c>
      <c r="C111" t="s">
        <v>424</v>
      </c>
      <c r="D111" t="s">
        <v>2</v>
      </c>
      <c r="E111" t="s">
        <v>424</v>
      </c>
      <c r="F111" t="s">
        <v>13</v>
      </c>
      <c r="G111" t="s">
        <v>525</v>
      </c>
    </row>
    <row r="112" spans="1:7" x14ac:dyDescent="0.3">
      <c r="A112">
        <v>0</v>
      </c>
      <c r="B112" t="s">
        <v>314</v>
      </c>
      <c r="C112" t="s">
        <v>351</v>
      </c>
      <c r="D112" t="s">
        <v>2</v>
      </c>
      <c r="E112" t="s">
        <v>351</v>
      </c>
      <c r="F112" t="s">
        <v>13</v>
      </c>
      <c r="G112" t="s">
        <v>525</v>
      </c>
    </row>
    <row r="113" spans="1:7" x14ac:dyDescent="0.3">
      <c r="A113">
        <v>0</v>
      </c>
      <c r="B113" t="s">
        <v>312</v>
      </c>
      <c r="C113" t="s">
        <v>347</v>
      </c>
      <c r="D113" t="s">
        <v>2</v>
      </c>
      <c r="E113" t="s">
        <v>347</v>
      </c>
      <c r="F113" t="s">
        <v>13</v>
      </c>
      <c r="G113" t="s">
        <v>525</v>
      </c>
    </row>
    <row r="114" spans="1:7" x14ac:dyDescent="0.3">
      <c r="A114">
        <v>0</v>
      </c>
      <c r="B114" t="s">
        <v>314</v>
      </c>
      <c r="C114" t="s">
        <v>453</v>
      </c>
      <c r="D114" t="s">
        <v>2</v>
      </c>
      <c r="E114" t="s">
        <v>453</v>
      </c>
      <c r="F114" t="s">
        <v>13</v>
      </c>
      <c r="G114" t="s">
        <v>525</v>
      </c>
    </row>
    <row r="115" spans="1:7" x14ac:dyDescent="0.3">
      <c r="A115">
        <v>0</v>
      </c>
      <c r="B115" t="s">
        <v>319</v>
      </c>
      <c r="C115" t="s">
        <v>457</v>
      </c>
      <c r="D115" t="s">
        <v>2</v>
      </c>
      <c r="E115" t="s">
        <v>457</v>
      </c>
      <c r="F115" t="s">
        <v>13</v>
      </c>
      <c r="G115" t="s">
        <v>525</v>
      </c>
    </row>
    <row r="116" spans="1:7" x14ac:dyDescent="0.3">
      <c r="A116">
        <v>0</v>
      </c>
      <c r="B116" t="s">
        <v>312</v>
      </c>
      <c r="C116" t="s">
        <v>485</v>
      </c>
      <c r="D116" t="s">
        <v>2</v>
      </c>
      <c r="E116" t="s">
        <v>485</v>
      </c>
      <c r="F116" t="s">
        <v>13</v>
      </c>
      <c r="G116" t="s">
        <v>525</v>
      </c>
    </row>
    <row r="117" spans="1:7" x14ac:dyDescent="0.3">
      <c r="A117">
        <v>0</v>
      </c>
      <c r="B117" t="s">
        <v>312</v>
      </c>
      <c r="C117" t="s">
        <v>355</v>
      </c>
      <c r="D117" t="s">
        <v>2</v>
      </c>
      <c r="E117" t="s">
        <v>355</v>
      </c>
      <c r="F117" t="s">
        <v>13</v>
      </c>
      <c r="G117" t="s">
        <v>525</v>
      </c>
    </row>
    <row r="118" spans="1:7" x14ac:dyDescent="0.3">
      <c r="A118">
        <v>0</v>
      </c>
      <c r="B118" t="s">
        <v>312</v>
      </c>
      <c r="C118" t="s">
        <v>338</v>
      </c>
      <c r="D118" t="s">
        <v>2</v>
      </c>
      <c r="E118" t="s">
        <v>338</v>
      </c>
      <c r="F118" t="s">
        <v>13</v>
      </c>
      <c r="G118" t="s">
        <v>525</v>
      </c>
    </row>
    <row r="119" spans="1:7" x14ac:dyDescent="0.3">
      <c r="A119">
        <v>0</v>
      </c>
      <c r="B119" t="s">
        <v>312</v>
      </c>
      <c r="C119" t="s">
        <v>394</v>
      </c>
      <c r="D119" t="s">
        <v>2</v>
      </c>
      <c r="E119" t="s">
        <v>394</v>
      </c>
      <c r="F119" t="s">
        <v>13</v>
      </c>
      <c r="G119" t="s">
        <v>525</v>
      </c>
    </row>
    <row r="120" spans="1:7" x14ac:dyDescent="0.3">
      <c r="A120">
        <v>0</v>
      </c>
      <c r="B120" t="s">
        <v>312</v>
      </c>
      <c r="C120" t="s">
        <v>438</v>
      </c>
      <c r="D120" t="s">
        <v>2</v>
      </c>
      <c r="E120" t="s">
        <v>438</v>
      </c>
      <c r="F120" t="s">
        <v>13</v>
      </c>
      <c r="G120" t="s">
        <v>525</v>
      </c>
    </row>
    <row r="121" spans="1:7" x14ac:dyDescent="0.3">
      <c r="A121">
        <v>0</v>
      </c>
      <c r="B121" t="s">
        <v>312</v>
      </c>
      <c r="C121" t="s">
        <v>486</v>
      </c>
      <c r="D121" t="s">
        <v>2</v>
      </c>
      <c r="E121" t="s">
        <v>486</v>
      </c>
      <c r="F121" t="s">
        <v>13</v>
      </c>
      <c r="G121" t="s">
        <v>525</v>
      </c>
    </row>
    <row r="122" spans="1:7" x14ac:dyDescent="0.3">
      <c r="A122">
        <v>0</v>
      </c>
      <c r="B122" t="s">
        <v>319</v>
      </c>
      <c r="C122" t="s">
        <v>419</v>
      </c>
      <c r="D122" t="s">
        <v>2</v>
      </c>
      <c r="E122" t="s">
        <v>419</v>
      </c>
      <c r="F122" t="s">
        <v>13</v>
      </c>
      <c r="G122" t="s">
        <v>525</v>
      </c>
    </row>
    <row r="123" spans="1:7" x14ac:dyDescent="0.3">
      <c r="A123">
        <v>0</v>
      </c>
      <c r="B123" t="s">
        <v>57</v>
      </c>
      <c r="C123" t="s">
        <v>353</v>
      </c>
      <c r="D123" t="s">
        <v>2</v>
      </c>
      <c r="E123" t="s">
        <v>353</v>
      </c>
      <c r="F123" t="s">
        <v>13</v>
      </c>
      <c r="G123" t="s">
        <v>525</v>
      </c>
    </row>
    <row r="124" spans="1:7" x14ac:dyDescent="0.3">
      <c r="A124">
        <v>0</v>
      </c>
      <c r="B124" t="s">
        <v>319</v>
      </c>
      <c r="C124" t="s">
        <v>489</v>
      </c>
      <c r="D124" t="s">
        <v>2</v>
      </c>
      <c r="E124" t="s">
        <v>489</v>
      </c>
      <c r="F124" t="s">
        <v>13</v>
      </c>
      <c r="G124" t="s">
        <v>525</v>
      </c>
    </row>
    <row r="125" spans="1:7" x14ac:dyDescent="0.3">
      <c r="A125">
        <v>0</v>
      </c>
      <c r="B125" t="s">
        <v>312</v>
      </c>
      <c r="C125" t="s">
        <v>386</v>
      </c>
      <c r="D125" t="s">
        <v>2</v>
      </c>
      <c r="E125" t="s">
        <v>386</v>
      </c>
      <c r="F125" t="s">
        <v>13</v>
      </c>
      <c r="G125" t="s">
        <v>525</v>
      </c>
    </row>
    <row r="126" spans="1:7" x14ac:dyDescent="0.3">
      <c r="A126">
        <v>0</v>
      </c>
      <c r="B126" t="s">
        <v>319</v>
      </c>
      <c r="C126" t="s">
        <v>389</v>
      </c>
      <c r="D126" t="s">
        <v>2</v>
      </c>
      <c r="E126" t="s">
        <v>389</v>
      </c>
      <c r="F126" t="s">
        <v>13</v>
      </c>
      <c r="G126" t="s">
        <v>525</v>
      </c>
    </row>
    <row r="127" spans="1:7" x14ac:dyDescent="0.3">
      <c r="A127">
        <v>0</v>
      </c>
      <c r="B127" t="s">
        <v>312</v>
      </c>
      <c r="C127" t="s">
        <v>340</v>
      </c>
      <c r="D127" t="s">
        <v>2</v>
      </c>
      <c r="E127" t="s">
        <v>340</v>
      </c>
      <c r="F127" t="s">
        <v>13</v>
      </c>
      <c r="G127" t="s">
        <v>525</v>
      </c>
    </row>
    <row r="128" spans="1:7" x14ac:dyDescent="0.3">
      <c r="A128">
        <v>0</v>
      </c>
      <c r="B128" t="s">
        <v>312</v>
      </c>
      <c r="C128" t="s">
        <v>368</v>
      </c>
      <c r="D128" t="s">
        <v>2</v>
      </c>
      <c r="E128" t="s">
        <v>368</v>
      </c>
      <c r="F128" t="s">
        <v>13</v>
      </c>
      <c r="G128" t="s">
        <v>525</v>
      </c>
    </row>
    <row r="129" spans="1:7" x14ac:dyDescent="0.3">
      <c r="A129">
        <v>0</v>
      </c>
      <c r="B129" t="s">
        <v>312</v>
      </c>
      <c r="C129" t="s">
        <v>328</v>
      </c>
      <c r="D129" t="s">
        <v>2</v>
      </c>
      <c r="E129" t="s">
        <v>328</v>
      </c>
      <c r="F129" t="s">
        <v>13</v>
      </c>
      <c r="G129" t="s">
        <v>525</v>
      </c>
    </row>
    <row r="130" spans="1:7" x14ac:dyDescent="0.3">
      <c r="A130">
        <v>0</v>
      </c>
      <c r="B130" t="s">
        <v>312</v>
      </c>
      <c r="C130" t="s">
        <v>479</v>
      </c>
      <c r="D130" t="s">
        <v>2</v>
      </c>
      <c r="E130" t="s">
        <v>479</v>
      </c>
      <c r="F130" t="s">
        <v>13</v>
      </c>
      <c r="G130" t="s">
        <v>525</v>
      </c>
    </row>
    <row r="131" spans="1:7" x14ac:dyDescent="0.3">
      <c r="A131">
        <v>0</v>
      </c>
      <c r="B131" t="s">
        <v>57</v>
      </c>
      <c r="C131" t="s">
        <v>116</v>
      </c>
      <c r="D131" t="s">
        <v>2</v>
      </c>
      <c r="E131" t="s">
        <v>116</v>
      </c>
      <c r="F131" t="s">
        <v>13</v>
      </c>
      <c r="G131" t="s">
        <v>525</v>
      </c>
    </row>
    <row r="132" spans="1:7" x14ac:dyDescent="0.3">
      <c r="A132">
        <v>0</v>
      </c>
      <c r="B132" t="s">
        <v>312</v>
      </c>
      <c r="C132" t="s">
        <v>352</v>
      </c>
      <c r="D132" t="s">
        <v>2</v>
      </c>
      <c r="E132" t="s">
        <v>352</v>
      </c>
      <c r="F132" t="s">
        <v>13</v>
      </c>
      <c r="G132" t="s">
        <v>525</v>
      </c>
    </row>
    <row r="133" spans="1:7" x14ac:dyDescent="0.3">
      <c r="A133">
        <v>0</v>
      </c>
      <c r="B133" t="s">
        <v>312</v>
      </c>
      <c r="C133" t="s">
        <v>417</v>
      </c>
      <c r="D133" t="s">
        <v>2</v>
      </c>
      <c r="E133" t="s">
        <v>417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447</v>
      </c>
      <c r="D134" t="s">
        <v>2</v>
      </c>
      <c r="E134" t="s">
        <v>447</v>
      </c>
      <c r="F134" t="s">
        <v>13</v>
      </c>
      <c r="G134" t="s">
        <v>525</v>
      </c>
    </row>
    <row r="135" spans="1:7" x14ac:dyDescent="0.3">
      <c r="A135">
        <v>0</v>
      </c>
      <c r="B135" t="s">
        <v>319</v>
      </c>
      <c r="C135" t="s">
        <v>329</v>
      </c>
      <c r="D135" t="s">
        <v>2</v>
      </c>
      <c r="E135" t="s">
        <v>329</v>
      </c>
      <c r="F135" t="s">
        <v>13</v>
      </c>
      <c r="G135" t="s">
        <v>525</v>
      </c>
    </row>
    <row r="136" spans="1:7" x14ac:dyDescent="0.3">
      <c r="A136">
        <v>0</v>
      </c>
      <c r="B136" t="s">
        <v>312</v>
      </c>
      <c r="C136" t="s">
        <v>252</v>
      </c>
      <c r="D136" t="s">
        <v>2</v>
      </c>
      <c r="E136" t="s">
        <v>252</v>
      </c>
      <c r="F136" t="s">
        <v>13</v>
      </c>
      <c r="G136" t="s">
        <v>525</v>
      </c>
    </row>
    <row r="137" spans="1:7" x14ac:dyDescent="0.3">
      <c r="A137">
        <v>0</v>
      </c>
      <c r="B137" t="s">
        <v>312</v>
      </c>
      <c r="C137" t="s">
        <v>317</v>
      </c>
      <c r="D137" t="s">
        <v>2</v>
      </c>
      <c r="E137" t="s">
        <v>317</v>
      </c>
      <c r="F137" t="s">
        <v>13</v>
      </c>
      <c r="G137" t="s">
        <v>525</v>
      </c>
    </row>
    <row r="138" spans="1:7" x14ac:dyDescent="0.3">
      <c r="A138">
        <v>0</v>
      </c>
      <c r="B138" t="s">
        <v>312</v>
      </c>
      <c r="C138" t="s">
        <v>436</v>
      </c>
      <c r="D138" t="s">
        <v>2</v>
      </c>
      <c r="E138" t="s">
        <v>436</v>
      </c>
      <c r="F138" t="s">
        <v>13</v>
      </c>
      <c r="G138" t="s">
        <v>525</v>
      </c>
    </row>
    <row r="139" spans="1:7" x14ac:dyDescent="0.3">
      <c r="A139">
        <v>0</v>
      </c>
      <c r="B139" t="s">
        <v>319</v>
      </c>
      <c r="C139" t="s">
        <v>490</v>
      </c>
      <c r="D139" t="s">
        <v>2</v>
      </c>
      <c r="E139" t="s">
        <v>490</v>
      </c>
      <c r="F139" t="s">
        <v>13</v>
      </c>
      <c r="G139" t="s">
        <v>525</v>
      </c>
    </row>
    <row r="140" spans="1:7" x14ac:dyDescent="0.3">
      <c r="A140">
        <v>0</v>
      </c>
      <c r="B140" t="s">
        <v>312</v>
      </c>
      <c r="C140" t="s">
        <v>391</v>
      </c>
      <c r="D140" t="s">
        <v>2</v>
      </c>
      <c r="E140" t="s">
        <v>391</v>
      </c>
      <c r="F140" t="s">
        <v>13</v>
      </c>
      <c r="G140" t="s">
        <v>525</v>
      </c>
    </row>
    <row r="141" spans="1:7" x14ac:dyDescent="0.3">
      <c r="A141">
        <v>0</v>
      </c>
      <c r="B141" t="s">
        <v>312</v>
      </c>
      <c r="C141" t="s">
        <v>235</v>
      </c>
      <c r="D141" t="s">
        <v>2</v>
      </c>
      <c r="E141" t="s">
        <v>235</v>
      </c>
      <c r="F141" t="s">
        <v>13</v>
      </c>
      <c r="G141" t="s">
        <v>525</v>
      </c>
    </row>
    <row r="142" spans="1:7" x14ac:dyDescent="0.3">
      <c r="A142">
        <v>0</v>
      </c>
      <c r="B142" t="s">
        <v>312</v>
      </c>
      <c r="C142" t="s">
        <v>493</v>
      </c>
      <c r="D142" t="s">
        <v>2</v>
      </c>
      <c r="E142" t="s">
        <v>493</v>
      </c>
      <c r="F142" t="s">
        <v>13</v>
      </c>
      <c r="G142" t="s">
        <v>525</v>
      </c>
    </row>
    <row r="143" spans="1:7" x14ac:dyDescent="0.3">
      <c r="A143">
        <v>0</v>
      </c>
      <c r="B143" t="s">
        <v>312</v>
      </c>
      <c r="C143" t="s">
        <v>335</v>
      </c>
      <c r="D143" t="s">
        <v>2</v>
      </c>
      <c r="E143" t="s">
        <v>335</v>
      </c>
      <c r="F143" t="s">
        <v>13</v>
      </c>
      <c r="G143" t="s">
        <v>525</v>
      </c>
    </row>
    <row r="144" spans="1:7" x14ac:dyDescent="0.3">
      <c r="A144">
        <v>0</v>
      </c>
      <c r="B144" t="s">
        <v>312</v>
      </c>
      <c r="C144" t="s">
        <v>354</v>
      </c>
      <c r="D144" t="s">
        <v>2</v>
      </c>
      <c r="E144" t="s">
        <v>354</v>
      </c>
      <c r="F144" t="s">
        <v>13</v>
      </c>
      <c r="G144" t="s">
        <v>525</v>
      </c>
    </row>
    <row r="145" spans="1:7" x14ac:dyDescent="0.3">
      <c r="A145">
        <v>0</v>
      </c>
      <c r="B145" t="s">
        <v>319</v>
      </c>
      <c r="C145" t="s">
        <v>360</v>
      </c>
      <c r="D145" t="s">
        <v>2</v>
      </c>
      <c r="E145" t="s">
        <v>360</v>
      </c>
      <c r="F145" t="s">
        <v>13</v>
      </c>
      <c r="G145" t="s">
        <v>525</v>
      </c>
    </row>
    <row r="146" spans="1:7" x14ac:dyDescent="0.3">
      <c r="A146">
        <v>0</v>
      </c>
      <c r="B146" t="s">
        <v>314</v>
      </c>
      <c r="C146" t="s">
        <v>356</v>
      </c>
      <c r="D146" t="s">
        <v>2</v>
      </c>
      <c r="E146" t="s">
        <v>356</v>
      </c>
      <c r="F146" t="s">
        <v>13</v>
      </c>
      <c r="G146" t="s">
        <v>525</v>
      </c>
    </row>
    <row r="147" spans="1:7" x14ac:dyDescent="0.3">
      <c r="A147">
        <v>0</v>
      </c>
      <c r="B147" t="s">
        <v>312</v>
      </c>
      <c r="C147" t="s">
        <v>405</v>
      </c>
      <c r="D147" t="s">
        <v>2</v>
      </c>
      <c r="E147" t="s">
        <v>405</v>
      </c>
      <c r="F147" t="s">
        <v>13</v>
      </c>
      <c r="G147" t="s">
        <v>525</v>
      </c>
    </row>
    <row r="148" spans="1:7" x14ac:dyDescent="0.3">
      <c r="A148">
        <v>0</v>
      </c>
      <c r="B148" t="s">
        <v>312</v>
      </c>
      <c r="C148" t="s">
        <v>471</v>
      </c>
      <c r="D148" t="s">
        <v>2</v>
      </c>
      <c r="E148" t="s">
        <v>471</v>
      </c>
      <c r="F148" t="s">
        <v>13</v>
      </c>
      <c r="G148" t="s">
        <v>525</v>
      </c>
    </row>
    <row r="149" spans="1:7" x14ac:dyDescent="0.3">
      <c r="A149">
        <v>0</v>
      </c>
      <c r="B149" t="s">
        <v>319</v>
      </c>
      <c r="C149" t="s">
        <v>421</v>
      </c>
      <c r="D149" t="s">
        <v>2</v>
      </c>
      <c r="E149" t="s">
        <v>421</v>
      </c>
      <c r="F149" t="s">
        <v>13</v>
      </c>
      <c r="G149" t="s">
        <v>525</v>
      </c>
    </row>
    <row r="150" spans="1:7" x14ac:dyDescent="0.3">
      <c r="A150">
        <v>0</v>
      </c>
      <c r="B150" t="s">
        <v>312</v>
      </c>
      <c r="C150" t="s">
        <v>321</v>
      </c>
      <c r="D150" t="s">
        <v>2</v>
      </c>
      <c r="E150" t="s">
        <v>321</v>
      </c>
      <c r="F150" t="s">
        <v>13</v>
      </c>
      <c r="G150" t="s">
        <v>525</v>
      </c>
    </row>
    <row r="151" spans="1:7" x14ac:dyDescent="0.3">
      <c r="A151">
        <v>0</v>
      </c>
      <c r="B151" t="s">
        <v>105</v>
      </c>
      <c r="C151" t="s">
        <v>113</v>
      </c>
      <c r="D151" t="s">
        <v>2</v>
      </c>
      <c r="E151" t="s">
        <v>113</v>
      </c>
      <c r="F151" t="s">
        <v>13</v>
      </c>
      <c r="G151" t="s">
        <v>525</v>
      </c>
    </row>
    <row r="152" spans="1:7" x14ac:dyDescent="0.3">
      <c r="A152">
        <v>0</v>
      </c>
      <c r="B152" t="s">
        <v>312</v>
      </c>
      <c r="C152" t="s">
        <v>348</v>
      </c>
      <c r="D152" t="s">
        <v>2</v>
      </c>
      <c r="E152" t="s">
        <v>348</v>
      </c>
      <c r="F152" t="s">
        <v>13</v>
      </c>
      <c r="G152" t="s">
        <v>525</v>
      </c>
    </row>
    <row r="153" spans="1:7" x14ac:dyDescent="0.3">
      <c r="A153">
        <v>0</v>
      </c>
      <c r="B153" t="s">
        <v>105</v>
      </c>
      <c r="C153" t="s">
        <v>469</v>
      </c>
      <c r="D153" t="s">
        <v>2</v>
      </c>
      <c r="E153" t="s">
        <v>469</v>
      </c>
      <c r="F153" t="s">
        <v>13</v>
      </c>
      <c r="G153" t="s">
        <v>525</v>
      </c>
    </row>
    <row r="154" spans="1:7" x14ac:dyDescent="0.3">
      <c r="A154">
        <v>0</v>
      </c>
      <c r="B154" t="s">
        <v>314</v>
      </c>
      <c r="C154" t="s">
        <v>481</v>
      </c>
      <c r="D154" t="s">
        <v>2</v>
      </c>
      <c r="E154" t="s">
        <v>481</v>
      </c>
      <c r="F154" t="s">
        <v>13</v>
      </c>
      <c r="G154" t="s">
        <v>525</v>
      </c>
    </row>
    <row r="155" spans="1:7" x14ac:dyDescent="0.3">
      <c r="A155">
        <v>0</v>
      </c>
      <c r="B155" t="s">
        <v>312</v>
      </c>
      <c r="C155" t="s">
        <v>398</v>
      </c>
      <c r="D155" t="s">
        <v>2</v>
      </c>
      <c r="E155" t="s">
        <v>398</v>
      </c>
      <c r="F155" t="s">
        <v>13</v>
      </c>
      <c r="G155" t="s">
        <v>525</v>
      </c>
    </row>
    <row r="156" spans="1:7" x14ac:dyDescent="0.3">
      <c r="A156">
        <v>0</v>
      </c>
      <c r="B156" t="s">
        <v>314</v>
      </c>
      <c r="C156" t="s">
        <v>342</v>
      </c>
      <c r="D156" t="s">
        <v>2</v>
      </c>
      <c r="E156" t="s">
        <v>342</v>
      </c>
      <c r="F156" t="s">
        <v>13</v>
      </c>
      <c r="G156" t="s">
        <v>525</v>
      </c>
    </row>
    <row r="157" spans="1:7" x14ac:dyDescent="0.3">
      <c r="A157">
        <v>0</v>
      </c>
      <c r="B157" t="s">
        <v>312</v>
      </c>
      <c r="C157" t="s">
        <v>322</v>
      </c>
      <c r="D157" t="s">
        <v>2</v>
      </c>
      <c r="E157" t="s">
        <v>322</v>
      </c>
      <c r="F157" t="s">
        <v>13</v>
      </c>
      <c r="G157" t="s">
        <v>525</v>
      </c>
    </row>
    <row r="158" spans="1:7" x14ac:dyDescent="0.3">
      <c r="A158">
        <v>0</v>
      </c>
      <c r="B158" t="s">
        <v>314</v>
      </c>
      <c r="C158" t="s">
        <v>409</v>
      </c>
      <c r="D158" t="s">
        <v>2</v>
      </c>
      <c r="E158" t="s">
        <v>409</v>
      </c>
      <c r="F158" t="s">
        <v>13</v>
      </c>
      <c r="G158" t="s">
        <v>525</v>
      </c>
    </row>
    <row r="159" spans="1:7" x14ac:dyDescent="0.3">
      <c r="A159">
        <v>0</v>
      </c>
      <c r="B159" t="s">
        <v>314</v>
      </c>
      <c r="C159" t="s">
        <v>480</v>
      </c>
      <c r="D159" t="s">
        <v>2</v>
      </c>
      <c r="E159" t="s">
        <v>480</v>
      </c>
      <c r="F159" t="s">
        <v>13</v>
      </c>
      <c r="G159" t="s">
        <v>525</v>
      </c>
    </row>
    <row r="160" spans="1:7" x14ac:dyDescent="0.3">
      <c r="A160">
        <v>0</v>
      </c>
      <c r="B160" t="s">
        <v>105</v>
      </c>
      <c r="C160" t="s">
        <v>121</v>
      </c>
      <c r="D160" t="s">
        <v>2</v>
      </c>
      <c r="E160" t="s">
        <v>121</v>
      </c>
      <c r="F160" t="s">
        <v>13</v>
      </c>
      <c r="G160" t="s">
        <v>525</v>
      </c>
    </row>
    <row r="161" spans="1:7" x14ac:dyDescent="0.3">
      <c r="A161">
        <v>0</v>
      </c>
      <c r="B161" t="s">
        <v>312</v>
      </c>
      <c r="C161" t="s">
        <v>359</v>
      </c>
      <c r="D161" t="s">
        <v>2</v>
      </c>
      <c r="E161" t="s">
        <v>359</v>
      </c>
      <c r="F161" t="s">
        <v>13</v>
      </c>
      <c r="G161" t="s">
        <v>525</v>
      </c>
    </row>
    <row r="162" spans="1:7" x14ac:dyDescent="0.3">
      <c r="A162">
        <v>0</v>
      </c>
      <c r="B162" t="s">
        <v>319</v>
      </c>
      <c r="C162" t="s">
        <v>468</v>
      </c>
      <c r="D162" t="s">
        <v>2</v>
      </c>
      <c r="E162" t="s">
        <v>468</v>
      </c>
      <c r="F162" t="s">
        <v>13</v>
      </c>
      <c r="G162" t="s">
        <v>525</v>
      </c>
    </row>
    <row r="163" spans="1:7" x14ac:dyDescent="0.3">
      <c r="A163">
        <v>0</v>
      </c>
      <c r="B163" t="s">
        <v>319</v>
      </c>
      <c r="C163" t="s">
        <v>458</v>
      </c>
      <c r="D163" t="s">
        <v>2</v>
      </c>
      <c r="E163" t="s">
        <v>458</v>
      </c>
      <c r="F163" t="s">
        <v>13</v>
      </c>
      <c r="G163" t="s">
        <v>525</v>
      </c>
    </row>
    <row r="164" spans="1:7" x14ac:dyDescent="0.3">
      <c r="A164">
        <v>0</v>
      </c>
      <c r="B164" t="s">
        <v>312</v>
      </c>
      <c r="C164" t="s">
        <v>370</v>
      </c>
      <c r="D164" t="s">
        <v>2</v>
      </c>
      <c r="E164" t="s">
        <v>370</v>
      </c>
      <c r="F164" t="s">
        <v>13</v>
      </c>
      <c r="G164" t="s">
        <v>525</v>
      </c>
    </row>
    <row r="165" spans="1:7" x14ac:dyDescent="0.3">
      <c r="A165">
        <v>0</v>
      </c>
      <c r="B165" t="s">
        <v>57</v>
      </c>
      <c r="C165" t="s">
        <v>114</v>
      </c>
      <c r="D165" t="s">
        <v>2</v>
      </c>
      <c r="E165" t="s">
        <v>114</v>
      </c>
      <c r="F165" t="s">
        <v>13</v>
      </c>
      <c r="G165" t="s">
        <v>525</v>
      </c>
    </row>
    <row r="166" spans="1:7" x14ac:dyDescent="0.3">
      <c r="A166">
        <v>0</v>
      </c>
      <c r="B166" t="s">
        <v>319</v>
      </c>
      <c r="C166" t="s">
        <v>404</v>
      </c>
      <c r="D166" t="s">
        <v>2</v>
      </c>
      <c r="E166" t="s">
        <v>404</v>
      </c>
      <c r="F166" t="s">
        <v>13</v>
      </c>
      <c r="G166" t="s">
        <v>525</v>
      </c>
    </row>
    <row r="167" spans="1:7" x14ac:dyDescent="0.3">
      <c r="A167">
        <v>0</v>
      </c>
      <c r="B167" t="s">
        <v>312</v>
      </c>
      <c r="C167" t="s">
        <v>369</v>
      </c>
      <c r="D167" t="s">
        <v>2</v>
      </c>
      <c r="E167" t="s">
        <v>369</v>
      </c>
      <c r="F167" t="s">
        <v>13</v>
      </c>
      <c r="G167" t="s">
        <v>525</v>
      </c>
    </row>
    <row r="168" spans="1:7" x14ac:dyDescent="0.3">
      <c r="A168">
        <v>0</v>
      </c>
      <c r="B168" t="s">
        <v>57</v>
      </c>
      <c r="C168" t="s">
        <v>122</v>
      </c>
      <c r="D168" t="s">
        <v>2</v>
      </c>
      <c r="E168" t="s">
        <v>122</v>
      </c>
      <c r="F168" t="s">
        <v>13</v>
      </c>
      <c r="G168" t="s">
        <v>525</v>
      </c>
    </row>
    <row r="169" spans="1:7" x14ac:dyDescent="0.3">
      <c r="A169">
        <v>0</v>
      </c>
      <c r="B169" t="s">
        <v>319</v>
      </c>
      <c r="C169" t="s">
        <v>390</v>
      </c>
      <c r="D169" t="s">
        <v>2</v>
      </c>
      <c r="E169" t="s">
        <v>390</v>
      </c>
      <c r="F169" t="s">
        <v>13</v>
      </c>
      <c r="G169" t="s">
        <v>525</v>
      </c>
    </row>
    <row r="170" spans="1:7" x14ac:dyDescent="0.3">
      <c r="A170">
        <v>0</v>
      </c>
      <c r="B170" t="s">
        <v>312</v>
      </c>
      <c r="C170" t="s">
        <v>492</v>
      </c>
      <c r="D170" t="s">
        <v>2</v>
      </c>
      <c r="E170" t="s">
        <v>492</v>
      </c>
      <c r="F170" t="s">
        <v>13</v>
      </c>
      <c r="G170" t="s">
        <v>525</v>
      </c>
    </row>
    <row r="171" spans="1:7" x14ac:dyDescent="0.3">
      <c r="A171">
        <v>0</v>
      </c>
      <c r="B171" t="s">
        <v>312</v>
      </c>
      <c r="C171" t="s">
        <v>345</v>
      </c>
      <c r="D171" t="s">
        <v>2</v>
      </c>
      <c r="E171" t="s">
        <v>345</v>
      </c>
      <c r="F171" t="s">
        <v>13</v>
      </c>
      <c r="G171" t="s">
        <v>525</v>
      </c>
    </row>
    <row r="172" spans="1:7" x14ac:dyDescent="0.3">
      <c r="A172">
        <v>0</v>
      </c>
      <c r="B172" t="s">
        <v>314</v>
      </c>
      <c r="C172" t="s">
        <v>374</v>
      </c>
      <c r="D172" t="s">
        <v>2</v>
      </c>
      <c r="E172" t="s">
        <v>374</v>
      </c>
      <c r="F172" t="s">
        <v>13</v>
      </c>
      <c r="G172" t="s">
        <v>525</v>
      </c>
    </row>
    <row r="173" spans="1:7" x14ac:dyDescent="0.3">
      <c r="A173">
        <v>0</v>
      </c>
      <c r="B173" t="s">
        <v>105</v>
      </c>
      <c r="C173" t="s">
        <v>124</v>
      </c>
      <c r="D173" t="s">
        <v>2</v>
      </c>
      <c r="E173" t="s">
        <v>124</v>
      </c>
      <c r="F173" t="s">
        <v>13</v>
      </c>
      <c r="G173" t="s">
        <v>525</v>
      </c>
    </row>
    <row r="174" spans="1:7" x14ac:dyDescent="0.3">
      <c r="A174">
        <v>0</v>
      </c>
      <c r="B174" t="s">
        <v>312</v>
      </c>
      <c r="C174" t="s">
        <v>440</v>
      </c>
      <c r="D174" t="s">
        <v>2</v>
      </c>
      <c r="E174" t="s">
        <v>440</v>
      </c>
      <c r="F174" t="s">
        <v>13</v>
      </c>
      <c r="G174" t="s">
        <v>525</v>
      </c>
    </row>
    <row r="175" spans="1:7" x14ac:dyDescent="0.3">
      <c r="A175">
        <v>0</v>
      </c>
      <c r="B175" t="s">
        <v>312</v>
      </c>
      <c r="C175" t="s">
        <v>316</v>
      </c>
      <c r="D175" t="s">
        <v>2</v>
      </c>
      <c r="E175" t="s">
        <v>316</v>
      </c>
      <c r="F175" t="s">
        <v>13</v>
      </c>
      <c r="G175" t="s">
        <v>525</v>
      </c>
    </row>
    <row r="176" spans="1:7" x14ac:dyDescent="0.3">
      <c r="A176">
        <v>0</v>
      </c>
      <c r="B176" t="s">
        <v>312</v>
      </c>
      <c r="C176" t="s">
        <v>427</v>
      </c>
      <c r="D176" t="s">
        <v>2</v>
      </c>
      <c r="E176" t="s">
        <v>427</v>
      </c>
      <c r="F176" t="s">
        <v>13</v>
      </c>
      <c r="G176" t="s">
        <v>525</v>
      </c>
    </row>
    <row r="177" spans="1:7" x14ac:dyDescent="0.3">
      <c r="A177">
        <v>0</v>
      </c>
      <c r="B177" t="s">
        <v>312</v>
      </c>
      <c r="C177" t="s">
        <v>332</v>
      </c>
      <c r="D177" t="s">
        <v>2</v>
      </c>
      <c r="E177" t="s">
        <v>332</v>
      </c>
      <c r="F177" t="s">
        <v>13</v>
      </c>
      <c r="G177" t="s">
        <v>525</v>
      </c>
    </row>
    <row r="178" spans="1:7" x14ac:dyDescent="0.3">
      <c r="A178">
        <v>0</v>
      </c>
      <c r="B178" t="s">
        <v>312</v>
      </c>
      <c r="C178" t="s">
        <v>336</v>
      </c>
      <c r="D178" t="s">
        <v>2</v>
      </c>
      <c r="E178" t="s">
        <v>336</v>
      </c>
      <c r="F178" t="s">
        <v>13</v>
      </c>
      <c r="G178" t="s">
        <v>525</v>
      </c>
    </row>
    <row r="179" spans="1:7" x14ac:dyDescent="0.3">
      <c r="A179">
        <v>0</v>
      </c>
      <c r="B179" t="s">
        <v>314</v>
      </c>
      <c r="C179" t="s">
        <v>393</v>
      </c>
      <c r="D179" t="s">
        <v>2</v>
      </c>
      <c r="E179" t="s">
        <v>393</v>
      </c>
      <c r="F179" t="s">
        <v>13</v>
      </c>
      <c r="G179" t="s">
        <v>525</v>
      </c>
    </row>
    <row r="180" spans="1:7" x14ac:dyDescent="0.3">
      <c r="A180">
        <v>0</v>
      </c>
      <c r="B180" t="s">
        <v>312</v>
      </c>
      <c r="C180" t="s">
        <v>339</v>
      </c>
      <c r="D180" t="s">
        <v>2</v>
      </c>
      <c r="E180" t="s">
        <v>339</v>
      </c>
      <c r="F180" t="s">
        <v>13</v>
      </c>
      <c r="G180" t="s">
        <v>525</v>
      </c>
    </row>
    <row r="181" spans="1:7" x14ac:dyDescent="0.3">
      <c r="A181">
        <v>0</v>
      </c>
      <c r="B181" t="s">
        <v>312</v>
      </c>
      <c r="C181" t="s">
        <v>400</v>
      </c>
      <c r="D181" t="s">
        <v>2</v>
      </c>
      <c r="E181" t="s">
        <v>400</v>
      </c>
      <c r="F181" t="s">
        <v>13</v>
      </c>
      <c r="G181" t="s">
        <v>525</v>
      </c>
    </row>
    <row r="182" spans="1:7" x14ac:dyDescent="0.3">
      <c r="A182">
        <v>0</v>
      </c>
      <c r="B182" t="s">
        <v>312</v>
      </c>
      <c r="C182" t="s">
        <v>380</v>
      </c>
      <c r="D182" t="s">
        <v>2</v>
      </c>
      <c r="E182" t="s">
        <v>380</v>
      </c>
      <c r="F182" t="s">
        <v>13</v>
      </c>
      <c r="G182" t="s">
        <v>525</v>
      </c>
    </row>
    <row r="183" spans="1:7" x14ac:dyDescent="0.3">
      <c r="A183">
        <v>0</v>
      </c>
      <c r="B183" t="s">
        <v>312</v>
      </c>
      <c r="C183" t="s">
        <v>442</v>
      </c>
      <c r="D183" t="s">
        <v>2</v>
      </c>
      <c r="E183" t="s">
        <v>442</v>
      </c>
      <c r="F183" t="s">
        <v>13</v>
      </c>
      <c r="G183" t="s">
        <v>525</v>
      </c>
    </row>
    <row r="184" spans="1:7" x14ac:dyDescent="0.3">
      <c r="A184">
        <v>0</v>
      </c>
      <c r="B184" t="s">
        <v>57</v>
      </c>
      <c r="C184" t="s">
        <v>470</v>
      </c>
      <c r="D184" t="s">
        <v>2</v>
      </c>
      <c r="E184" t="s">
        <v>470</v>
      </c>
      <c r="F184" t="s">
        <v>13</v>
      </c>
      <c r="G184" t="s">
        <v>525</v>
      </c>
    </row>
    <row r="185" spans="1:7" x14ac:dyDescent="0.3">
      <c r="A185">
        <v>0</v>
      </c>
      <c r="B185" t="s">
        <v>319</v>
      </c>
      <c r="C185" t="s">
        <v>463</v>
      </c>
      <c r="D185" t="s">
        <v>2</v>
      </c>
      <c r="E185" t="s">
        <v>463</v>
      </c>
      <c r="F185" t="s">
        <v>13</v>
      </c>
      <c r="G185" t="s">
        <v>525</v>
      </c>
    </row>
    <row r="186" spans="1:7" x14ac:dyDescent="0.3">
      <c r="A186">
        <v>0</v>
      </c>
      <c r="B186" t="s">
        <v>314</v>
      </c>
      <c r="C186" t="s">
        <v>343</v>
      </c>
      <c r="D186" t="s">
        <v>2</v>
      </c>
      <c r="E186" t="s">
        <v>343</v>
      </c>
      <c r="F186" t="s">
        <v>13</v>
      </c>
      <c r="G186" t="s">
        <v>525</v>
      </c>
    </row>
    <row r="187" spans="1:7" x14ac:dyDescent="0.3">
      <c r="A187">
        <v>0</v>
      </c>
      <c r="B187" t="s">
        <v>312</v>
      </c>
      <c r="C187" t="s">
        <v>371</v>
      </c>
      <c r="D187" t="s">
        <v>2</v>
      </c>
      <c r="E187" t="s">
        <v>371</v>
      </c>
      <c r="F187" t="s">
        <v>13</v>
      </c>
      <c r="G187" t="s">
        <v>525</v>
      </c>
    </row>
    <row r="188" spans="1:7" x14ac:dyDescent="0.3">
      <c r="A188">
        <v>0</v>
      </c>
      <c r="B188" t="s">
        <v>312</v>
      </c>
      <c r="C188" t="s">
        <v>366</v>
      </c>
      <c r="D188" t="s">
        <v>2</v>
      </c>
      <c r="E188" t="s">
        <v>366</v>
      </c>
      <c r="F188" t="s">
        <v>13</v>
      </c>
      <c r="G188" t="s">
        <v>525</v>
      </c>
    </row>
    <row r="189" spans="1:7" x14ac:dyDescent="0.3">
      <c r="A189">
        <v>0</v>
      </c>
      <c r="B189" t="s">
        <v>312</v>
      </c>
      <c r="C189" t="s">
        <v>384</v>
      </c>
      <c r="D189" t="s">
        <v>2</v>
      </c>
      <c r="E189" t="s">
        <v>384</v>
      </c>
      <c r="F189" t="s">
        <v>13</v>
      </c>
      <c r="G189" t="s">
        <v>525</v>
      </c>
    </row>
    <row r="190" spans="1:7" x14ac:dyDescent="0.3">
      <c r="A190">
        <v>0</v>
      </c>
      <c r="B190" t="s">
        <v>319</v>
      </c>
      <c r="C190" t="s">
        <v>464</v>
      </c>
      <c r="D190" t="s">
        <v>2</v>
      </c>
      <c r="E190" t="s">
        <v>464</v>
      </c>
      <c r="F190" t="s">
        <v>13</v>
      </c>
      <c r="G190" t="s">
        <v>525</v>
      </c>
    </row>
    <row r="191" spans="1:7" x14ac:dyDescent="0.3">
      <c r="A191">
        <v>0</v>
      </c>
      <c r="B191" t="s">
        <v>312</v>
      </c>
      <c r="C191" t="s">
        <v>323</v>
      </c>
      <c r="D191" t="s">
        <v>2</v>
      </c>
      <c r="E191" t="s">
        <v>323</v>
      </c>
      <c r="F191" t="s">
        <v>13</v>
      </c>
      <c r="G191" t="s">
        <v>525</v>
      </c>
    </row>
    <row r="192" spans="1:7" x14ac:dyDescent="0.3">
      <c r="A192">
        <v>0</v>
      </c>
      <c r="B192" t="s">
        <v>314</v>
      </c>
      <c r="C192" t="s">
        <v>414</v>
      </c>
      <c r="D192" t="s">
        <v>2</v>
      </c>
      <c r="E192" t="s">
        <v>414</v>
      </c>
      <c r="F192" t="s">
        <v>13</v>
      </c>
      <c r="G192" t="s">
        <v>525</v>
      </c>
    </row>
    <row r="193" spans="1:7" x14ac:dyDescent="0.3">
      <c r="A193">
        <v>0</v>
      </c>
      <c r="B193" t="s">
        <v>312</v>
      </c>
      <c r="C193" t="s">
        <v>261</v>
      </c>
      <c r="D193" t="s">
        <v>2</v>
      </c>
      <c r="E193" t="s">
        <v>261</v>
      </c>
      <c r="F193" t="s">
        <v>13</v>
      </c>
      <c r="G193" t="s">
        <v>525</v>
      </c>
    </row>
    <row r="194" spans="1:7" x14ac:dyDescent="0.3">
      <c r="A194">
        <v>0</v>
      </c>
      <c r="B194" t="s">
        <v>319</v>
      </c>
      <c r="C194" t="s">
        <v>364</v>
      </c>
      <c r="D194" t="s">
        <v>2</v>
      </c>
      <c r="E194" t="s">
        <v>364</v>
      </c>
      <c r="F194" t="s">
        <v>13</v>
      </c>
      <c r="G194" t="s">
        <v>525</v>
      </c>
    </row>
    <row r="195" spans="1:7" x14ac:dyDescent="0.3">
      <c r="A195">
        <v>0</v>
      </c>
      <c r="B195" t="s">
        <v>312</v>
      </c>
      <c r="C195" t="s">
        <v>373</v>
      </c>
      <c r="D195" t="s">
        <v>2</v>
      </c>
      <c r="E195" t="s">
        <v>373</v>
      </c>
      <c r="F195" t="s">
        <v>13</v>
      </c>
      <c r="G195" t="s">
        <v>525</v>
      </c>
    </row>
    <row r="196" spans="1:7" x14ac:dyDescent="0.3">
      <c r="A196">
        <v>0</v>
      </c>
      <c r="B196" t="s">
        <v>312</v>
      </c>
      <c r="C196" t="s">
        <v>482</v>
      </c>
      <c r="D196" t="s">
        <v>2</v>
      </c>
      <c r="E196" t="s">
        <v>482</v>
      </c>
      <c r="F196" t="s">
        <v>13</v>
      </c>
      <c r="G196" t="s">
        <v>525</v>
      </c>
    </row>
    <row r="197" spans="1:7" x14ac:dyDescent="0.3">
      <c r="A197">
        <v>0</v>
      </c>
      <c r="B197" t="s">
        <v>312</v>
      </c>
      <c r="C197" t="s">
        <v>412</v>
      </c>
      <c r="D197" t="s">
        <v>2</v>
      </c>
      <c r="E197" t="s">
        <v>412</v>
      </c>
      <c r="F197" t="s">
        <v>13</v>
      </c>
      <c r="G197" t="s">
        <v>525</v>
      </c>
    </row>
    <row r="198" spans="1:7" x14ac:dyDescent="0.3">
      <c r="A198">
        <v>0</v>
      </c>
      <c r="B198" t="s">
        <v>312</v>
      </c>
      <c r="C198" t="s">
        <v>434</v>
      </c>
      <c r="D198" t="s">
        <v>2</v>
      </c>
      <c r="E198" t="s">
        <v>434</v>
      </c>
      <c r="F198" t="s">
        <v>13</v>
      </c>
      <c r="G198" t="s">
        <v>525</v>
      </c>
    </row>
    <row r="199" spans="1:7" x14ac:dyDescent="0.3">
      <c r="A199">
        <v>0</v>
      </c>
      <c r="B199" t="s">
        <v>314</v>
      </c>
      <c r="C199" t="s">
        <v>443</v>
      </c>
      <c r="D199" t="s">
        <v>2</v>
      </c>
      <c r="E199" t="s">
        <v>443</v>
      </c>
      <c r="F199" t="s">
        <v>13</v>
      </c>
      <c r="G199" t="s">
        <v>525</v>
      </c>
    </row>
    <row r="200" spans="1:7" x14ac:dyDescent="0.3">
      <c r="A200">
        <v>0</v>
      </c>
      <c r="B200" t="s">
        <v>319</v>
      </c>
      <c r="C200" t="s">
        <v>430</v>
      </c>
      <c r="D200" t="s">
        <v>2</v>
      </c>
      <c r="E200" t="s">
        <v>430</v>
      </c>
      <c r="F200" t="s">
        <v>13</v>
      </c>
      <c r="G200" t="s">
        <v>525</v>
      </c>
    </row>
    <row r="201" spans="1:7" x14ac:dyDescent="0.3">
      <c r="A201">
        <v>0</v>
      </c>
      <c r="B201" t="s">
        <v>314</v>
      </c>
      <c r="C201" t="s">
        <v>408</v>
      </c>
      <c r="D201" t="s">
        <v>2</v>
      </c>
      <c r="E201" t="s">
        <v>408</v>
      </c>
      <c r="F201" t="s">
        <v>13</v>
      </c>
      <c r="G201" t="s">
        <v>525</v>
      </c>
    </row>
    <row r="202" spans="1:7" x14ac:dyDescent="0.3">
      <c r="A202">
        <v>0</v>
      </c>
      <c r="B202" t="s">
        <v>312</v>
      </c>
      <c r="C202" t="s">
        <v>138</v>
      </c>
      <c r="D202" t="s">
        <v>2</v>
      </c>
      <c r="E202" t="s">
        <v>138</v>
      </c>
      <c r="F202" t="s">
        <v>13</v>
      </c>
      <c r="G202" t="s">
        <v>525</v>
      </c>
    </row>
    <row r="203" spans="1:7" x14ac:dyDescent="0.3">
      <c r="A203">
        <v>0</v>
      </c>
      <c r="B203" t="s">
        <v>312</v>
      </c>
      <c r="C203" t="s">
        <v>275</v>
      </c>
      <c r="D203" t="s">
        <v>2</v>
      </c>
      <c r="E203" t="s">
        <v>275</v>
      </c>
      <c r="F203" t="s">
        <v>13</v>
      </c>
      <c r="G203" t="s">
        <v>525</v>
      </c>
    </row>
    <row r="204" spans="1:7" x14ac:dyDescent="0.3">
      <c r="A204">
        <v>0</v>
      </c>
      <c r="B204" t="s">
        <v>312</v>
      </c>
      <c r="C204" t="s">
        <v>337</v>
      </c>
      <c r="D204" t="s">
        <v>2</v>
      </c>
      <c r="E204" t="s">
        <v>337</v>
      </c>
      <c r="F204" t="s">
        <v>13</v>
      </c>
      <c r="G204" t="s">
        <v>525</v>
      </c>
    </row>
    <row r="205" spans="1:7" x14ac:dyDescent="0.3">
      <c r="A205">
        <v>0</v>
      </c>
      <c r="B205" t="s">
        <v>312</v>
      </c>
      <c r="C205" t="s">
        <v>331</v>
      </c>
      <c r="D205" t="s">
        <v>2</v>
      </c>
      <c r="E205" t="s">
        <v>331</v>
      </c>
      <c r="F205" t="s">
        <v>13</v>
      </c>
      <c r="G205" t="s">
        <v>525</v>
      </c>
    </row>
    <row r="206" spans="1:7" x14ac:dyDescent="0.3">
      <c r="A206">
        <v>0</v>
      </c>
      <c r="B206" t="s">
        <v>312</v>
      </c>
      <c r="C206" t="s">
        <v>452</v>
      </c>
      <c r="D206" t="s">
        <v>2</v>
      </c>
      <c r="E206" t="s">
        <v>452</v>
      </c>
      <c r="F206" t="s">
        <v>13</v>
      </c>
      <c r="G206" t="s">
        <v>525</v>
      </c>
    </row>
    <row r="207" spans="1:7" x14ac:dyDescent="0.3">
      <c r="A207">
        <v>0</v>
      </c>
      <c r="B207" t="s">
        <v>319</v>
      </c>
      <c r="C207" t="s">
        <v>477</v>
      </c>
      <c r="D207" t="s">
        <v>2</v>
      </c>
      <c r="E207" t="s">
        <v>477</v>
      </c>
      <c r="F207" t="s">
        <v>13</v>
      </c>
      <c r="G207" t="s">
        <v>525</v>
      </c>
    </row>
    <row r="208" spans="1:7" x14ac:dyDescent="0.3">
      <c r="A208">
        <v>0</v>
      </c>
      <c r="B208" t="s">
        <v>312</v>
      </c>
      <c r="C208" t="s">
        <v>446</v>
      </c>
      <c r="D208" t="s">
        <v>2</v>
      </c>
      <c r="E208" t="s">
        <v>446</v>
      </c>
      <c r="F208" t="s">
        <v>13</v>
      </c>
      <c r="G208" t="s">
        <v>525</v>
      </c>
    </row>
    <row r="209" spans="1:7" x14ac:dyDescent="0.3">
      <c r="A209">
        <v>0</v>
      </c>
      <c r="B209" t="s">
        <v>319</v>
      </c>
      <c r="C209" t="s">
        <v>491</v>
      </c>
      <c r="D209" t="s">
        <v>2</v>
      </c>
      <c r="E209" t="s">
        <v>491</v>
      </c>
      <c r="F209" t="s">
        <v>13</v>
      </c>
      <c r="G209" t="s">
        <v>525</v>
      </c>
    </row>
    <row r="210" spans="1:7" x14ac:dyDescent="0.3">
      <c r="A210">
        <v>0</v>
      </c>
      <c r="B210" t="s">
        <v>312</v>
      </c>
      <c r="C210" t="s">
        <v>326</v>
      </c>
      <c r="D210" t="s">
        <v>2</v>
      </c>
      <c r="E210" t="s">
        <v>326</v>
      </c>
      <c r="F210" t="s">
        <v>13</v>
      </c>
      <c r="G210" t="s">
        <v>525</v>
      </c>
    </row>
    <row r="211" spans="1:7" x14ac:dyDescent="0.3">
      <c r="A211">
        <v>0</v>
      </c>
      <c r="B211" t="s">
        <v>319</v>
      </c>
      <c r="C211" t="s">
        <v>415</v>
      </c>
      <c r="D211" t="s">
        <v>2</v>
      </c>
      <c r="E211" t="s">
        <v>415</v>
      </c>
      <c r="F211" t="s">
        <v>13</v>
      </c>
      <c r="G211" t="s">
        <v>525</v>
      </c>
    </row>
    <row r="212" spans="1:7" x14ac:dyDescent="0.3">
      <c r="A212">
        <v>0</v>
      </c>
      <c r="B212" t="s">
        <v>314</v>
      </c>
      <c r="C212" t="s">
        <v>451</v>
      </c>
      <c r="D212" t="s">
        <v>2</v>
      </c>
      <c r="E212" t="s">
        <v>451</v>
      </c>
      <c r="F212" t="s">
        <v>13</v>
      </c>
      <c r="G212" t="s">
        <v>525</v>
      </c>
    </row>
    <row r="213" spans="1:7" x14ac:dyDescent="0.3">
      <c r="A213">
        <v>0</v>
      </c>
      <c r="B213" t="s">
        <v>314</v>
      </c>
      <c r="C213" t="s">
        <v>448</v>
      </c>
      <c r="D213" t="s">
        <v>2</v>
      </c>
      <c r="E213" t="s">
        <v>448</v>
      </c>
      <c r="F213" t="s">
        <v>13</v>
      </c>
      <c r="G213" t="s">
        <v>525</v>
      </c>
    </row>
    <row r="214" spans="1:7" x14ac:dyDescent="0.3">
      <c r="A214">
        <v>0</v>
      </c>
      <c r="B214" t="s">
        <v>312</v>
      </c>
      <c r="C214" t="s">
        <v>423</v>
      </c>
      <c r="D214" t="s">
        <v>2</v>
      </c>
      <c r="E214" t="s">
        <v>423</v>
      </c>
      <c r="F214" t="s">
        <v>13</v>
      </c>
      <c r="G214" t="s">
        <v>525</v>
      </c>
    </row>
    <row r="215" spans="1:7" x14ac:dyDescent="0.3">
      <c r="A215">
        <v>0</v>
      </c>
      <c r="B215" t="s">
        <v>319</v>
      </c>
      <c r="C215" t="s">
        <v>361</v>
      </c>
      <c r="D215" t="s">
        <v>2</v>
      </c>
      <c r="E215" t="s">
        <v>361</v>
      </c>
      <c r="F215" t="s">
        <v>13</v>
      </c>
      <c r="G215" t="s">
        <v>525</v>
      </c>
    </row>
    <row r="216" spans="1:7" x14ac:dyDescent="0.3">
      <c r="A216">
        <v>0</v>
      </c>
      <c r="B216" t="s">
        <v>314</v>
      </c>
      <c r="C216" t="s">
        <v>467</v>
      </c>
      <c r="D216" t="s">
        <v>2</v>
      </c>
      <c r="E216" t="s">
        <v>467</v>
      </c>
      <c r="F216" t="s">
        <v>13</v>
      </c>
      <c r="G216" t="s">
        <v>525</v>
      </c>
    </row>
    <row r="217" spans="1:7" x14ac:dyDescent="0.3">
      <c r="A217">
        <v>0</v>
      </c>
      <c r="B217" t="s">
        <v>319</v>
      </c>
      <c r="C217" t="s">
        <v>420</v>
      </c>
      <c r="D217" t="s">
        <v>2</v>
      </c>
      <c r="E217" t="s">
        <v>420</v>
      </c>
      <c r="F217" t="s">
        <v>13</v>
      </c>
      <c r="G217" t="s">
        <v>525</v>
      </c>
    </row>
    <row r="218" spans="1:7" x14ac:dyDescent="0.3">
      <c r="A218">
        <v>0</v>
      </c>
      <c r="B218" t="s">
        <v>314</v>
      </c>
      <c r="C218" t="s">
        <v>487</v>
      </c>
      <c r="D218" t="s">
        <v>2</v>
      </c>
      <c r="E218" t="s">
        <v>487</v>
      </c>
      <c r="F218" t="s">
        <v>13</v>
      </c>
      <c r="G218" t="s">
        <v>525</v>
      </c>
    </row>
    <row r="219" spans="1:7" x14ac:dyDescent="0.3">
      <c r="A219">
        <v>0</v>
      </c>
      <c r="B219" t="s">
        <v>312</v>
      </c>
      <c r="C219" t="s">
        <v>149</v>
      </c>
      <c r="D219" t="s">
        <v>2</v>
      </c>
      <c r="E219" t="s">
        <v>149</v>
      </c>
      <c r="F219" t="s">
        <v>13</v>
      </c>
      <c r="G219" t="s">
        <v>525</v>
      </c>
    </row>
    <row r="220" spans="1:7" x14ac:dyDescent="0.3">
      <c r="A220">
        <v>0</v>
      </c>
      <c r="B220" t="s">
        <v>314</v>
      </c>
      <c r="C220" t="s">
        <v>377</v>
      </c>
      <c r="D220" t="s">
        <v>2</v>
      </c>
      <c r="E220" t="s">
        <v>377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403</v>
      </c>
      <c r="D221" t="s">
        <v>2</v>
      </c>
      <c r="E221" t="s">
        <v>403</v>
      </c>
      <c r="F221" t="s">
        <v>13</v>
      </c>
      <c r="G221" t="s">
        <v>525</v>
      </c>
    </row>
    <row r="222" spans="1:7" x14ac:dyDescent="0.3">
      <c r="A222">
        <v>0</v>
      </c>
      <c r="B222" t="s">
        <v>312</v>
      </c>
      <c r="C222" t="s">
        <v>387</v>
      </c>
      <c r="D222" t="s">
        <v>2</v>
      </c>
      <c r="E222" t="s">
        <v>387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431</v>
      </c>
      <c r="D223" t="s">
        <v>2</v>
      </c>
      <c r="E223" t="s">
        <v>431</v>
      </c>
      <c r="F223" t="s">
        <v>13</v>
      </c>
      <c r="G223" t="s">
        <v>525</v>
      </c>
    </row>
    <row r="224" spans="1:7" x14ac:dyDescent="0.3">
      <c r="A224">
        <v>0</v>
      </c>
      <c r="B224" t="s">
        <v>319</v>
      </c>
      <c r="C224" t="s">
        <v>459</v>
      </c>
      <c r="D224" t="s">
        <v>2</v>
      </c>
      <c r="E224" t="s">
        <v>459</v>
      </c>
      <c r="F224" t="s">
        <v>13</v>
      </c>
      <c r="G224" t="s">
        <v>525</v>
      </c>
    </row>
    <row r="225" spans="1:7" x14ac:dyDescent="0.3">
      <c r="A225">
        <v>0</v>
      </c>
      <c r="B225" t="s">
        <v>314</v>
      </c>
      <c r="C225" t="s">
        <v>376</v>
      </c>
      <c r="D225" t="s">
        <v>2</v>
      </c>
      <c r="E225" t="s">
        <v>376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379</v>
      </c>
      <c r="D226" t="s">
        <v>2</v>
      </c>
      <c r="E226" t="s">
        <v>379</v>
      </c>
      <c r="F226" t="s">
        <v>13</v>
      </c>
      <c r="G226" t="s">
        <v>525</v>
      </c>
    </row>
    <row r="227" spans="1:7" x14ac:dyDescent="0.3">
      <c r="A227">
        <v>0</v>
      </c>
      <c r="B227" t="s">
        <v>314</v>
      </c>
      <c r="C227" t="s">
        <v>445</v>
      </c>
      <c r="D227" t="s">
        <v>2</v>
      </c>
      <c r="E227" t="s">
        <v>445</v>
      </c>
      <c r="F227" t="s">
        <v>13</v>
      </c>
      <c r="G227" t="s">
        <v>525</v>
      </c>
    </row>
    <row r="228" spans="1:7" x14ac:dyDescent="0.3">
      <c r="A228">
        <v>0</v>
      </c>
      <c r="B228" t="s">
        <v>319</v>
      </c>
      <c r="C228" t="s">
        <v>460</v>
      </c>
      <c r="D228" t="s">
        <v>2</v>
      </c>
      <c r="E228" t="s">
        <v>460</v>
      </c>
      <c r="F228" t="s">
        <v>13</v>
      </c>
      <c r="G228" t="s">
        <v>525</v>
      </c>
    </row>
    <row r="229" spans="1:7" x14ac:dyDescent="0.3">
      <c r="A229">
        <v>0</v>
      </c>
      <c r="B229" t="s">
        <v>314</v>
      </c>
      <c r="C229" t="s">
        <v>450</v>
      </c>
      <c r="D229" t="s">
        <v>2</v>
      </c>
      <c r="E229" t="s">
        <v>450</v>
      </c>
      <c r="F229" t="s">
        <v>13</v>
      </c>
      <c r="G229" t="s">
        <v>525</v>
      </c>
    </row>
    <row r="230" spans="1:7" x14ac:dyDescent="0.3">
      <c r="A230">
        <v>0</v>
      </c>
      <c r="B230" t="s">
        <v>312</v>
      </c>
      <c r="C230" t="s">
        <v>473</v>
      </c>
      <c r="D230" t="s">
        <v>2</v>
      </c>
      <c r="E230" t="s">
        <v>473</v>
      </c>
      <c r="F230" t="s">
        <v>13</v>
      </c>
      <c r="G230" t="s">
        <v>525</v>
      </c>
    </row>
    <row r="231" spans="1:7" x14ac:dyDescent="0.3">
      <c r="A231">
        <v>0</v>
      </c>
      <c r="B231" t="s">
        <v>314</v>
      </c>
      <c r="C231" t="s">
        <v>313</v>
      </c>
      <c r="D231" t="s">
        <v>2</v>
      </c>
      <c r="E231" t="s">
        <v>313</v>
      </c>
      <c r="F231" t="s">
        <v>13</v>
      </c>
      <c r="G231" t="s">
        <v>525</v>
      </c>
    </row>
    <row r="232" spans="1:7" x14ac:dyDescent="0.3">
      <c r="A232">
        <v>0</v>
      </c>
      <c r="B232" t="s">
        <v>312</v>
      </c>
      <c r="C232" t="s">
        <v>472</v>
      </c>
      <c r="D232" t="s">
        <v>2</v>
      </c>
      <c r="E232" t="s">
        <v>472</v>
      </c>
      <c r="F232" t="s">
        <v>13</v>
      </c>
      <c r="G232" t="s">
        <v>525</v>
      </c>
    </row>
    <row r="233" spans="1:7" x14ac:dyDescent="0.3">
      <c r="A233">
        <v>0</v>
      </c>
      <c r="B233" t="s">
        <v>312</v>
      </c>
      <c r="C233" t="s">
        <v>402</v>
      </c>
      <c r="D233" t="s">
        <v>2</v>
      </c>
      <c r="E233" t="s">
        <v>402</v>
      </c>
      <c r="F233" t="s">
        <v>13</v>
      </c>
      <c r="G233" t="s">
        <v>525</v>
      </c>
    </row>
    <row r="234" spans="1:7" x14ac:dyDescent="0.3">
      <c r="A234">
        <v>0</v>
      </c>
      <c r="B234" t="s">
        <v>314</v>
      </c>
      <c r="C234" t="s">
        <v>455</v>
      </c>
      <c r="D234" t="s">
        <v>2</v>
      </c>
      <c r="E234" t="s">
        <v>455</v>
      </c>
      <c r="F234" t="s">
        <v>13</v>
      </c>
      <c r="G234" t="s">
        <v>525</v>
      </c>
    </row>
    <row r="235" spans="1:7" x14ac:dyDescent="0.3">
      <c r="A235">
        <v>0</v>
      </c>
      <c r="B235" t="s">
        <v>312</v>
      </c>
      <c r="C235" t="s">
        <v>411</v>
      </c>
      <c r="D235" t="s">
        <v>2</v>
      </c>
      <c r="E235" t="s">
        <v>411</v>
      </c>
      <c r="F235" t="s">
        <v>13</v>
      </c>
      <c r="G235" t="s">
        <v>525</v>
      </c>
    </row>
    <row r="236" spans="1:7" x14ac:dyDescent="0.3">
      <c r="A236">
        <v>0</v>
      </c>
      <c r="B236" t="s">
        <v>312</v>
      </c>
      <c r="C236" t="s">
        <v>488</v>
      </c>
      <c r="D236" t="s">
        <v>2</v>
      </c>
      <c r="E236" t="s">
        <v>488</v>
      </c>
      <c r="F236" t="s">
        <v>13</v>
      </c>
      <c r="G236" t="s">
        <v>525</v>
      </c>
    </row>
    <row r="237" spans="1:7" x14ac:dyDescent="0.3">
      <c r="A237">
        <v>0</v>
      </c>
      <c r="B237" t="s">
        <v>319</v>
      </c>
      <c r="C237" t="s">
        <v>462</v>
      </c>
      <c r="D237" t="s">
        <v>2</v>
      </c>
      <c r="E237" t="s">
        <v>462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246</v>
      </c>
      <c r="D238" t="s">
        <v>2</v>
      </c>
      <c r="E238" t="s">
        <v>246</v>
      </c>
      <c r="F238" t="s">
        <v>13</v>
      </c>
      <c r="G238" t="s">
        <v>525</v>
      </c>
    </row>
    <row r="239" spans="1:7" x14ac:dyDescent="0.3">
      <c r="A239">
        <v>0</v>
      </c>
      <c r="B239" t="s">
        <v>312</v>
      </c>
      <c r="C239" t="s">
        <v>357</v>
      </c>
      <c r="D239" t="s">
        <v>2</v>
      </c>
      <c r="E239" t="s">
        <v>357</v>
      </c>
      <c r="F239" t="s">
        <v>13</v>
      </c>
      <c r="G239" t="s">
        <v>525</v>
      </c>
    </row>
    <row r="240" spans="1:7" x14ac:dyDescent="0.3">
      <c r="A240">
        <v>0</v>
      </c>
      <c r="B240" t="s">
        <v>314</v>
      </c>
      <c r="C240" t="s">
        <v>341</v>
      </c>
      <c r="D240" t="s">
        <v>2</v>
      </c>
      <c r="E240" t="s">
        <v>341</v>
      </c>
      <c r="F240" t="s">
        <v>13</v>
      </c>
      <c r="G240" t="s">
        <v>525</v>
      </c>
    </row>
    <row r="241" spans="1:7" x14ac:dyDescent="0.3">
      <c r="A241">
        <v>0</v>
      </c>
      <c r="B241" t="s">
        <v>319</v>
      </c>
      <c r="C241" t="s">
        <v>466</v>
      </c>
      <c r="D241" t="s">
        <v>2</v>
      </c>
      <c r="E241" t="s">
        <v>466</v>
      </c>
      <c r="F241" t="s">
        <v>13</v>
      </c>
      <c r="G241" t="s">
        <v>525</v>
      </c>
    </row>
    <row r="242" spans="1:7" x14ac:dyDescent="0.3">
      <c r="A242">
        <v>0</v>
      </c>
      <c r="B242" t="s">
        <v>319</v>
      </c>
      <c r="C242" t="s">
        <v>362</v>
      </c>
      <c r="D242" t="s">
        <v>2</v>
      </c>
      <c r="E242" t="s">
        <v>362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433</v>
      </c>
      <c r="D243" t="s">
        <v>2</v>
      </c>
      <c r="E243" t="s">
        <v>433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397</v>
      </c>
      <c r="D244" t="s">
        <v>2</v>
      </c>
      <c r="E244" t="s">
        <v>397</v>
      </c>
      <c r="F244" t="s">
        <v>13</v>
      </c>
      <c r="G244" t="s">
        <v>525</v>
      </c>
    </row>
    <row r="245" spans="1:7" x14ac:dyDescent="0.3">
      <c r="A245">
        <v>0</v>
      </c>
      <c r="B245" t="s">
        <v>319</v>
      </c>
      <c r="C245" t="s">
        <v>378</v>
      </c>
      <c r="D245" t="s">
        <v>2</v>
      </c>
      <c r="E245" t="s">
        <v>378</v>
      </c>
      <c r="F245" t="s">
        <v>13</v>
      </c>
      <c r="G245" t="s">
        <v>525</v>
      </c>
    </row>
    <row r="246" spans="1:7" x14ac:dyDescent="0.3">
      <c r="A246">
        <v>0</v>
      </c>
      <c r="B246" t="s">
        <v>105</v>
      </c>
      <c r="C246" t="s">
        <v>117</v>
      </c>
      <c r="D246" t="s">
        <v>2</v>
      </c>
      <c r="E246" t="s">
        <v>117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476</v>
      </c>
      <c r="D247" t="s">
        <v>2</v>
      </c>
      <c r="E247" t="s">
        <v>476</v>
      </c>
      <c r="F247" t="s">
        <v>13</v>
      </c>
      <c r="G247" t="s">
        <v>525</v>
      </c>
    </row>
    <row r="248" spans="1:7" x14ac:dyDescent="0.3">
      <c r="A248">
        <v>0</v>
      </c>
      <c r="B248" t="s">
        <v>319</v>
      </c>
      <c r="C248" t="s">
        <v>478</v>
      </c>
      <c r="D248" t="s">
        <v>2</v>
      </c>
      <c r="E248" t="s">
        <v>478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367</v>
      </c>
      <c r="D249" t="s">
        <v>2</v>
      </c>
      <c r="E249" t="s">
        <v>367</v>
      </c>
      <c r="F249" t="s">
        <v>13</v>
      </c>
      <c r="G249" t="s">
        <v>525</v>
      </c>
    </row>
    <row r="250" spans="1:7" x14ac:dyDescent="0.3">
      <c r="A250">
        <v>0</v>
      </c>
      <c r="B250" t="s">
        <v>312</v>
      </c>
      <c r="C250" t="s">
        <v>346</v>
      </c>
      <c r="D250" t="s">
        <v>2</v>
      </c>
      <c r="E250" t="s">
        <v>346</v>
      </c>
      <c r="F250" t="s">
        <v>13</v>
      </c>
      <c r="G250" t="s">
        <v>525</v>
      </c>
    </row>
    <row r="251" spans="1:7" x14ac:dyDescent="0.3">
      <c r="A251">
        <v>0</v>
      </c>
      <c r="B251" t="s">
        <v>105</v>
      </c>
      <c r="C251" t="s">
        <v>119</v>
      </c>
      <c r="D251" t="s">
        <v>2</v>
      </c>
      <c r="E251" t="s">
        <v>119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385</v>
      </c>
      <c r="D252" t="s">
        <v>2</v>
      </c>
      <c r="E252" t="s">
        <v>385</v>
      </c>
      <c r="F252" t="s">
        <v>13</v>
      </c>
      <c r="G252" t="s">
        <v>525</v>
      </c>
    </row>
    <row r="253" spans="1:7" x14ac:dyDescent="0.3">
      <c r="A253">
        <v>0</v>
      </c>
      <c r="B253" t="s">
        <v>57</v>
      </c>
      <c r="C253" t="s">
        <v>120</v>
      </c>
      <c r="D253" t="s">
        <v>2</v>
      </c>
      <c r="E253" t="s">
        <v>120</v>
      </c>
      <c r="F253" t="s">
        <v>13</v>
      </c>
      <c r="G253" t="s">
        <v>525</v>
      </c>
    </row>
    <row r="254" spans="1:7" x14ac:dyDescent="0.3">
      <c r="A254">
        <v>0</v>
      </c>
      <c r="B254" t="s">
        <v>312</v>
      </c>
      <c r="C254" t="s">
        <v>324</v>
      </c>
      <c r="D254" t="s">
        <v>2</v>
      </c>
      <c r="E254" t="s">
        <v>324</v>
      </c>
      <c r="F254" t="s">
        <v>13</v>
      </c>
      <c r="G254" t="s">
        <v>525</v>
      </c>
    </row>
    <row r="255" spans="1:7" x14ac:dyDescent="0.3">
      <c r="A255">
        <v>0</v>
      </c>
      <c r="B255" t="s">
        <v>312</v>
      </c>
      <c r="C255" t="s">
        <v>327</v>
      </c>
      <c r="D255" t="s">
        <v>2</v>
      </c>
      <c r="E255" t="s">
        <v>327</v>
      </c>
      <c r="F255" t="s">
        <v>13</v>
      </c>
      <c r="G255" t="s">
        <v>525</v>
      </c>
    </row>
    <row r="256" spans="1:7" x14ac:dyDescent="0.3">
      <c r="A256">
        <v>0</v>
      </c>
      <c r="B256" t="s">
        <v>314</v>
      </c>
      <c r="C256" t="s">
        <v>441</v>
      </c>
      <c r="D256" t="s">
        <v>2</v>
      </c>
      <c r="E256" t="s">
        <v>441</v>
      </c>
      <c r="F256" t="s">
        <v>13</v>
      </c>
      <c r="G256" t="s">
        <v>525</v>
      </c>
    </row>
    <row r="257" spans="1:7" x14ac:dyDescent="0.3">
      <c r="A257">
        <v>0</v>
      </c>
      <c r="B257" t="s">
        <v>105</v>
      </c>
      <c r="C257" t="s">
        <v>115</v>
      </c>
      <c r="D257" t="s">
        <v>2</v>
      </c>
      <c r="E257" t="s">
        <v>115</v>
      </c>
      <c r="F257" t="s">
        <v>13</v>
      </c>
      <c r="G257" t="s">
        <v>525</v>
      </c>
    </row>
    <row r="258" spans="1:7" x14ac:dyDescent="0.3">
      <c r="A258">
        <v>0</v>
      </c>
      <c r="B258" t="s">
        <v>312</v>
      </c>
      <c r="C258" t="s">
        <v>484</v>
      </c>
      <c r="D258" t="s">
        <v>2</v>
      </c>
      <c r="E258" t="s">
        <v>484</v>
      </c>
      <c r="F258" t="s">
        <v>13</v>
      </c>
      <c r="G258" t="s">
        <v>525</v>
      </c>
    </row>
    <row r="259" spans="1:7" x14ac:dyDescent="0.3">
      <c r="A259">
        <v>0</v>
      </c>
      <c r="B259" t="s">
        <v>312</v>
      </c>
      <c r="C259" t="s">
        <v>311</v>
      </c>
      <c r="D259" t="s">
        <v>2</v>
      </c>
      <c r="E259" t="s">
        <v>311</v>
      </c>
      <c r="F259" t="s">
        <v>13</v>
      </c>
      <c r="G259" t="s">
        <v>525</v>
      </c>
    </row>
    <row r="260" spans="1:7" x14ac:dyDescent="0.3">
      <c r="A260">
        <v>0</v>
      </c>
      <c r="B260" t="s">
        <v>312</v>
      </c>
      <c r="C260" t="s">
        <v>365</v>
      </c>
      <c r="D260" t="s">
        <v>2</v>
      </c>
      <c r="E260" t="s">
        <v>365</v>
      </c>
      <c r="F260" t="s">
        <v>13</v>
      </c>
      <c r="G260" t="s">
        <v>525</v>
      </c>
    </row>
    <row r="261" spans="1:7" x14ac:dyDescent="0.3">
      <c r="A261">
        <v>0</v>
      </c>
      <c r="B261" t="s">
        <v>314</v>
      </c>
      <c r="C261" t="s">
        <v>350</v>
      </c>
      <c r="D261" t="s">
        <v>2</v>
      </c>
      <c r="E261" t="s">
        <v>350</v>
      </c>
      <c r="F261" t="s">
        <v>13</v>
      </c>
      <c r="G261" t="s">
        <v>525</v>
      </c>
    </row>
    <row r="262" spans="1:7" x14ac:dyDescent="0.3">
      <c r="A262">
        <v>0</v>
      </c>
      <c r="B262" t="s">
        <v>105</v>
      </c>
      <c r="C262" t="s">
        <v>123</v>
      </c>
      <c r="D262" t="s">
        <v>2</v>
      </c>
      <c r="E262" t="s">
        <v>123</v>
      </c>
      <c r="F262" t="s">
        <v>13</v>
      </c>
      <c r="G262" t="s">
        <v>525</v>
      </c>
    </row>
    <row r="263" spans="1:7" x14ac:dyDescent="0.3">
      <c r="A263">
        <v>0</v>
      </c>
      <c r="B263" t="s">
        <v>312</v>
      </c>
      <c r="C263" t="s">
        <v>396</v>
      </c>
      <c r="D263" t="s">
        <v>2</v>
      </c>
      <c r="E263" t="s">
        <v>396</v>
      </c>
      <c r="F263" t="s">
        <v>13</v>
      </c>
      <c r="G263" t="s">
        <v>525</v>
      </c>
    </row>
    <row r="264" spans="1:7" x14ac:dyDescent="0.3">
      <c r="A264">
        <v>0</v>
      </c>
      <c r="B264" t="s">
        <v>312</v>
      </c>
      <c r="C264" t="s">
        <v>428</v>
      </c>
      <c r="D264" t="s">
        <v>2</v>
      </c>
      <c r="E264" t="s">
        <v>428</v>
      </c>
      <c r="F264" t="s">
        <v>13</v>
      </c>
      <c r="G264" t="s">
        <v>525</v>
      </c>
    </row>
    <row r="265" spans="1:7" x14ac:dyDescent="0.3">
      <c r="A265">
        <v>0</v>
      </c>
      <c r="B265" t="s">
        <v>312</v>
      </c>
      <c r="C265" t="s">
        <v>383</v>
      </c>
      <c r="D265" t="s">
        <v>2</v>
      </c>
      <c r="E265" t="s">
        <v>383</v>
      </c>
      <c r="F265" t="s">
        <v>13</v>
      </c>
      <c r="G265" t="s">
        <v>525</v>
      </c>
    </row>
    <row r="266" spans="1:7" x14ac:dyDescent="0.3">
      <c r="A266">
        <v>0</v>
      </c>
      <c r="B266" t="s">
        <v>312</v>
      </c>
      <c r="C266" t="s">
        <v>426</v>
      </c>
      <c r="D266" t="s">
        <v>2</v>
      </c>
      <c r="E266" t="s">
        <v>426</v>
      </c>
      <c r="F266" t="s">
        <v>13</v>
      </c>
      <c r="G266" t="s">
        <v>525</v>
      </c>
    </row>
    <row r="267" spans="1:7" x14ac:dyDescent="0.3">
      <c r="A267">
        <v>0</v>
      </c>
      <c r="B267" t="s">
        <v>312</v>
      </c>
      <c r="C267" t="s">
        <v>437</v>
      </c>
      <c r="D267" t="s">
        <v>2</v>
      </c>
      <c r="E267" t="s">
        <v>437</v>
      </c>
      <c r="F267" t="s">
        <v>13</v>
      </c>
      <c r="G267" t="s">
        <v>525</v>
      </c>
    </row>
    <row r="268" spans="1:7" x14ac:dyDescent="0.3">
      <c r="A268">
        <v>0</v>
      </c>
      <c r="B268" t="s">
        <v>312</v>
      </c>
      <c r="C268" t="s">
        <v>454</v>
      </c>
      <c r="D268" t="s">
        <v>2</v>
      </c>
      <c r="E268" t="s">
        <v>454</v>
      </c>
      <c r="F268" t="s">
        <v>13</v>
      </c>
      <c r="G268" t="s">
        <v>525</v>
      </c>
    </row>
    <row r="269" spans="1:7" x14ac:dyDescent="0.3">
      <c r="A269">
        <v>0</v>
      </c>
      <c r="B269" t="s">
        <v>312</v>
      </c>
      <c r="C269" t="s">
        <v>425</v>
      </c>
      <c r="D269" t="s">
        <v>2</v>
      </c>
      <c r="E269" t="s">
        <v>425</v>
      </c>
      <c r="F269" t="s">
        <v>13</v>
      </c>
      <c r="G269" t="s">
        <v>525</v>
      </c>
    </row>
    <row r="270" spans="1:7" x14ac:dyDescent="0.3">
      <c r="A270">
        <v>0</v>
      </c>
      <c r="B270" t="s">
        <v>312</v>
      </c>
      <c r="C270" t="s">
        <v>344</v>
      </c>
      <c r="D270" t="s">
        <v>2</v>
      </c>
      <c r="E270" t="s">
        <v>344</v>
      </c>
      <c r="F270" t="s">
        <v>13</v>
      </c>
      <c r="G270" t="s">
        <v>525</v>
      </c>
    </row>
    <row r="271" spans="1:7" x14ac:dyDescent="0.3">
      <c r="A271">
        <v>0</v>
      </c>
      <c r="B271" t="s">
        <v>312</v>
      </c>
      <c r="C271" t="s">
        <v>407</v>
      </c>
      <c r="D271" t="s">
        <v>2</v>
      </c>
      <c r="E271" t="s">
        <v>407</v>
      </c>
      <c r="F271" t="s">
        <v>13</v>
      </c>
      <c r="G271" t="s">
        <v>525</v>
      </c>
    </row>
    <row r="272" spans="1:7" x14ac:dyDescent="0.3">
      <c r="A272">
        <v>0</v>
      </c>
      <c r="B272" t="s">
        <v>314</v>
      </c>
      <c r="C272" t="s">
        <v>413</v>
      </c>
      <c r="D272" t="s">
        <v>2</v>
      </c>
      <c r="E272" t="s">
        <v>413</v>
      </c>
      <c r="F272" t="s">
        <v>13</v>
      </c>
      <c r="G272" t="s">
        <v>525</v>
      </c>
    </row>
    <row r="273" spans="1:7" x14ac:dyDescent="0.3">
      <c r="A273">
        <v>0</v>
      </c>
      <c r="B273" t="s">
        <v>312</v>
      </c>
      <c r="C273" t="s">
        <v>392</v>
      </c>
      <c r="D273" t="s">
        <v>2</v>
      </c>
      <c r="E273" t="s">
        <v>392</v>
      </c>
      <c r="F273" t="s">
        <v>13</v>
      </c>
      <c r="G273" t="s">
        <v>525</v>
      </c>
    </row>
    <row r="274" spans="1:7" x14ac:dyDescent="0.3">
      <c r="A274">
        <v>0</v>
      </c>
      <c r="B274" t="s">
        <v>319</v>
      </c>
      <c r="C274" t="s">
        <v>422</v>
      </c>
      <c r="D274" t="s">
        <v>2</v>
      </c>
      <c r="E274" t="s">
        <v>422</v>
      </c>
      <c r="F274" t="s">
        <v>13</v>
      </c>
      <c r="G274" t="s">
        <v>525</v>
      </c>
    </row>
    <row r="275" spans="1:7" x14ac:dyDescent="0.3">
      <c r="A275">
        <v>0</v>
      </c>
      <c r="B275" t="s">
        <v>314</v>
      </c>
      <c r="C275" t="s">
        <v>495</v>
      </c>
      <c r="D275" t="s">
        <v>494</v>
      </c>
      <c r="E275" t="s">
        <v>495</v>
      </c>
      <c r="F275" t="s">
        <v>13</v>
      </c>
      <c r="G275" t="s">
        <v>525</v>
      </c>
    </row>
    <row r="276" spans="1:7" x14ac:dyDescent="0.3">
      <c r="A276">
        <v>0</v>
      </c>
      <c r="B276" t="s">
        <v>314</v>
      </c>
      <c r="C276" t="s">
        <v>497</v>
      </c>
      <c r="D276" t="s">
        <v>494</v>
      </c>
      <c r="E276" t="s">
        <v>497</v>
      </c>
      <c r="F276" t="s">
        <v>13</v>
      </c>
      <c r="G276" t="s">
        <v>525</v>
      </c>
    </row>
    <row r="277" spans="1:7" x14ac:dyDescent="0.3">
      <c r="A277">
        <v>0</v>
      </c>
      <c r="B277" t="s">
        <v>314</v>
      </c>
      <c r="C277" t="s">
        <v>496</v>
      </c>
      <c r="D277" t="s">
        <v>494</v>
      </c>
      <c r="E277" t="s">
        <v>496</v>
      </c>
      <c r="F277" t="s">
        <v>13</v>
      </c>
      <c r="G277" t="s">
        <v>525</v>
      </c>
    </row>
    <row r="278" spans="1:7" x14ac:dyDescent="0.3">
      <c r="A278">
        <v>0</v>
      </c>
      <c r="B278" t="s">
        <v>312</v>
      </c>
      <c r="C278" t="s">
        <v>513</v>
      </c>
      <c r="D278" t="s">
        <v>498</v>
      </c>
      <c r="E278" t="s">
        <v>513</v>
      </c>
      <c r="F278" t="s">
        <v>13</v>
      </c>
      <c r="G278" t="s">
        <v>525</v>
      </c>
    </row>
    <row r="279" spans="1:7" x14ac:dyDescent="0.3">
      <c r="A279">
        <v>0</v>
      </c>
      <c r="B279" t="s">
        <v>312</v>
      </c>
      <c r="C279" t="s">
        <v>515</v>
      </c>
      <c r="D279" t="s">
        <v>498</v>
      </c>
      <c r="E279" t="s">
        <v>515</v>
      </c>
      <c r="F279" t="s">
        <v>13</v>
      </c>
      <c r="G279" t="s">
        <v>525</v>
      </c>
    </row>
    <row r="280" spans="1:7" x14ac:dyDescent="0.3">
      <c r="A280">
        <v>0</v>
      </c>
      <c r="B280" t="s">
        <v>312</v>
      </c>
      <c r="C280" t="s">
        <v>509</v>
      </c>
      <c r="D280" t="s">
        <v>498</v>
      </c>
      <c r="E280" t="s">
        <v>509</v>
      </c>
      <c r="F280" t="s">
        <v>13</v>
      </c>
      <c r="G280" t="s">
        <v>525</v>
      </c>
    </row>
    <row r="281" spans="1:7" x14ac:dyDescent="0.3">
      <c r="A281">
        <v>0</v>
      </c>
      <c r="B281" t="s">
        <v>312</v>
      </c>
      <c r="C281" t="s">
        <v>502</v>
      </c>
      <c r="D281" t="s">
        <v>498</v>
      </c>
      <c r="E281" t="s">
        <v>502</v>
      </c>
      <c r="F281" t="s">
        <v>13</v>
      </c>
      <c r="G281" t="s">
        <v>525</v>
      </c>
    </row>
    <row r="282" spans="1:7" x14ac:dyDescent="0.3">
      <c r="A282">
        <v>0</v>
      </c>
      <c r="B282" t="s">
        <v>312</v>
      </c>
      <c r="C282" t="s">
        <v>500</v>
      </c>
      <c r="D282" t="s">
        <v>498</v>
      </c>
      <c r="E282" t="s">
        <v>500</v>
      </c>
      <c r="F282" t="s">
        <v>13</v>
      </c>
      <c r="G282" t="s">
        <v>525</v>
      </c>
    </row>
    <row r="283" spans="1:7" x14ac:dyDescent="0.3">
      <c r="A283">
        <v>0</v>
      </c>
      <c r="B283" t="s">
        <v>507</v>
      </c>
      <c r="C283" t="s">
        <v>506</v>
      </c>
      <c r="D283" t="s">
        <v>498</v>
      </c>
      <c r="E283" t="s">
        <v>506</v>
      </c>
      <c r="F283" t="s">
        <v>13</v>
      </c>
      <c r="G283" t="s">
        <v>525</v>
      </c>
    </row>
    <row r="284" spans="1:7" x14ac:dyDescent="0.3">
      <c r="A284">
        <v>0</v>
      </c>
      <c r="B284" t="s">
        <v>312</v>
      </c>
      <c r="C284" t="s">
        <v>514</v>
      </c>
      <c r="D284" t="s">
        <v>498</v>
      </c>
      <c r="E284" t="s">
        <v>514</v>
      </c>
      <c r="F284" t="s">
        <v>13</v>
      </c>
      <c r="G284" t="s">
        <v>525</v>
      </c>
    </row>
    <row r="285" spans="1:7" x14ac:dyDescent="0.3">
      <c r="A285">
        <v>0</v>
      </c>
      <c r="B285" t="s">
        <v>312</v>
      </c>
      <c r="C285" t="s">
        <v>499</v>
      </c>
      <c r="D285" t="s">
        <v>498</v>
      </c>
      <c r="E285" t="s">
        <v>499</v>
      </c>
      <c r="F285" t="s">
        <v>13</v>
      </c>
      <c r="G285" t="s">
        <v>525</v>
      </c>
    </row>
    <row r="286" spans="1:7" x14ac:dyDescent="0.3">
      <c r="A286">
        <v>0</v>
      </c>
      <c r="B286" t="s">
        <v>312</v>
      </c>
      <c r="C286" t="s">
        <v>508</v>
      </c>
      <c r="D286" t="s">
        <v>498</v>
      </c>
      <c r="E286" t="s">
        <v>508</v>
      </c>
      <c r="F286" t="s">
        <v>13</v>
      </c>
      <c r="G286" t="s">
        <v>525</v>
      </c>
    </row>
    <row r="287" spans="1:7" x14ac:dyDescent="0.3">
      <c r="A287">
        <v>0</v>
      </c>
      <c r="B287" t="s">
        <v>312</v>
      </c>
      <c r="C287" t="s">
        <v>519</v>
      </c>
      <c r="D287" t="s">
        <v>498</v>
      </c>
      <c r="E287" t="s">
        <v>519</v>
      </c>
      <c r="F287" t="s">
        <v>13</v>
      </c>
      <c r="G287" t="s">
        <v>525</v>
      </c>
    </row>
    <row r="288" spans="1:7" x14ac:dyDescent="0.3">
      <c r="A288">
        <v>0</v>
      </c>
      <c r="B288" t="s">
        <v>312</v>
      </c>
      <c r="C288" t="s">
        <v>510</v>
      </c>
      <c r="D288" t="s">
        <v>498</v>
      </c>
      <c r="E288" t="s">
        <v>510</v>
      </c>
      <c r="F288" t="s">
        <v>13</v>
      </c>
      <c r="G288" t="s">
        <v>525</v>
      </c>
    </row>
    <row r="289" spans="1:7" x14ac:dyDescent="0.3">
      <c r="A289">
        <v>0</v>
      </c>
      <c r="B289" t="s">
        <v>312</v>
      </c>
      <c r="C289" t="s">
        <v>521</v>
      </c>
      <c r="D289" t="s">
        <v>498</v>
      </c>
      <c r="E289" t="s">
        <v>521</v>
      </c>
      <c r="F289" t="s">
        <v>13</v>
      </c>
      <c r="G289" t="s">
        <v>525</v>
      </c>
    </row>
    <row r="290" spans="1:7" x14ac:dyDescent="0.3">
      <c r="A290">
        <v>0</v>
      </c>
      <c r="B290" t="s">
        <v>312</v>
      </c>
      <c r="C290" t="s">
        <v>501</v>
      </c>
      <c r="D290" t="s">
        <v>498</v>
      </c>
      <c r="E290" t="s">
        <v>501</v>
      </c>
      <c r="F290" t="s">
        <v>13</v>
      </c>
      <c r="G290" t="s">
        <v>525</v>
      </c>
    </row>
    <row r="291" spans="1:7" x14ac:dyDescent="0.3">
      <c r="A291">
        <v>0</v>
      </c>
      <c r="B291" t="s">
        <v>312</v>
      </c>
      <c r="C291" t="s">
        <v>504</v>
      </c>
      <c r="D291" t="s">
        <v>498</v>
      </c>
      <c r="E291" t="s">
        <v>504</v>
      </c>
      <c r="F291" t="s">
        <v>13</v>
      </c>
      <c r="G291" t="s">
        <v>525</v>
      </c>
    </row>
    <row r="292" spans="1:7" x14ac:dyDescent="0.3">
      <c r="A292">
        <v>0</v>
      </c>
      <c r="B292" t="s">
        <v>312</v>
      </c>
      <c r="C292" t="s">
        <v>520</v>
      </c>
      <c r="D292" t="s">
        <v>498</v>
      </c>
      <c r="E292" t="s">
        <v>520</v>
      </c>
      <c r="F292" t="s">
        <v>13</v>
      </c>
      <c r="G292" t="s">
        <v>525</v>
      </c>
    </row>
    <row r="293" spans="1:7" x14ac:dyDescent="0.3">
      <c r="A293">
        <v>0</v>
      </c>
      <c r="B293" t="s">
        <v>312</v>
      </c>
      <c r="C293" t="s">
        <v>523</v>
      </c>
      <c r="D293" t="s">
        <v>498</v>
      </c>
      <c r="E293" t="s">
        <v>523</v>
      </c>
      <c r="F293" t="s">
        <v>13</v>
      </c>
      <c r="G293" t="s">
        <v>525</v>
      </c>
    </row>
    <row r="294" spans="1:7" x14ac:dyDescent="0.3">
      <c r="A294">
        <v>0</v>
      </c>
      <c r="B294" t="s">
        <v>312</v>
      </c>
      <c r="C294" t="s">
        <v>503</v>
      </c>
      <c r="D294" t="s">
        <v>498</v>
      </c>
      <c r="E294" t="s">
        <v>503</v>
      </c>
      <c r="F294" t="s">
        <v>13</v>
      </c>
      <c r="G294" t="s">
        <v>525</v>
      </c>
    </row>
    <row r="295" spans="1:7" x14ac:dyDescent="0.3">
      <c r="A295">
        <v>0</v>
      </c>
      <c r="B295" t="s">
        <v>312</v>
      </c>
      <c r="C295" t="s">
        <v>512</v>
      </c>
      <c r="D295" t="s">
        <v>498</v>
      </c>
      <c r="E295" t="s">
        <v>512</v>
      </c>
      <c r="F295" t="s">
        <v>13</v>
      </c>
      <c r="G295" t="s">
        <v>525</v>
      </c>
    </row>
    <row r="296" spans="1:7" x14ac:dyDescent="0.3">
      <c r="A296">
        <v>0</v>
      </c>
      <c r="B296" t="s">
        <v>312</v>
      </c>
      <c r="C296" t="s">
        <v>505</v>
      </c>
      <c r="D296" t="s">
        <v>498</v>
      </c>
      <c r="E296" t="s">
        <v>505</v>
      </c>
      <c r="F296" t="s">
        <v>13</v>
      </c>
      <c r="G296" t="s">
        <v>525</v>
      </c>
    </row>
    <row r="297" spans="1:7" x14ac:dyDescent="0.3">
      <c r="A297">
        <v>0</v>
      </c>
      <c r="B297" t="s">
        <v>312</v>
      </c>
      <c r="C297" t="s">
        <v>518</v>
      </c>
      <c r="D297" t="s">
        <v>498</v>
      </c>
      <c r="E297" t="s">
        <v>518</v>
      </c>
      <c r="F297" t="s">
        <v>13</v>
      </c>
      <c r="G297" t="s">
        <v>525</v>
      </c>
    </row>
    <row r="298" spans="1:7" x14ac:dyDescent="0.3">
      <c r="A298">
        <v>0</v>
      </c>
      <c r="B298" t="s">
        <v>312</v>
      </c>
      <c r="C298" t="s">
        <v>522</v>
      </c>
      <c r="D298" t="s">
        <v>498</v>
      </c>
      <c r="E298" t="s">
        <v>522</v>
      </c>
      <c r="F298" t="s">
        <v>13</v>
      </c>
      <c r="G298" t="s">
        <v>525</v>
      </c>
    </row>
    <row r="299" spans="1:7" x14ac:dyDescent="0.3">
      <c r="A299">
        <v>0</v>
      </c>
      <c r="B299" t="s">
        <v>312</v>
      </c>
      <c r="C299" t="s">
        <v>516</v>
      </c>
      <c r="D299" t="s">
        <v>498</v>
      </c>
      <c r="E299" t="s">
        <v>516</v>
      </c>
      <c r="F299" t="s">
        <v>13</v>
      </c>
      <c r="G299" t="s">
        <v>525</v>
      </c>
    </row>
    <row r="300" spans="1:7" x14ac:dyDescent="0.3">
      <c r="A300">
        <v>0</v>
      </c>
      <c r="B300" t="s">
        <v>312</v>
      </c>
      <c r="C300" t="s">
        <v>517</v>
      </c>
      <c r="D300" t="s">
        <v>498</v>
      </c>
      <c r="E300" t="s">
        <v>517</v>
      </c>
      <c r="F300" t="s">
        <v>13</v>
      </c>
      <c r="G300" t="s">
        <v>525</v>
      </c>
    </row>
    <row r="301" spans="1:7" x14ac:dyDescent="0.3">
      <c r="A301">
        <v>0</v>
      </c>
      <c r="B301" t="s">
        <v>16</v>
      </c>
      <c r="C301" s="2" t="s">
        <v>22</v>
      </c>
      <c r="D301" t="s">
        <v>2</v>
      </c>
      <c r="E301" s="2" t="s">
        <v>22</v>
      </c>
      <c r="F301" t="s">
        <v>13</v>
      </c>
      <c r="G301" t="s">
        <v>525</v>
      </c>
    </row>
    <row r="302" spans="1:7" x14ac:dyDescent="0.3">
      <c r="A302">
        <v>0</v>
      </c>
      <c r="B302" t="s">
        <v>16</v>
      </c>
      <c r="C302" s="2" t="s">
        <v>49</v>
      </c>
      <c r="D302" t="s">
        <v>2</v>
      </c>
      <c r="E302" s="2" t="s">
        <v>49</v>
      </c>
      <c r="F302" t="s">
        <v>13</v>
      </c>
      <c r="G302" t="s">
        <v>525</v>
      </c>
    </row>
    <row r="303" spans="1:7" x14ac:dyDescent="0.3">
      <c r="A303">
        <v>0</v>
      </c>
      <c r="B303" t="s">
        <v>312</v>
      </c>
      <c r="C303" s="2" t="s">
        <v>55</v>
      </c>
      <c r="D303" t="s">
        <v>2</v>
      </c>
      <c r="E303" s="2" t="s">
        <v>55</v>
      </c>
      <c r="F303" t="s">
        <v>13</v>
      </c>
      <c r="G303" t="s">
        <v>525</v>
      </c>
    </row>
    <row r="304" spans="1:7" x14ac:dyDescent="0.3">
      <c r="A304">
        <v>0</v>
      </c>
      <c r="B304" t="s">
        <v>312</v>
      </c>
      <c r="C304" t="s">
        <v>59</v>
      </c>
      <c r="D304" t="s">
        <v>2</v>
      </c>
      <c r="E304" t="s">
        <v>59</v>
      </c>
      <c r="F304" t="s">
        <v>13</v>
      </c>
      <c r="G304" t="s">
        <v>525</v>
      </c>
    </row>
    <row r="305" spans="1:7" x14ac:dyDescent="0.3">
      <c r="A305">
        <v>0</v>
      </c>
      <c r="B305" t="s">
        <v>16</v>
      </c>
      <c r="C305" s="2" t="s">
        <v>61</v>
      </c>
      <c r="D305" t="s">
        <v>2</v>
      </c>
      <c r="E305" s="2" t="s">
        <v>61</v>
      </c>
      <c r="F305" t="s">
        <v>13</v>
      </c>
      <c r="G305" t="s">
        <v>525</v>
      </c>
    </row>
    <row r="306" spans="1:7" x14ac:dyDescent="0.3">
      <c r="A306">
        <v>0</v>
      </c>
      <c r="B306" t="s">
        <v>312</v>
      </c>
      <c r="C306" s="2" t="s">
        <v>67</v>
      </c>
      <c r="D306" t="s">
        <v>2</v>
      </c>
      <c r="E306" s="2" t="s">
        <v>67</v>
      </c>
      <c r="F306" t="s">
        <v>13</v>
      </c>
      <c r="G306" t="s">
        <v>525</v>
      </c>
    </row>
    <row r="307" spans="1:7" x14ac:dyDescent="0.3">
      <c r="A307">
        <v>0</v>
      </c>
      <c r="B307" t="s">
        <v>312</v>
      </c>
      <c r="C307" t="s">
        <v>73</v>
      </c>
      <c r="D307" t="s">
        <v>2</v>
      </c>
      <c r="E307" t="s">
        <v>73</v>
      </c>
      <c r="F307" t="s">
        <v>13</v>
      </c>
      <c r="G307" t="s">
        <v>525</v>
      </c>
    </row>
    <row r="308" spans="1:7" x14ac:dyDescent="0.3">
      <c r="A308">
        <v>0</v>
      </c>
      <c r="B308" t="s">
        <v>312</v>
      </c>
      <c r="C308" t="s">
        <v>79</v>
      </c>
      <c r="D308" t="s">
        <v>2</v>
      </c>
      <c r="E308" t="s">
        <v>79</v>
      </c>
      <c r="F308" t="s">
        <v>13</v>
      </c>
      <c r="G308" t="s">
        <v>525</v>
      </c>
    </row>
    <row r="309" spans="1:7" x14ac:dyDescent="0.3">
      <c r="A309">
        <v>0</v>
      </c>
      <c r="B309" t="s">
        <v>312</v>
      </c>
      <c r="C309" t="s">
        <v>82</v>
      </c>
      <c r="D309" t="s">
        <v>2</v>
      </c>
      <c r="E309" t="s">
        <v>82</v>
      </c>
      <c r="F309" t="s">
        <v>13</v>
      </c>
      <c r="G309" t="s">
        <v>525</v>
      </c>
    </row>
    <row r="310" spans="1:7" x14ac:dyDescent="0.3">
      <c r="A310">
        <v>0</v>
      </c>
      <c r="B310" t="s">
        <v>312</v>
      </c>
      <c r="C310" t="s">
        <v>85</v>
      </c>
      <c r="D310" t="s">
        <v>2</v>
      </c>
      <c r="E310" t="s">
        <v>85</v>
      </c>
      <c r="F310" t="s">
        <v>13</v>
      </c>
      <c r="G310" t="s">
        <v>525</v>
      </c>
    </row>
    <row r="311" spans="1:7" x14ac:dyDescent="0.3">
      <c r="A311">
        <v>0</v>
      </c>
      <c r="B311" t="s">
        <v>312</v>
      </c>
      <c r="C311" t="s">
        <v>88</v>
      </c>
      <c r="D311" t="s">
        <v>2</v>
      </c>
      <c r="E311" t="s">
        <v>88</v>
      </c>
      <c r="F311" t="s">
        <v>13</v>
      </c>
      <c r="G311" t="s">
        <v>525</v>
      </c>
    </row>
    <row r="312" spans="1:7" x14ac:dyDescent="0.3">
      <c r="A312">
        <v>0</v>
      </c>
      <c r="B312" t="s">
        <v>312</v>
      </c>
      <c r="C312" t="s">
        <v>91</v>
      </c>
      <c r="D312" t="s">
        <v>2</v>
      </c>
      <c r="E312" t="s">
        <v>91</v>
      </c>
      <c r="F312" t="s">
        <v>13</v>
      </c>
      <c r="G312" t="s">
        <v>525</v>
      </c>
    </row>
    <row r="313" spans="1:7" x14ac:dyDescent="0.3">
      <c r="A313">
        <v>0</v>
      </c>
      <c r="B313" t="s">
        <v>312</v>
      </c>
      <c r="C313" t="s">
        <v>94</v>
      </c>
      <c r="D313" t="s">
        <v>2</v>
      </c>
      <c r="E313" t="s">
        <v>94</v>
      </c>
      <c r="F313" t="s">
        <v>13</v>
      </c>
      <c r="G313" t="s">
        <v>525</v>
      </c>
    </row>
    <row r="314" spans="1:7" x14ac:dyDescent="0.3">
      <c r="A314">
        <v>0</v>
      </c>
      <c r="B314" t="s">
        <v>312</v>
      </c>
      <c r="C314" t="s">
        <v>97</v>
      </c>
      <c r="D314" t="s">
        <v>2</v>
      </c>
      <c r="E314" t="s">
        <v>97</v>
      </c>
      <c r="F314" t="s">
        <v>13</v>
      </c>
      <c r="G314" t="s">
        <v>525</v>
      </c>
    </row>
    <row r="315" spans="1:7" x14ac:dyDescent="0.3">
      <c r="A315">
        <v>0</v>
      </c>
      <c r="B315" t="s">
        <v>312</v>
      </c>
      <c r="C315" t="s">
        <v>100</v>
      </c>
      <c r="D315" t="s">
        <v>2</v>
      </c>
      <c r="E315" t="s">
        <v>100</v>
      </c>
      <c r="F315" t="s">
        <v>13</v>
      </c>
      <c r="G315" t="s">
        <v>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315"/>
  <sheetViews>
    <sheetView topLeftCell="A48" workbookViewId="0">
      <selection activeCell="A70" sqref="A70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50.149466825925401</v>
      </c>
      <c r="B2" t="s">
        <v>16</v>
      </c>
      <c r="C2" t="s">
        <v>22</v>
      </c>
      <c r="D2" t="s">
        <v>2</v>
      </c>
      <c r="E2" t="s">
        <v>22</v>
      </c>
      <c r="F2" s="4" t="s">
        <v>13</v>
      </c>
      <c r="G2" t="s">
        <v>525</v>
      </c>
      <c r="H2" t="s">
        <v>529</v>
      </c>
    </row>
    <row r="3" spans="1:9" x14ac:dyDescent="0.3">
      <c r="A3">
        <v>19.763336680167665</v>
      </c>
      <c r="B3" t="s">
        <v>57</v>
      </c>
      <c r="C3" t="s">
        <v>559</v>
      </c>
      <c r="D3" t="s">
        <v>2</v>
      </c>
      <c r="E3" s="2" t="s">
        <v>315</v>
      </c>
      <c r="F3" t="s">
        <v>13</v>
      </c>
      <c r="G3" t="s">
        <v>525</v>
      </c>
      <c r="H3" t="s">
        <v>529</v>
      </c>
    </row>
    <row r="4" spans="1:9" x14ac:dyDescent="0.3">
      <c r="A4" s="5">
        <v>2.4210087433205389E-3</v>
      </c>
      <c r="B4" t="s">
        <v>57</v>
      </c>
      <c r="C4" t="s">
        <v>560</v>
      </c>
      <c r="D4" t="s">
        <v>2</v>
      </c>
      <c r="E4" t="s">
        <v>149</v>
      </c>
      <c r="F4" t="s">
        <v>13</v>
      </c>
      <c r="G4" t="s">
        <v>525</v>
      </c>
      <c r="H4" t="s">
        <v>530</v>
      </c>
    </row>
    <row r="5" spans="1:9" x14ac:dyDescent="0.3">
      <c r="A5" s="5">
        <v>0.31621338688268263</v>
      </c>
      <c r="B5" t="s">
        <v>57</v>
      </c>
      <c r="C5" t="s">
        <v>561</v>
      </c>
      <c r="D5" t="s">
        <v>2</v>
      </c>
      <c r="E5" t="s">
        <v>149</v>
      </c>
      <c r="F5" t="s">
        <v>13</v>
      </c>
      <c r="G5" t="s">
        <v>525</v>
      </c>
      <c r="H5" t="s">
        <v>532</v>
      </c>
    </row>
    <row r="6" spans="1:9" x14ac:dyDescent="0.3">
      <c r="A6" s="5">
        <v>3.0139088437255686E-3</v>
      </c>
      <c r="B6" t="s">
        <v>57</v>
      </c>
      <c r="C6" t="s">
        <v>562</v>
      </c>
      <c r="D6" t="s">
        <v>2</v>
      </c>
      <c r="E6" t="s">
        <v>149</v>
      </c>
      <c r="F6" t="s">
        <v>13</v>
      </c>
      <c r="G6" t="s">
        <v>525</v>
      </c>
      <c r="H6" t="s">
        <v>534</v>
      </c>
    </row>
    <row r="7" spans="1:9" x14ac:dyDescent="0.3">
      <c r="A7">
        <v>5.4349175870461073</v>
      </c>
      <c r="B7" t="s">
        <v>57</v>
      </c>
      <c r="C7" t="s">
        <v>563</v>
      </c>
      <c r="D7" t="s">
        <v>2</v>
      </c>
      <c r="E7" t="s">
        <v>149</v>
      </c>
      <c r="F7" t="s">
        <v>13</v>
      </c>
      <c r="G7" t="s">
        <v>525</v>
      </c>
      <c r="H7" t="s">
        <v>546</v>
      </c>
    </row>
    <row r="8" spans="1:9" x14ac:dyDescent="0.3">
      <c r="A8">
        <v>19.763336680167665</v>
      </c>
      <c r="B8" t="s">
        <v>57</v>
      </c>
      <c r="C8" t="s">
        <v>564</v>
      </c>
      <c r="D8" t="s">
        <v>2</v>
      </c>
      <c r="E8" s="2" t="s">
        <v>352</v>
      </c>
      <c r="F8" t="s">
        <v>13</v>
      </c>
      <c r="G8" t="s">
        <v>525</v>
      </c>
      <c r="H8" t="s">
        <v>538</v>
      </c>
    </row>
    <row r="9" spans="1:9" x14ac:dyDescent="0.3">
      <c r="A9">
        <v>2.9874811260718563</v>
      </c>
      <c r="B9" t="s">
        <v>57</v>
      </c>
      <c r="C9" t="s">
        <v>565</v>
      </c>
      <c r="D9" t="s">
        <v>2</v>
      </c>
      <c r="E9" t="s">
        <v>369</v>
      </c>
      <c r="F9" t="s">
        <v>13</v>
      </c>
      <c r="G9" t="s">
        <v>525</v>
      </c>
      <c r="H9" t="s">
        <v>530</v>
      </c>
    </row>
    <row r="10" spans="1:9" x14ac:dyDescent="0.3">
      <c r="A10" s="6">
        <v>0.83994180890712578</v>
      </c>
      <c r="B10" s="7" t="s">
        <v>57</v>
      </c>
      <c r="C10" s="7" t="s">
        <v>566</v>
      </c>
      <c r="D10" s="7" t="s">
        <v>2</v>
      </c>
      <c r="E10" s="8" t="s">
        <v>352</v>
      </c>
      <c r="F10" s="7" t="s">
        <v>13</v>
      </c>
      <c r="G10" s="7" t="s">
        <v>525</v>
      </c>
      <c r="H10" s="9" t="s">
        <v>534</v>
      </c>
    </row>
    <row r="11" spans="1:9" x14ac:dyDescent="0.3">
      <c r="A11" s="10">
        <v>2.7174587935230536</v>
      </c>
      <c r="B11" t="s">
        <v>57</v>
      </c>
      <c r="C11" t="s">
        <v>567</v>
      </c>
      <c r="D11" t="s">
        <v>2</v>
      </c>
      <c r="E11" t="s">
        <v>369</v>
      </c>
      <c r="F11" t="s">
        <v>13</v>
      </c>
      <c r="G11" t="s">
        <v>525</v>
      </c>
      <c r="H11" s="11" t="s">
        <v>534</v>
      </c>
    </row>
    <row r="12" spans="1:9" x14ac:dyDescent="0.3">
      <c r="A12" s="12">
        <v>7.1395794882231192</v>
      </c>
      <c r="B12" s="7" t="s">
        <v>57</v>
      </c>
      <c r="C12" s="7" t="s">
        <v>568</v>
      </c>
      <c r="D12" s="7" t="s">
        <v>2</v>
      </c>
      <c r="E12" s="7" t="s">
        <v>412</v>
      </c>
      <c r="F12" s="7" t="s">
        <v>13</v>
      </c>
      <c r="G12" s="7" t="s">
        <v>525</v>
      </c>
      <c r="H12" s="9" t="s">
        <v>546</v>
      </c>
    </row>
    <row r="13" spans="1:9" x14ac:dyDescent="0.3">
      <c r="A13" s="13">
        <v>16.0191725461099</v>
      </c>
      <c r="B13" t="s">
        <v>57</v>
      </c>
      <c r="C13" t="s">
        <v>540</v>
      </c>
      <c r="D13" t="s">
        <v>2</v>
      </c>
      <c r="E13" t="s">
        <v>345</v>
      </c>
      <c r="F13" t="s">
        <v>13</v>
      </c>
      <c r="G13" t="s">
        <v>525</v>
      </c>
      <c r="H13" s="11" t="s">
        <v>538</v>
      </c>
    </row>
    <row r="14" spans="1:9" x14ac:dyDescent="0.3">
      <c r="A14" s="13">
        <v>2.9000226161061029</v>
      </c>
      <c r="B14" t="s">
        <v>57</v>
      </c>
      <c r="C14" t="s">
        <v>560</v>
      </c>
      <c r="D14" t="s">
        <v>2</v>
      </c>
      <c r="E14" t="s">
        <v>431</v>
      </c>
      <c r="F14" t="s">
        <v>13</v>
      </c>
      <c r="G14" t="s">
        <v>525</v>
      </c>
      <c r="H14" s="11" t="s">
        <v>539</v>
      </c>
    </row>
    <row r="15" spans="1:9" x14ac:dyDescent="0.3">
      <c r="A15" s="13">
        <v>65.181460704860982</v>
      </c>
      <c r="B15" t="s">
        <v>57</v>
      </c>
      <c r="C15" t="s">
        <v>569</v>
      </c>
      <c r="D15" t="s">
        <v>2</v>
      </c>
      <c r="E15" t="s">
        <v>333</v>
      </c>
      <c r="F15" t="s">
        <v>13</v>
      </c>
      <c r="G15" t="s">
        <v>525</v>
      </c>
      <c r="H15" s="11" t="s">
        <v>541</v>
      </c>
    </row>
    <row r="16" spans="1:9" x14ac:dyDescent="0.3">
      <c r="A16" s="13">
        <v>2.9000226161061029</v>
      </c>
      <c r="B16" t="s">
        <v>57</v>
      </c>
      <c r="C16" t="s">
        <v>570</v>
      </c>
      <c r="D16" t="s">
        <v>2</v>
      </c>
      <c r="E16" t="s">
        <v>355</v>
      </c>
      <c r="F16" t="s">
        <v>13</v>
      </c>
      <c r="G16" t="s">
        <v>525</v>
      </c>
      <c r="H16" s="11" t="s">
        <v>553</v>
      </c>
    </row>
    <row r="17" spans="1:8" x14ac:dyDescent="0.3">
      <c r="A17" s="13">
        <v>58.000452322122058</v>
      </c>
      <c r="B17" t="s">
        <v>57</v>
      </c>
      <c r="C17" t="s">
        <v>571</v>
      </c>
      <c r="D17" t="s">
        <v>2</v>
      </c>
      <c r="E17" t="s">
        <v>387</v>
      </c>
      <c r="F17" t="s">
        <v>13</v>
      </c>
      <c r="G17" t="s">
        <v>525</v>
      </c>
      <c r="H17" s="11" t="s">
        <v>554</v>
      </c>
    </row>
    <row r="18" spans="1:8" x14ac:dyDescent="0.3">
      <c r="A18" s="13">
        <v>5.5238526021068628</v>
      </c>
      <c r="B18" t="s">
        <v>57</v>
      </c>
      <c r="C18" t="s">
        <v>572</v>
      </c>
      <c r="D18" t="s">
        <v>2</v>
      </c>
      <c r="E18" t="s">
        <v>322</v>
      </c>
      <c r="F18" t="s">
        <v>13</v>
      </c>
      <c r="G18" t="s">
        <v>525</v>
      </c>
      <c r="H18" s="11" t="s">
        <v>550</v>
      </c>
    </row>
    <row r="19" spans="1:8" x14ac:dyDescent="0.3">
      <c r="A19" s="13">
        <v>16.0191725461099</v>
      </c>
      <c r="B19" t="s">
        <v>57</v>
      </c>
      <c r="C19" t="s">
        <v>564</v>
      </c>
      <c r="D19" t="s">
        <v>2</v>
      </c>
      <c r="E19" s="2" t="s">
        <v>352</v>
      </c>
      <c r="F19" t="s">
        <v>13</v>
      </c>
      <c r="G19" t="s">
        <v>525</v>
      </c>
      <c r="H19" s="11" t="s">
        <v>555</v>
      </c>
    </row>
    <row r="20" spans="1:8" x14ac:dyDescent="0.3">
      <c r="A20" s="6">
        <v>0.22095410408427449</v>
      </c>
      <c r="B20" s="7" t="s">
        <v>57</v>
      </c>
      <c r="C20" s="7" t="s">
        <v>559</v>
      </c>
      <c r="D20" s="7" t="s">
        <v>2</v>
      </c>
      <c r="E20" s="8" t="s">
        <v>315</v>
      </c>
      <c r="F20" s="7" t="s">
        <v>13</v>
      </c>
      <c r="G20" s="7" t="s">
        <v>525</v>
      </c>
      <c r="H20" s="9" t="s">
        <v>554</v>
      </c>
    </row>
    <row r="21" spans="1:8" x14ac:dyDescent="0.3">
      <c r="A21" s="10">
        <v>9.0867375304657896E-2</v>
      </c>
      <c r="B21" t="s">
        <v>57</v>
      </c>
      <c r="C21" t="s">
        <v>573</v>
      </c>
      <c r="D21" t="s">
        <v>2</v>
      </c>
      <c r="E21" t="s">
        <v>352</v>
      </c>
      <c r="F21" t="s">
        <v>13</v>
      </c>
      <c r="G21" t="s">
        <v>525</v>
      </c>
      <c r="H21" s="11" t="s">
        <v>550</v>
      </c>
    </row>
    <row r="22" spans="1:8" x14ac:dyDescent="0.3">
      <c r="A22" s="10">
        <v>0.17521660453882967</v>
      </c>
      <c r="B22" t="s">
        <v>57</v>
      </c>
      <c r="C22" t="s">
        <v>574</v>
      </c>
      <c r="D22" t="s">
        <v>2</v>
      </c>
      <c r="E22" t="s">
        <v>352</v>
      </c>
      <c r="F22" t="s">
        <v>13</v>
      </c>
      <c r="G22" t="s">
        <v>525</v>
      </c>
      <c r="H22" s="11" t="s">
        <v>555</v>
      </c>
    </row>
    <row r="23" spans="1:8" x14ac:dyDescent="0.3">
      <c r="A23" s="10">
        <v>1.3809631505267156E-2</v>
      </c>
      <c r="B23" t="s">
        <v>57</v>
      </c>
      <c r="C23" t="s">
        <v>575</v>
      </c>
      <c r="D23" t="s">
        <v>2</v>
      </c>
      <c r="E23" t="s">
        <v>352</v>
      </c>
      <c r="F23" t="s">
        <v>13</v>
      </c>
      <c r="G23" t="s">
        <v>525</v>
      </c>
      <c r="H23" s="11" t="s">
        <v>556</v>
      </c>
    </row>
    <row r="24" spans="1:8" x14ac:dyDescent="0.3">
      <c r="A24" s="10">
        <v>0.13809631505267156</v>
      </c>
      <c r="B24" t="s">
        <v>57</v>
      </c>
      <c r="C24" t="s">
        <v>576</v>
      </c>
      <c r="D24" t="s">
        <v>2</v>
      </c>
      <c r="E24" t="s">
        <v>352</v>
      </c>
      <c r="F24" t="s">
        <v>13</v>
      </c>
      <c r="G24" t="s">
        <v>525</v>
      </c>
      <c r="H24" s="11" t="s">
        <v>557</v>
      </c>
    </row>
    <row r="25" spans="1:8" x14ac:dyDescent="0.3">
      <c r="A25" s="10">
        <v>7.1395794882231192</v>
      </c>
      <c r="B25" t="s">
        <v>57</v>
      </c>
      <c r="C25" t="s">
        <v>568</v>
      </c>
      <c r="D25" t="s">
        <v>2</v>
      </c>
      <c r="E25" t="s">
        <v>412</v>
      </c>
      <c r="F25" t="s">
        <v>13</v>
      </c>
      <c r="G25" t="s">
        <v>525</v>
      </c>
      <c r="H25" s="11" t="s">
        <v>558</v>
      </c>
    </row>
    <row r="26" spans="1:8" x14ac:dyDescent="0.3">
      <c r="A26" s="10">
        <v>1.1876283094529754</v>
      </c>
      <c r="B26" t="s">
        <v>57</v>
      </c>
      <c r="C26" t="s">
        <v>540</v>
      </c>
      <c r="D26" t="s">
        <v>2</v>
      </c>
      <c r="E26" t="s">
        <v>345</v>
      </c>
      <c r="F26" t="s">
        <v>13</v>
      </c>
      <c r="G26" t="s">
        <v>525</v>
      </c>
      <c r="H26" s="11" t="s">
        <v>577</v>
      </c>
    </row>
    <row r="27" spans="1:8" x14ac:dyDescent="0.3">
      <c r="A27" s="10">
        <v>8.285778903160293E-2</v>
      </c>
      <c r="B27" t="s">
        <v>57</v>
      </c>
      <c r="C27" t="s">
        <v>578</v>
      </c>
      <c r="D27" t="s">
        <v>2</v>
      </c>
      <c r="E27" t="s">
        <v>371</v>
      </c>
      <c r="F27" t="s">
        <v>13</v>
      </c>
      <c r="G27" t="s">
        <v>525</v>
      </c>
      <c r="H27" s="11" t="s">
        <v>579</v>
      </c>
    </row>
    <row r="28" spans="1:8" x14ac:dyDescent="0.3">
      <c r="A28" s="10">
        <v>1.7952520956847302</v>
      </c>
      <c r="B28" t="s">
        <v>57</v>
      </c>
      <c r="C28" t="s">
        <v>580</v>
      </c>
      <c r="D28" t="s">
        <v>2</v>
      </c>
      <c r="E28" t="s">
        <v>352</v>
      </c>
      <c r="F28" t="s">
        <v>13</v>
      </c>
      <c r="G28" t="s">
        <v>525</v>
      </c>
      <c r="H28" s="11" t="s">
        <v>581</v>
      </c>
    </row>
    <row r="29" spans="1:8" x14ac:dyDescent="0.3">
      <c r="A29" s="10">
        <v>5.523852602106863E-4</v>
      </c>
      <c r="B29" t="s">
        <v>57</v>
      </c>
      <c r="C29" t="s">
        <v>582</v>
      </c>
      <c r="D29" t="s">
        <v>2</v>
      </c>
      <c r="E29" t="s">
        <v>352</v>
      </c>
      <c r="F29" t="s">
        <v>13</v>
      </c>
      <c r="G29" t="s">
        <v>525</v>
      </c>
      <c r="H29" s="11" t="s">
        <v>583</v>
      </c>
    </row>
    <row r="30" spans="1:8" x14ac:dyDescent="0.3">
      <c r="A30" s="10">
        <v>2.7619263010534314E-3</v>
      </c>
      <c r="B30" t="s">
        <v>57</v>
      </c>
      <c r="C30" t="s">
        <v>571</v>
      </c>
      <c r="D30" t="s">
        <v>2</v>
      </c>
      <c r="E30" t="s">
        <v>387</v>
      </c>
      <c r="F30" t="s">
        <v>13</v>
      </c>
      <c r="G30" t="s">
        <v>525</v>
      </c>
      <c r="H30" s="11" t="s">
        <v>584</v>
      </c>
    </row>
    <row r="31" spans="1:8" x14ac:dyDescent="0.3">
      <c r="A31" s="10">
        <v>8.2857789031602937E-3</v>
      </c>
      <c r="B31" t="s">
        <v>57</v>
      </c>
      <c r="C31" t="s">
        <v>585</v>
      </c>
      <c r="D31" t="s">
        <v>2</v>
      </c>
      <c r="E31" t="s">
        <v>352</v>
      </c>
      <c r="F31" t="s">
        <v>13</v>
      </c>
      <c r="G31" t="s">
        <v>525</v>
      </c>
      <c r="H31" s="11" t="s">
        <v>586</v>
      </c>
    </row>
    <row r="32" spans="1:8" x14ac:dyDescent="0.3">
      <c r="A32" s="10">
        <v>3.3143115612641174</v>
      </c>
      <c r="B32" t="s">
        <v>57</v>
      </c>
      <c r="C32" t="s">
        <v>572</v>
      </c>
      <c r="D32" t="s">
        <v>2</v>
      </c>
      <c r="E32" t="s">
        <v>322</v>
      </c>
      <c r="F32" t="s">
        <v>13</v>
      </c>
      <c r="G32" t="s">
        <v>525</v>
      </c>
      <c r="H32" s="11" t="s">
        <v>587</v>
      </c>
    </row>
    <row r="33" spans="1:8" x14ac:dyDescent="0.3">
      <c r="A33" s="10">
        <v>0.27619263010534312</v>
      </c>
      <c r="B33" t="s">
        <v>57</v>
      </c>
      <c r="C33" t="s">
        <v>588</v>
      </c>
      <c r="D33" t="s">
        <v>2</v>
      </c>
      <c r="E33" t="s">
        <v>352</v>
      </c>
      <c r="F33" t="s">
        <v>13</v>
      </c>
      <c r="G33" t="s">
        <v>525</v>
      </c>
      <c r="H33" s="11" t="s">
        <v>589</v>
      </c>
    </row>
    <row r="34" spans="1:8" x14ac:dyDescent="0.3">
      <c r="A34" s="10">
        <v>8.2857789031602928E-4</v>
      </c>
      <c r="B34" t="s">
        <v>57</v>
      </c>
      <c r="C34" t="s">
        <v>590</v>
      </c>
      <c r="D34" t="s">
        <v>2</v>
      </c>
      <c r="E34" t="s">
        <v>352</v>
      </c>
      <c r="F34" t="s">
        <v>13</v>
      </c>
      <c r="G34" t="s">
        <v>525</v>
      </c>
      <c r="H34" s="11" t="s">
        <v>591</v>
      </c>
    </row>
    <row r="35" spans="1:8" x14ac:dyDescent="0.3">
      <c r="A35" s="14">
        <v>5.523852602106863E-4</v>
      </c>
      <c r="B35" s="15" t="s">
        <v>57</v>
      </c>
      <c r="C35" s="15" t="s">
        <v>592</v>
      </c>
      <c r="D35" s="15" t="s">
        <v>2</v>
      </c>
      <c r="E35" s="15" t="s">
        <v>352</v>
      </c>
      <c r="F35" s="15" t="s">
        <v>13</v>
      </c>
      <c r="G35" s="15" t="s">
        <v>525</v>
      </c>
      <c r="H35" s="16" t="s">
        <v>593</v>
      </c>
    </row>
    <row r="36" spans="1:8" x14ac:dyDescent="0.3">
      <c r="A36" s="12">
        <v>19.763336680167665</v>
      </c>
      <c r="B36" s="7" t="s">
        <v>57</v>
      </c>
      <c r="C36" s="7" t="s">
        <v>559</v>
      </c>
      <c r="D36" s="7" t="s">
        <v>2</v>
      </c>
      <c r="E36" s="8" t="s">
        <v>315</v>
      </c>
      <c r="F36" s="7" t="s">
        <v>13</v>
      </c>
      <c r="G36" s="7" t="s">
        <v>525</v>
      </c>
      <c r="H36" s="9" t="s">
        <v>589</v>
      </c>
    </row>
    <row r="37" spans="1:8" x14ac:dyDescent="0.3">
      <c r="A37" s="10">
        <v>2.4210087433205389E-3</v>
      </c>
      <c r="B37" t="s">
        <v>57</v>
      </c>
      <c r="C37" t="s">
        <v>560</v>
      </c>
      <c r="D37" t="s">
        <v>2</v>
      </c>
      <c r="E37" t="s">
        <v>431</v>
      </c>
      <c r="F37" t="s">
        <v>13</v>
      </c>
      <c r="G37" t="s">
        <v>525</v>
      </c>
      <c r="H37" s="11" t="s">
        <v>591</v>
      </c>
    </row>
    <row r="38" spans="1:8" x14ac:dyDescent="0.3">
      <c r="A38" s="10">
        <v>0.31621338688268263</v>
      </c>
      <c r="B38" t="s">
        <v>57</v>
      </c>
      <c r="C38" t="s">
        <v>561</v>
      </c>
      <c r="D38" t="s">
        <v>2</v>
      </c>
      <c r="E38" t="s">
        <v>476</v>
      </c>
      <c r="F38" t="s">
        <v>13</v>
      </c>
      <c r="G38" t="s">
        <v>525</v>
      </c>
      <c r="H38" s="11" t="s">
        <v>593</v>
      </c>
    </row>
    <row r="39" spans="1:8" x14ac:dyDescent="0.3">
      <c r="A39" s="10">
        <v>3.0139088437255686E-3</v>
      </c>
      <c r="B39" t="s">
        <v>57</v>
      </c>
      <c r="C39" t="s">
        <v>562</v>
      </c>
      <c r="D39" t="s">
        <v>2</v>
      </c>
      <c r="E39" t="s">
        <v>431</v>
      </c>
      <c r="F39" t="s">
        <v>13</v>
      </c>
      <c r="G39" t="s">
        <v>525</v>
      </c>
      <c r="H39" s="11" t="s">
        <v>594</v>
      </c>
    </row>
    <row r="40" spans="1:8" x14ac:dyDescent="0.3">
      <c r="A40" s="13">
        <v>5.4349175870461073</v>
      </c>
      <c r="B40" t="s">
        <v>57</v>
      </c>
      <c r="C40" t="s">
        <v>563</v>
      </c>
      <c r="D40" t="s">
        <v>2</v>
      </c>
      <c r="E40" t="s">
        <v>149</v>
      </c>
      <c r="F40" t="s">
        <v>13</v>
      </c>
      <c r="G40" t="s">
        <v>525</v>
      </c>
      <c r="H40" s="11" t="s">
        <v>595</v>
      </c>
    </row>
    <row r="41" spans="1:8" x14ac:dyDescent="0.3">
      <c r="A41" s="17">
        <v>19.763336680167665</v>
      </c>
      <c r="B41" s="15" t="s">
        <v>57</v>
      </c>
      <c r="C41" s="15" t="s">
        <v>564</v>
      </c>
      <c r="D41" s="15" t="s">
        <v>2</v>
      </c>
      <c r="E41" s="15" t="s">
        <v>352</v>
      </c>
      <c r="F41" s="15" t="s">
        <v>13</v>
      </c>
      <c r="G41" s="15" t="s">
        <v>525</v>
      </c>
      <c r="H41" s="16" t="s">
        <v>596</v>
      </c>
    </row>
    <row r="42" spans="1:8" x14ac:dyDescent="0.3">
      <c r="A42" s="6">
        <v>4.1305373661550417</v>
      </c>
      <c r="B42" s="7" t="s">
        <v>57</v>
      </c>
      <c r="C42" s="7" t="s">
        <v>559</v>
      </c>
      <c r="D42" s="7" t="s">
        <v>2</v>
      </c>
      <c r="E42" s="8" t="s">
        <v>315</v>
      </c>
      <c r="F42" s="7" t="s">
        <v>13</v>
      </c>
      <c r="G42" s="7" t="s">
        <v>525</v>
      </c>
      <c r="H42" s="9" t="s">
        <v>593</v>
      </c>
    </row>
    <row r="43" spans="1:8" x14ac:dyDescent="0.3">
      <c r="A43" s="10">
        <v>0.22727837182192814</v>
      </c>
      <c r="B43" t="s">
        <v>57</v>
      </c>
      <c r="C43" t="s">
        <v>597</v>
      </c>
      <c r="D43" t="s">
        <v>2</v>
      </c>
      <c r="E43" s="2" t="s">
        <v>352</v>
      </c>
      <c r="F43" t="s">
        <v>13</v>
      </c>
      <c r="G43" t="s">
        <v>525</v>
      </c>
      <c r="H43" s="11" t="s">
        <v>594</v>
      </c>
    </row>
    <row r="44" spans="1:8" x14ac:dyDescent="0.3">
      <c r="A44" s="10">
        <v>4.2392357178959639</v>
      </c>
      <c r="B44" t="s">
        <v>57</v>
      </c>
      <c r="C44" t="s">
        <v>598</v>
      </c>
      <c r="D44" t="s">
        <v>2</v>
      </c>
      <c r="E44" t="s">
        <v>418</v>
      </c>
      <c r="F44" t="s">
        <v>13</v>
      </c>
      <c r="G44" t="s">
        <v>525</v>
      </c>
      <c r="H44" s="11" t="s">
        <v>595</v>
      </c>
    </row>
    <row r="45" spans="1:8" x14ac:dyDescent="0.3">
      <c r="A45" s="10">
        <v>2.7915713060736826</v>
      </c>
      <c r="B45" t="s">
        <v>57</v>
      </c>
      <c r="C45" t="s">
        <v>566</v>
      </c>
      <c r="D45" t="s">
        <v>2</v>
      </c>
      <c r="E45" s="2" t="s">
        <v>352</v>
      </c>
      <c r="F45" t="s">
        <v>13</v>
      </c>
      <c r="G45" t="s">
        <v>525</v>
      </c>
      <c r="H45" s="11" t="s">
        <v>596</v>
      </c>
    </row>
    <row r="46" spans="1:8" x14ac:dyDescent="0.3">
      <c r="A46" s="10">
        <v>0.24704170850209581</v>
      </c>
      <c r="B46" t="s">
        <v>16</v>
      </c>
      <c r="C46" t="s">
        <v>599</v>
      </c>
      <c r="D46" t="s">
        <v>2</v>
      </c>
      <c r="E46" t="s">
        <v>61</v>
      </c>
      <c r="F46" s="4" t="s">
        <v>13</v>
      </c>
      <c r="G46" t="s">
        <v>525</v>
      </c>
      <c r="H46" s="11" t="s">
        <v>600</v>
      </c>
    </row>
    <row r="47" spans="1:8" x14ac:dyDescent="0.3">
      <c r="A47" s="10">
        <v>3.9378448335234066E-2</v>
      </c>
      <c r="B47" t="s">
        <v>57</v>
      </c>
      <c r="C47" t="s">
        <v>601</v>
      </c>
      <c r="D47" t="s">
        <v>2</v>
      </c>
      <c r="E47" t="s">
        <v>431</v>
      </c>
      <c r="F47" t="s">
        <v>13</v>
      </c>
      <c r="G47" t="s">
        <v>525</v>
      </c>
      <c r="H47" s="11" t="s">
        <v>602</v>
      </c>
    </row>
    <row r="48" spans="1:8" x14ac:dyDescent="0.3">
      <c r="A48" s="10">
        <v>4.1305373661550417</v>
      </c>
      <c r="B48" t="s">
        <v>57</v>
      </c>
      <c r="C48" t="s">
        <v>603</v>
      </c>
      <c r="D48" t="s">
        <v>2</v>
      </c>
      <c r="E48" s="2" t="s">
        <v>315</v>
      </c>
      <c r="F48" t="s">
        <v>13</v>
      </c>
      <c r="G48" t="s">
        <v>525</v>
      </c>
      <c r="H48" s="11" t="s">
        <v>604</v>
      </c>
    </row>
    <row r="49" spans="1:9" x14ac:dyDescent="0.3">
      <c r="A49" s="10">
        <v>466.90882906896104</v>
      </c>
      <c r="B49" t="s">
        <v>57</v>
      </c>
      <c r="C49" t="s">
        <v>605</v>
      </c>
      <c r="D49" t="s">
        <v>2</v>
      </c>
      <c r="E49" t="s">
        <v>322</v>
      </c>
      <c r="F49" t="s">
        <v>13</v>
      </c>
      <c r="G49" t="s">
        <v>525</v>
      </c>
      <c r="H49" s="11" t="s">
        <v>606</v>
      </c>
    </row>
    <row r="50" spans="1:9" x14ac:dyDescent="0.3">
      <c r="A50" s="10">
        <v>4.1305373661550417</v>
      </c>
      <c r="B50" t="s">
        <v>57</v>
      </c>
      <c r="C50" t="s">
        <v>605</v>
      </c>
      <c r="D50" t="s">
        <v>2</v>
      </c>
      <c r="E50" t="s">
        <v>322</v>
      </c>
      <c r="F50" t="s">
        <v>13</v>
      </c>
      <c r="G50" t="s">
        <v>525</v>
      </c>
      <c r="H50" s="11" t="s">
        <v>607</v>
      </c>
    </row>
    <row r="51" spans="1:9" x14ac:dyDescent="0.3">
      <c r="A51" s="10">
        <v>4.1305373661550417</v>
      </c>
      <c r="B51" t="s">
        <v>57</v>
      </c>
      <c r="C51" t="s">
        <v>608</v>
      </c>
      <c r="D51" t="s">
        <v>2</v>
      </c>
      <c r="E51" t="s">
        <v>322</v>
      </c>
      <c r="F51" t="s">
        <v>13</v>
      </c>
      <c r="G51" t="s">
        <v>525</v>
      </c>
      <c r="H51" s="11" t="s">
        <v>609</v>
      </c>
    </row>
    <row r="52" spans="1:9" x14ac:dyDescent="0.3">
      <c r="A52" s="14">
        <v>466.90882906896104</v>
      </c>
      <c r="B52" s="15" t="s">
        <v>57</v>
      </c>
      <c r="C52" s="15" t="s">
        <v>610</v>
      </c>
      <c r="D52" s="15" t="s">
        <v>2</v>
      </c>
      <c r="E52" s="15" t="s">
        <v>322</v>
      </c>
      <c r="F52" s="15" t="s">
        <v>13</v>
      </c>
      <c r="G52" s="15" t="s">
        <v>525</v>
      </c>
      <c r="H52" s="16" t="s">
        <v>611</v>
      </c>
    </row>
    <row r="53" spans="1:9" x14ac:dyDescent="0.3">
      <c r="A53" s="10">
        <v>0</v>
      </c>
      <c r="B53" s="7" t="s">
        <v>57</v>
      </c>
      <c r="C53" s="7" t="s">
        <v>612</v>
      </c>
      <c r="D53" s="7" t="s">
        <v>2</v>
      </c>
      <c r="E53" s="7" t="s">
        <v>412</v>
      </c>
      <c r="F53" s="7" t="s">
        <v>13</v>
      </c>
      <c r="G53" s="7" t="s">
        <v>525</v>
      </c>
      <c r="H53" s="9" t="s">
        <v>607</v>
      </c>
    </row>
    <row r="54" spans="1:9" x14ac:dyDescent="0.3">
      <c r="A54" s="10">
        <v>0</v>
      </c>
      <c r="B54" t="s">
        <v>57</v>
      </c>
      <c r="C54" t="s">
        <v>605</v>
      </c>
      <c r="D54" t="s">
        <v>2</v>
      </c>
      <c r="E54" t="s">
        <v>322</v>
      </c>
      <c r="F54" t="s">
        <v>13</v>
      </c>
      <c r="G54" t="s">
        <v>525</v>
      </c>
      <c r="H54" s="11" t="s">
        <v>609</v>
      </c>
    </row>
    <row r="55" spans="1:9" x14ac:dyDescent="0.3">
      <c r="A55" s="10">
        <v>0</v>
      </c>
      <c r="B55" t="s">
        <v>57</v>
      </c>
      <c r="C55" t="s">
        <v>613</v>
      </c>
      <c r="D55" t="s">
        <v>2</v>
      </c>
      <c r="E55" t="s">
        <v>322</v>
      </c>
      <c r="F55" t="s">
        <v>13</v>
      </c>
      <c r="G55" t="s">
        <v>525</v>
      </c>
      <c r="H55" s="11" t="s">
        <v>611</v>
      </c>
    </row>
    <row r="56" spans="1:9" x14ac:dyDescent="0.3">
      <c r="A56" s="10">
        <v>0</v>
      </c>
      <c r="B56" t="s">
        <v>57</v>
      </c>
      <c r="C56" t="s">
        <v>614</v>
      </c>
      <c r="D56" t="s">
        <v>2</v>
      </c>
      <c r="E56" t="s">
        <v>322</v>
      </c>
      <c r="F56" t="s">
        <v>13</v>
      </c>
      <c r="G56" t="s">
        <v>525</v>
      </c>
      <c r="H56" s="11" t="s">
        <v>615</v>
      </c>
    </row>
    <row r="57" spans="1:9" x14ac:dyDescent="0.3">
      <c r="A57" s="10">
        <v>0</v>
      </c>
      <c r="B57" s="15" t="s">
        <v>57</v>
      </c>
      <c r="C57" s="15" t="s">
        <v>616</v>
      </c>
      <c r="D57" s="15" t="s">
        <v>2</v>
      </c>
      <c r="E57" s="15" t="s">
        <v>355</v>
      </c>
      <c r="F57" s="15" t="s">
        <v>13</v>
      </c>
      <c r="G57" s="15" t="s">
        <v>525</v>
      </c>
      <c r="H57" s="16" t="s">
        <v>617</v>
      </c>
    </row>
    <row r="58" spans="1:9" x14ac:dyDescent="0.3">
      <c r="A58" s="10">
        <v>0</v>
      </c>
      <c r="B58" t="s">
        <v>314</v>
      </c>
      <c r="C58" t="s">
        <v>495</v>
      </c>
      <c r="D58" t="s">
        <v>494</v>
      </c>
      <c r="E58" t="s">
        <v>495</v>
      </c>
      <c r="F58" t="s">
        <v>13</v>
      </c>
      <c r="G58" t="s">
        <v>525</v>
      </c>
      <c r="H58" t="s">
        <v>618</v>
      </c>
      <c r="I58">
        <v>1.2333333333333332E-2</v>
      </c>
    </row>
    <row r="59" spans="1:9" x14ac:dyDescent="0.3">
      <c r="A59" s="10">
        <v>0</v>
      </c>
      <c r="B59" t="s">
        <v>314</v>
      </c>
      <c r="C59" t="s">
        <v>496</v>
      </c>
      <c r="D59" t="s">
        <v>494</v>
      </c>
      <c r="E59" t="s">
        <v>496</v>
      </c>
      <c r="F59" t="s">
        <v>13</v>
      </c>
      <c r="G59" t="s">
        <v>525</v>
      </c>
      <c r="H59" t="s">
        <v>618</v>
      </c>
      <c r="I59">
        <v>5.3600148159008293E-3</v>
      </c>
    </row>
    <row r="60" spans="1:9" x14ac:dyDescent="0.3">
      <c r="A60" s="5">
        <v>0</v>
      </c>
      <c r="B60" t="s">
        <v>314</v>
      </c>
      <c r="C60" t="s">
        <v>497</v>
      </c>
      <c r="D60" t="s">
        <v>494</v>
      </c>
      <c r="E60" t="s">
        <v>497</v>
      </c>
      <c r="F60" t="s">
        <v>13</v>
      </c>
      <c r="G60" t="s">
        <v>525</v>
      </c>
      <c r="H60" t="s">
        <v>618</v>
      </c>
      <c r="I60">
        <v>8.2633561745137751E-2</v>
      </c>
    </row>
    <row r="61" spans="1:9" x14ac:dyDescent="0.3">
      <c r="A61">
        <v>4.1111111111111101E-4</v>
      </c>
      <c r="B61" t="s">
        <v>507</v>
      </c>
      <c r="C61" t="s">
        <v>506</v>
      </c>
      <c r="D61" t="s">
        <v>498</v>
      </c>
      <c r="E61" t="s">
        <v>506</v>
      </c>
      <c r="F61" t="s">
        <v>13</v>
      </c>
      <c r="G61" t="s">
        <v>525</v>
      </c>
      <c r="H61" t="s">
        <v>618</v>
      </c>
    </row>
    <row r="62" spans="1:9" x14ac:dyDescent="0.3">
      <c r="A62">
        <v>9.5190111120027545</v>
      </c>
      <c r="B62" t="s">
        <v>57</v>
      </c>
      <c r="C62" t="s">
        <v>535</v>
      </c>
      <c r="D62" t="s">
        <v>498</v>
      </c>
      <c r="E62" t="s">
        <v>502</v>
      </c>
      <c r="F62" t="s">
        <v>13</v>
      </c>
      <c r="G62" t="s">
        <v>525</v>
      </c>
      <c r="H62" t="s">
        <v>769</v>
      </c>
    </row>
    <row r="63" spans="1:9" x14ac:dyDescent="0.3">
      <c r="A63">
        <v>1.2846168842108982E-3</v>
      </c>
      <c r="B63" t="s">
        <v>57</v>
      </c>
      <c r="C63" t="s">
        <v>500</v>
      </c>
      <c r="D63" t="s">
        <v>498</v>
      </c>
      <c r="E63" t="s">
        <v>500</v>
      </c>
      <c r="F63" t="s">
        <v>13</v>
      </c>
      <c r="G63" t="s">
        <v>525</v>
      </c>
      <c r="H63" t="s">
        <v>769</v>
      </c>
    </row>
    <row r="64" spans="1:9" x14ac:dyDescent="0.3">
      <c r="A64">
        <v>7.7077013052653895E-5</v>
      </c>
      <c r="B64" t="s">
        <v>57</v>
      </c>
      <c r="C64" t="s">
        <v>511</v>
      </c>
      <c r="D64" t="s">
        <v>498</v>
      </c>
      <c r="E64" t="s">
        <v>511</v>
      </c>
      <c r="F64" t="s">
        <v>13</v>
      </c>
      <c r="G64" t="s">
        <v>525</v>
      </c>
      <c r="H64" t="s">
        <v>769</v>
      </c>
    </row>
    <row r="65" spans="1:8" x14ac:dyDescent="0.3">
      <c r="A65">
        <v>8.658638953802507</v>
      </c>
      <c r="B65" t="s">
        <v>57</v>
      </c>
      <c r="C65" t="s">
        <v>535</v>
      </c>
      <c r="D65" t="s">
        <v>498</v>
      </c>
      <c r="E65" t="s">
        <v>502</v>
      </c>
      <c r="F65" t="s">
        <v>13</v>
      </c>
      <c r="G65" t="s">
        <v>525</v>
      </c>
      <c r="H65" t="s">
        <v>619</v>
      </c>
    </row>
    <row r="66" spans="1:8" x14ac:dyDescent="0.3">
      <c r="A66">
        <v>1.1685072812149132E-3</v>
      </c>
      <c r="B66" t="s">
        <v>57</v>
      </c>
      <c r="C66" t="s">
        <v>500</v>
      </c>
      <c r="D66" t="s">
        <v>498</v>
      </c>
      <c r="E66" t="s">
        <v>500</v>
      </c>
      <c r="F66" t="s">
        <v>13</v>
      </c>
      <c r="G66" t="s">
        <v>525</v>
      </c>
      <c r="H66" t="s">
        <v>619</v>
      </c>
    </row>
    <row r="67" spans="1:8" x14ac:dyDescent="0.3">
      <c r="A67">
        <v>7.0110436872894798E-5</v>
      </c>
      <c r="B67" t="s">
        <v>57</v>
      </c>
      <c r="C67" t="s">
        <v>511</v>
      </c>
      <c r="D67" t="s">
        <v>498</v>
      </c>
      <c r="E67" t="s">
        <v>511</v>
      </c>
      <c r="F67" t="s">
        <v>13</v>
      </c>
      <c r="G67" t="s">
        <v>525</v>
      </c>
      <c r="H67" t="s">
        <v>619</v>
      </c>
    </row>
    <row r="68" spans="1:8" x14ac:dyDescent="0.3">
      <c r="A68">
        <f>$A$2*'[1]PV prod EU'!I27</f>
        <v>3.0062064526907643E-4</v>
      </c>
      <c r="B68" t="s">
        <v>314</v>
      </c>
      <c r="C68" t="s">
        <v>620</v>
      </c>
      <c r="D68" t="s">
        <v>2</v>
      </c>
      <c r="E68" s="2" t="s">
        <v>455</v>
      </c>
      <c r="F68" t="s">
        <v>13</v>
      </c>
      <c r="G68" t="s">
        <v>525</v>
      </c>
      <c r="H68" t="s">
        <v>621</v>
      </c>
    </row>
    <row r="69" spans="1:8" x14ac:dyDescent="0.3">
      <c r="A69">
        <f>$A$2*'[1]PV prod EU'!I28</f>
        <v>4.0076010059166548E-4</v>
      </c>
      <c r="B69" s="2" t="s">
        <v>314</v>
      </c>
      <c r="C69" t="s">
        <v>622</v>
      </c>
      <c r="D69" t="s">
        <v>2</v>
      </c>
      <c r="E69" s="2" t="s">
        <v>409</v>
      </c>
      <c r="F69" t="s">
        <v>13</v>
      </c>
      <c r="G69" t="s">
        <v>525</v>
      </c>
      <c r="H69" t="s">
        <v>621</v>
      </c>
    </row>
    <row r="70" spans="1:8" x14ac:dyDescent="0.3">
      <c r="A70">
        <f>$A$2*'[1]PV prod EU'!I29</f>
        <v>0</v>
      </c>
      <c r="B70" s="2" t="s">
        <v>314</v>
      </c>
      <c r="C70" t="s">
        <v>623</v>
      </c>
      <c r="D70" t="s">
        <v>2</v>
      </c>
      <c r="E70" s="2" t="s">
        <v>443</v>
      </c>
      <c r="F70" t="s">
        <v>13</v>
      </c>
      <c r="G70" t="s">
        <v>525</v>
      </c>
      <c r="H70" t="s">
        <v>621</v>
      </c>
    </row>
    <row r="71" spans="1:8" x14ac:dyDescent="0.3">
      <c r="A71">
        <f>A2</f>
        <v>50.149466825925401</v>
      </c>
      <c r="B71" s="2" t="s">
        <v>16</v>
      </c>
      <c r="C71" t="s">
        <v>624</v>
      </c>
      <c r="D71" t="s">
        <v>2</v>
      </c>
      <c r="E71" s="2" t="s">
        <v>765</v>
      </c>
      <c r="F71" t="s">
        <v>13</v>
      </c>
      <c r="G71" t="s">
        <v>525</v>
      </c>
      <c r="H71" s="11" t="s">
        <v>596</v>
      </c>
    </row>
    <row r="72" spans="1:8" x14ac:dyDescent="0.3">
      <c r="A72">
        <v>0</v>
      </c>
      <c r="B72" t="s">
        <v>312</v>
      </c>
      <c r="C72" t="s">
        <v>483</v>
      </c>
      <c r="D72" t="s">
        <v>2</v>
      </c>
      <c r="E72" t="s">
        <v>483</v>
      </c>
      <c r="F72" t="s">
        <v>13</v>
      </c>
      <c r="G72" t="s">
        <v>525</v>
      </c>
    </row>
    <row r="73" spans="1:8" x14ac:dyDescent="0.3">
      <c r="A73">
        <v>0</v>
      </c>
      <c r="B73" t="s">
        <v>105</v>
      </c>
      <c r="C73" t="s">
        <v>125</v>
      </c>
      <c r="D73" t="s">
        <v>2</v>
      </c>
      <c r="E73" t="s">
        <v>125</v>
      </c>
      <c r="F73" t="s">
        <v>13</v>
      </c>
      <c r="G73" t="s">
        <v>525</v>
      </c>
    </row>
    <row r="74" spans="1:8" x14ac:dyDescent="0.3">
      <c r="A74">
        <v>0</v>
      </c>
      <c r="B74" t="s">
        <v>319</v>
      </c>
      <c r="C74" t="s">
        <v>461</v>
      </c>
      <c r="D74" t="s">
        <v>2</v>
      </c>
      <c r="E74" t="s">
        <v>461</v>
      </c>
      <c r="F74" t="s">
        <v>13</v>
      </c>
      <c r="G74" t="s">
        <v>525</v>
      </c>
    </row>
    <row r="75" spans="1:8" x14ac:dyDescent="0.3">
      <c r="A75">
        <v>0</v>
      </c>
      <c r="B75" t="s">
        <v>314</v>
      </c>
      <c r="C75" t="s">
        <v>395</v>
      </c>
      <c r="D75" t="s">
        <v>2</v>
      </c>
      <c r="E75" t="s">
        <v>395</v>
      </c>
      <c r="F75" t="s">
        <v>13</v>
      </c>
      <c r="G75" t="s">
        <v>525</v>
      </c>
    </row>
    <row r="76" spans="1:8" x14ac:dyDescent="0.3">
      <c r="A76">
        <v>0</v>
      </c>
      <c r="B76" t="s">
        <v>312</v>
      </c>
      <c r="C76" t="s">
        <v>399</v>
      </c>
      <c r="D76" t="s">
        <v>2</v>
      </c>
      <c r="E76" t="s">
        <v>399</v>
      </c>
      <c r="F76" t="s">
        <v>13</v>
      </c>
      <c r="G76" t="s">
        <v>525</v>
      </c>
    </row>
    <row r="77" spans="1:8" x14ac:dyDescent="0.3">
      <c r="A77">
        <v>0</v>
      </c>
      <c r="B77" t="s">
        <v>314</v>
      </c>
      <c r="C77" t="s">
        <v>432</v>
      </c>
      <c r="D77" t="s">
        <v>2</v>
      </c>
      <c r="E77" t="s">
        <v>432</v>
      </c>
      <c r="F77" t="s">
        <v>13</v>
      </c>
      <c r="G77" t="s">
        <v>525</v>
      </c>
    </row>
    <row r="78" spans="1:8" x14ac:dyDescent="0.3">
      <c r="A78">
        <v>0</v>
      </c>
      <c r="B78" t="s">
        <v>312</v>
      </c>
      <c r="C78" t="s">
        <v>325</v>
      </c>
      <c r="D78" t="s">
        <v>2</v>
      </c>
      <c r="E78" t="s">
        <v>325</v>
      </c>
      <c r="F78" t="s">
        <v>13</v>
      </c>
      <c r="G78" t="s">
        <v>525</v>
      </c>
    </row>
    <row r="79" spans="1:8" x14ac:dyDescent="0.3">
      <c r="A79">
        <v>0</v>
      </c>
      <c r="B79" t="s">
        <v>314</v>
      </c>
      <c r="C79" t="s">
        <v>372</v>
      </c>
      <c r="D79" t="s">
        <v>2</v>
      </c>
      <c r="E79" t="s">
        <v>372</v>
      </c>
      <c r="F79" t="s">
        <v>13</v>
      </c>
      <c r="G79" t="s">
        <v>525</v>
      </c>
    </row>
    <row r="80" spans="1:8" x14ac:dyDescent="0.3">
      <c r="A80">
        <v>0</v>
      </c>
      <c r="B80" t="s">
        <v>314</v>
      </c>
      <c r="C80" t="s">
        <v>260</v>
      </c>
      <c r="D80" t="s">
        <v>2</v>
      </c>
      <c r="E80" t="s">
        <v>260</v>
      </c>
      <c r="F80" t="s">
        <v>13</v>
      </c>
      <c r="G80" t="s">
        <v>525</v>
      </c>
    </row>
    <row r="81" spans="1:7" x14ac:dyDescent="0.3">
      <c r="A81">
        <v>0</v>
      </c>
      <c r="B81" t="s">
        <v>312</v>
      </c>
      <c r="C81" t="s">
        <v>330</v>
      </c>
      <c r="D81" t="s">
        <v>2</v>
      </c>
      <c r="E81" t="s">
        <v>330</v>
      </c>
      <c r="F81" t="s">
        <v>13</v>
      </c>
      <c r="G81" t="s">
        <v>525</v>
      </c>
    </row>
    <row r="82" spans="1:7" x14ac:dyDescent="0.3">
      <c r="A82">
        <v>0</v>
      </c>
      <c r="B82" t="s">
        <v>105</v>
      </c>
      <c r="C82" t="s">
        <v>401</v>
      </c>
      <c r="D82" t="s">
        <v>2</v>
      </c>
      <c r="E82" t="s">
        <v>401</v>
      </c>
      <c r="F82" t="s">
        <v>13</v>
      </c>
      <c r="G82" t="s">
        <v>525</v>
      </c>
    </row>
    <row r="83" spans="1:7" x14ac:dyDescent="0.3">
      <c r="A83">
        <v>0</v>
      </c>
      <c r="B83" t="s">
        <v>312</v>
      </c>
      <c r="C83" t="s">
        <v>416</v>
      </c>
      <c r="D83" t="s">
        <v>2</v>
      </c>
      <c r="E83" t="s">
        <v>416</v>
      </c>
      <c r="F83" t="s">
        <v>13</v>
      </c>
      <c r="G83" t="s">
        <v>525</v>
      </c>
    </row>
    <row r="84" spans="1:7" x14ac:dyDescent="0.3">
      <c r="A84">
        <v>0</v>
      </c>
      <c r="B84" t="s">
        <v>319</v>
      </c>
      <c r="C84" t="s">
        <v>375</v>
      </c>
      <c r="D84" t="s">
        <v>2</v>
      </c>
      <c r="E84" t="s">
        <v>375</v>
      </c>
      <c r="F84" t="s">
        <v>13</v>
      </c>
      <c r="G84" t="s">
        <v>525</v>
      </c>
    </row>
    <row r="85" spans="1:7" x14ac:dyDescent="0.3">
      <c r="A85">
        <v>0</v>
      </c>
      <c r="B85" t="s">
        <v>312</v>
      </c>
      <c r="C85" t="s">
        <v>333</v>
      </c>
      <c r="D85" t="s">
        <v>2</v>
      </c>
      <c r="E85" t="s">
        <v>333</v>
      </c>
      <c r="F85" t="s">
        <v>13</v>
      </c>
      <c r="G85" t="s">
        <v>525</v>
      </c>
    </row>
    <row r="86" spans="1:7" x14ac:dyDescent="0.3">
      <c r="A86">
        <v>0</v>
      </c>
      <c r="B86" t="s">
        <v>57</v>
      </c>
      <c r="C86" t="s">
        <v>118</v>
      </c>
      <c r="D86" t="s">
        <v>2</v>
      </c>
      <c r="E86" t="s">
        <v>118</v>
      </c>
      <c r="F86" t="s">
        <v>13</v>
      </c>
      <c r="G86" t="s">
        <v>525</v>
      </c>
    </row>
    <row r="87" spans="1:7" x14ac:dyDescent="0.3">
      <c r="A87">
        <v>0</v>
      </c>
      <c r="B87" t="s">
        <v>312</v>
      </c>
      <c r="C87" t="s">
        <v>406</v>
      </c>
      <c r="D87" t="s">
        <v>2</v>
      </c>
      <c r="E87" t="s">
        <v>406</v>
      </c>
      <c r="F87" t="s">
        <v>13</v>
      </c>
      <c r="G87" t="s">
        <v>525</v>
      </c>
    </row>
    <row r="88" spans="1:7" x14ac:dyDescent="0.3">
      <c r="A88">
        <v>0</v>
      </c>
      <c r="B88" t="s">
        <v>312</v>
      </c>
      <c r="C88" t="s">
        <v>315</v>
      </c>
      <c r="D88" t="s">
        <v>2</v>
      </c>
      <c r="E88" t="s">
        <v>315</v>
      </c>
      <c r="F88" t="s">
        <v>13</v>
      </c>
      <c r="G88" t="s">
        <v>525</v>
      </c>
    </row>
    <row r="89" spans="1:7" x14ac:dyDescent="0.3">
      <c r="A89">
        <v>0</v>
      </c>
      <c r="B89" t="s">
        <v>312</v>
      </c>
      <c r="C89" t="s">
        <v>358</v>
      </c>
      <c r="D89" t="s">
        <v>2</v>
      </c>
      <c r="E89" t="s">
        <v>358</v>
      </c>
      <c r="F89" t="s">
        <v>13</v>
      </c>
      <c r="G89" t="s">
        <v>525</v>
      </c>
    </row>
    <row r="90" spans="1:7" x14ac:dyDescent="0.3">
      <c r="A90">
        <v>0</v>
      </c>
      <c r="B90" t="s">
        <v>314</v>
      </c>
      <c r="C90" t="s">
        <v>444</v>
      </c>
      <c r="D90" t="s">
        <v>2</v>
      </c>
      <c r="E90" t="s">
        <v>444</v>
      </c>
      <c r="F90" t="s">
        <v>13</v>
      </c>
      <c r="G90" t="s">
        <v>525</v>
      </c>
    </row>
    <row r="91" spans="1:7" x14ac:dyDescent="0.3">
      <c r="A91">
        <v>0</v>
      </c>
      <c r="B91" t="s">
        <v>312</v>
      </c>
      <c r="C91" t="s">
        <v>439</v>
      </c>
      <c r="D91" t="s">
        <v>2</v>
      </c>
      <c r="E91" t="s">
        <v>439</v>
      </c>
      <c r="F91" t="s">
        <v>13</v>
      </c>
      <c r="G91" t="s">
        <v>525</v>
      </c>
    </row>
    <row r="92" spans="1:7" x14ac:dyDescent="0.3">
      <c r="A92">
        <v>0</v>
      </c>
      <c r="B92" t="s">
        <v>312</v>
      </c>
      <c r="C92" t="s">
        <v>381</v>
      </c>
      <c r="D92" t="s">
        <v>2</v>
      </c>
      <c r="E92" t="s">
        <v>381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418</v>
      </c>
      <c r="D93" t="s">
        <v>2</v>
      </c>
      <c r="E93" t="s">
        <v>418</v>
      </c>
      <c r="F93" t="s">
        <v>13</v>
      </c>
      <c r="G93" t="s">
        <v>525</v>
      </c>
    </row>
    <row r="94" spans="1:7" x14ac:dyDescent="0.3">
      <c r="A94">
        <v>0</v>
      </c>
      <c r="B94" t="s">
        <v>314</v>
      </c>
      <c r="C94" t="s">
        <v>465</v>
      </c>
      <c r="D94" t="s">
        <v>2</v>
      </c>
      <c r="E94" t="s">
        <v>465</v>
      </c>
      <c r="F94" t="s">
        <v>13</v>
      </c>
      <c r="G94" t="s">
        <v>525</v>
      </c>
    </row>
    <row r="95" spans="1:7" x14ac:dyDescent="0.3">
      <c r="A95">
        <v>0</v>
      </c>
      <c r="B95" t="s">
        <v>105</v>
      </c>
      <c r="C95" t="s">
        <v>103</v>
      </c>
      <c r="D95" t="s">
        <v>2</v>
      </c>
      <c r="E95" t="s">
        <v>103</v>
      </c>
      <c r="F95" t="s">
        <v>13</v>
      </c>
      <c r="G95" t="s">
        <v>525</v>
      </c>
    </row>
    <row r="96" spans="1:7" x14ac:dyDescent="0.3">
      <c r="A96">
        <v>0</v>
      </c>
      <c r="B96" t="s">
        <v>312</v>
      </c>
      <c r="C96" t="s">
        <v>320</v>
      </c>
      <c r="D96" t="s">
        <v>2</v>
      </c>
      <c r="E96" t="s">
        <v>320</v>
      </c>
      <c r="F96" t="s">
        <v>13</v>
      </c>
      <c r="G96" t="s">
        <v>525</v>
      </c>
    </row>
    <row r="97" spans="1:7" x14ac:dyDescent="0.3">
      <c r="A97">
        <v>0</v>
      </c>
      <c r="B97" t="s">
        <v>312</v>
      </c>
      <c r="C97" t="s">
        <v>334</v>
      </c>
      <c r="D97" t="s">
        <v>2</v>
      </c>
      <c r="E97" t="s">
        <v>334</v>
      </c>
      <c r="F97" t="s">
        <v>13</v>
      </c>
      <c r="G97" t="s">
        <v>525</v>
      </c>
    </row>
    <row r="98" spans="1:7" x14ac:dyDescent="0.3">
      <c r="A98">
        <v>0</v>
      </c>
      <c r="B98" t="s">
        <v>312</v>
      </c>
      <c r="C98" t="s">
        <v>435</v>
      </c>
      <c r="D98" t="s">
        <v>2</v>
      </c>
      <c r="E98" t="s">
        <v>435</v>
      </c>
      <c r="F98" t="s">
        <v>13</v>
      </c>
      <c r="G98" t="s">
        <v>525</v>
      </c>
    </row>
    <row r="99" spans="1:7" x14ac:dyDescent="0.3">
      <c r="A99">
        <v>0</v>
      </c>
      <c r="B99" t="s">
        <v>319</v>
      </c>
      <c r="C99" t="s">
        <v>456</v>
      </c>
      <c r="D99" t="s">
        <v>2</v>
      </c>
      <c r="E99" t="s">
        <v>456</v>
      </c>
      <c r="F99" t="s">
        <v>13</v>
      </c>
      <c r="G99" t="s">
        <v>525</v>
      </c>
    </row>
    <row r="100" spans="1:7" x14ac:dyDescent="0.3">
      <c r="A100">
        <v>0</v>
      </c>
      <c r="B100" t="s">
        <v>312</v>
      </c>
      <c r="C100" t="s">
        <v>474</v>
      </c>
      <c r="D100" t="s">
        <v>2</v>
      </c>
      <c r="E100" t="s">
        <v>474</v>
      </c>
      <c r="F100" t="s">
        <v>13</v>
      </c>
      <c r="G100" t="s">
        <v>525</v>
      </c>
    </row>
    <row r="101" spans="1:7" x14ac:dyDescent="0.3">
      <c r="A101">
        <v>0</v>
      </c>
      <c r="B101" t="s">
        <v>319</v>
      </c>
      <c r="C101" t="s">
        <v>318</v>
      </c>
      <c r="D101" t="s">
        <v>2</v>
      </c>
      <c r="E101" t="s">
        <v>318</v>
      </c>
      <c r="F101" t="s">
        <v>13</v>
      </c>
      <c r="G101" t="s">
        <v>525</v>
      </c>
    </row>
    <row r="102" spans="1:7" x14ac:dyDescent="0.3">
      <c r="A102">
        <v>0</v>
      </c>
      <c r="B102" t="s">
        <v>314</v>
      </c>
      <c r="C102" t="s">
        <v>475</v>
      </c>
      <c r="D102" t="s">
        <v>2</v>
      </c>
      <c r="E102" t="s">
        <v>475</v>
      </c>
      <c r="F102" t="s">
        <v>13</v>
      </c>
      <c r="G102" t="s">
        <v>525</v>
      </c>
    </row>
    <row r="103" spans="1:7" x14ac:dyDescent="0.3">
      <c r="A103">
        <v>0</v>
      </c>
      <c r="B103" t="s">
        <v>314</v>
      </c>
      <c r="C103" t="s">
        <v>449</v>
      </c>
      <c r="D103" t="s">
        <v>2</v>
      </c>
      <c r="E103" t="s">
        <v>449</v>
      </c>
      <c r="F103" t="s">
        <v>13</v>
      </c>
      <c r="G103" t="s">
        <v>525</v>
      </c>
    </row>
    <row r="104" spans="1:7" x14ac:dyDescent="0.3">
      <c r="A104">
        <v>0</v>
      </c>
      <c r="B104" t="s">
        <v>314</v>
      </c>
      <c r="C104" t="s">
        <v>176</v>
      </c>
      <c r="D104" t="s">
        <v>2</v>
      </c>
      <c r="E104" t="s">
        <v>176</v>
      </c>
      <c r="F104" t="s">
        <v>13</v>
      </c>
      <c r="G104" t="s">
        <v>525</v>
      </c>
    </row>
    <row r="105" spans="1:7" x14ac:dyDescent="0.3">
      <c r="A105">
        <v>0</v>
      </c>
      <c r="B105" t="s">
        <v>312</v>
      </c>
      <c r="C105" t="s">
        <v>388</v>
      </c>
      <c r="D105" t="s">
        <v>2</v>
      </c>
      <c r="E105" t="s">
        <v>388</v>
      </c>
      <c r="F105" t="s">
        <v>13</v>
      </c>
      <c r="G105" t="s">
        <v>525</v>
      </c>
    </row>
    <row r="106" spans="1:7" x14ac:dyDescent="0.3">
      <c r="A106">
        <v>0</v>
      </c>
      <c r="B106" t="s">
        <v>319</v>
      </c>
      <c r="C106" t="s">
        <v>429</v>
      </c>
      <c r="D106" t="s">
        <v>2</v>
      </c>
      <c r="E106" t="s">
        <v>429</v>
      </c>
      <c r="F106" t="s">
        <v>13</v>
      </c>
      <c r="G106" t="s">
        <v>525</v>
      </c>
    </row>
    <row r="107" spans="1:7" x14ac:dyDescent="0.3">
      <c r="A107">
        <v>0</v>
      </c>
      <c r="B107" t="s">
        <v>312</v>
      </c>
      <c r="C107" t="s">
        <v>272</v>
      </c>
      <c r="D107" t="s">
        <v>2</v>
      </c>
      <c r="E107" t="s">
        <v>272</v>
      </c>
      <c r="F107" t="s">
        <v>13</v>
      </c>
      <c r="G107" t="s">
        <v>525</v>
      </c>
    </row>
    <row r="108" spans="1:7" x14ac:dyDescent="0.3">
      <c r="A108">
        <v>0</v>
      </c>
      <c r="B108" t="s">
        <v>312</v>
      </c>
      <c r="C108" t="s">
        <v>410</v>
      </c>
      <c r="D108" t="s">
        <v>2</v>
      </c>
      <c r="E108" t="s">
        <v>410</v>
      </c>
      <c r="F108" t="s">
        <v>13</v>
      </c>
      <c r="G108" t="s">
        <v>525</v>
      </c>
    </row>
    <row r="109" spans="1:7" x14ac:dyDescent="0.3">
      <c r="A109">
        <v>0</v>
      </c>
      <c r="B109" t="s">
        <v>319</v>
      </c>
      <c r="C109" t="s">
        <v>363</v>
      </c>
      <c r="D109" t="s">
        <v>2</v>
      </c>
      <c r="E109" t="s">
        <v>363</v>
      </c>
      <c r="F109" t="s">
        <v>13</v>
      </c>
      <c r="G109" t="s">
        <v>525</v>
      </c>
    </row>
    <row r="110" spans="1:7" x14ac:dyDescent="0.3">
      <c r="A110">
        <v>0</v>
      </c>
      <c r="B110" t="s">
        <v>312</v>
      </c>
      <c r="C110" t="s">
        <v>382</v>
      </c>
      <c r="D110" t="s">
        <v>2</v>
      </c>
      <c r="E110" t="s">
        <v>382</v>
      </c>
      <c r="F110" t="s">
        <v>13</v>
      </c>
      <c r="G110" t="s">
        <v>525</v>
      </c>
    </row>
    <row r="111" spans="1:7" x14ac:dyDescent="0.3">
      <c r="A111">
        <v>0</v>
      </c>
      <c r="B111" t="s">
        <v>312</v>
      </c>
      <c r="C111" t="s">
        <v>424</v>
      </c>
      <c r="D111" t="s">
        <v>2</v>
      </c>
      <c r="E111" t="s">
        <v>424</v>
      </c>
      <c r="F111" t="s">
        <v>13</v>
      </c>
      <c r="G111" t="s">
        <v>525</v>
      </c>
    </row>
    <row r="112" spans="1:7" x14ac:dyDescent="0.3">
      <c r="A112">
        <v>0</v>
      </c>
      <c r="B112" t="s">
        <v>314</v>
      </c>
      <c r="C112" t="s">
        <v>351</v>
      </c>
      <c r="D112" t="s">
        <v>2</v>
      </c>
      <c r="E112" t="s">
        <v>351</v>
      </c>
      <c r="F112" t="s">
        <v>13</v>
      </c>
      <c r="G112" t="s">
        <v>525</v>
      </c>
    </row>
    <row r="113" spans="1:7" x14ac:dyDescent="0.3">
      <c r="A113">
        <v>0</v>
      </c>
      <c r="B113" t="s">
        <v>312</v>
      </c>
      <c r="C113" t="s">
        <v>347</v>
      </c>
      <c r="D113" t="s">
        <v>2</v>
      </c>
      <c r="E113" t="s">
        <v>347</v>
      </c>
      <c r="F113" t="s">
        <v>13</v>
      </c>
      <c r="G113" t="s">
        <v>525</v>
      </c>
    </row>
    <row r="114" spans="1:7" x14ac:dyDescent="0.3">
      <c r="A114">
        <v>0</v>
      </c>
      <c r="B114" t="s">
        <v>314</v>
      </c>
      <c r="C114" t="s">
        <v>453</v>
      </c>
      <c r="D114" t="s">
        <v>2</v>
      </c>
      <c r="E114" t="s">
        <v>453</v>
      </c>
      <c r="F114" t="s">
        <v>13</v>
      </c>
      <c r="G114" t="s">
        <v>525</v>
      </c>
    </row>
    <row r="115" spans="1:7" x14ac:dyDescent="0.3">
      <c r="A115">
        <v>0</v>
      </c>
      <c r="B115" t="s">
        <v>319</v>
      </c>
      <c r="C115" t="s">
        <v>457</v>
      </c>
      <c r="D115" t="s">
        <v>2</v>
      </c>
      <c r="E115" t="s">
        <v>457</v>
      </c>
      <c r="F115" t="s">
        <v>13</v>
      </c>
      <c r="G115" t="s">
        <v>525</v>
      </c>
    </row>
    <row r="116" spans="1:7" x14ac:dyDescent="0.3">
      <c r="A116">
        <v>0</v>
      </c>
      <c r="B116" t="s">
        <v>312</v>
      </c>
      <c r="C116" t="s">
        <v>485</v>
      </c>
      <c r="D116" t="s">
        <v>2</v>
      </c>
      <c r="E116" t="s">
        <v>485</v>
      </c>
      <c r="F116" t="s">
        <v>13</v>
      </c>
      <c r="G116" t="s">
        <v>525</v>
      </c>
    </row>
    <row r="117" spans="1:7" x14ac:dyDescent="0.3">
      <c r="A117">
        <v>0</v>
      </c>
      <c r="B117" t="s">
        <v>312</v>
      </c>
      <c r="C117" t="s">
        <v>355</v>
      </c>
      <c r="D117" t="s">
        <v>2</v>
      </c>
      <c r="E117" t="s">
        <v>355</v>
      </c>
      <c r="F117" t="s">
        <v>13</v>
      </c>
      <c r="G117" t="s">
        <v>525</v>
      </c>
    </row>
    <row r="118" spans="1:7" x14ac:dyDescent="0.3">
      <c r="A118">
        <v>0</v>
      </c>
      <c r="B118" t="s">
        <v>312</v>
      </c>
      <c r="C118" t="s">
        <v>338</v>
      </c>
      <c r="D118" t="s">
        <v>2</v>
      </c>
      <c r="E118" t="s">
        <v>338</v>
      </c>
      <c r="F118" t="s">
        <v>13</v>
      </c>
      <c r="G118" t="s">
        <v>525</v>
      </c>
    </row>
    <row r="119" spans="1:7" x14ac:dyDescent="0.3">
      <c r="A119">
        <v>0</v>
      </c>
      <c r="B119" t="s">
        <v>312</v>
      </c>
      <c r="C119" t="s">
        <v>394</v>
      </c>
      <c r="D119" t="s">
        <v>2</v>
      </c>
      <c r="E119" t="s">
        <v>394</v>
      </c>
      <c r="F119" t="s">
        <v>13</v>
      </c>
      <c r="G119" t="s">
        <v>525</v>
      </c>
    </row>
    <row r="120" spans="1:7" x14ac:dyDescent="0.3">
      <c r="A120">
        <v>0</v>
      </c>
      <c r="B120" t="s">
        <v>312</v>
      </c>
      <c r="C120" t="s">
        <v>438</v>
      </c>
      <c r="D120" t="s">
        <v>2</v>
      </c>
      <c r="E120" t="s">
        <v>438</v>
      </c>
      <c r="F120" t="s">
        <v>13</v>
      </c>
      <c r="G120" t="s">
        <v>525</v>
      </c>
    </row>
    <row r="121" spans="1:7" x14ac:dyDescent="0.3">
      <c r="A121">
        <v>0</v>
      </c>
      <c r="B121" t="s">
        <v>312</v>
      </c>
      <c r="C121" t="s">
        <v>486</v>
      </c>
      <c r="D121" t="s">
        <v>2</v>
      </c>
      <c r="E121" t="s">
        <v>486</v>
      </c>
      <c r="F121" t="s">
        <v>13</v>
      </c>
      <c r="G121" t="s">
        <v>525</v>
      </c>
    </row>
    <row r="122" spans="1:7" x14ac:dyDescent="0.3">
      <c r="A122">
        <v>0</v>
      </c>
      <c r="B122" t="s">
        <v>319</v>
      </c>
      <c r="C122" t="s">
        <v>419</v>
      </c>
      <c r="D122" t="s">
        <v>2</v>
      </c>
      <c r="E122" t="s">
        <v>419</v>
      </c>
      <c r="F122" t="s">
        <v>13</v>
      </c>
      <c r="G122" t="s">
        <v>525</v>
      </c>
    </row>
    <row r="123" spans="1:7" x14ac:dyDescent="0.3">
      <c r="A123">
        <v>0</v>
      </c>
      <c r="B123" t="s">
        <v>57</v>
      </c>
      <c r="C123" t="s">
        <v>353</v>
      </c>
      <c r="D123" t="s">
        <v>2</v>
      </c>
      <c r="E123" t="s">
        <v>353</v>
      </c>
      <c r="F123" t="s">
        <v>13</v>
      </c>
      <c r="G123" t="s">
        <v>525</v>
      </c>
    </row>
    <row r="124" spans="1:7" x14ac:dyDescent="0.3">
      <c r="A124">
        <v>0</v>
      </c>
      <c r="B124" t="s">
        <v>319</v>
      </c>
      <c r="C124" t="s">
        <v>489</v>
      </c>
      <c r="D124" t="s">
        <v>2</v>
      </c>
      <c r="E124" t="s">
        <v>489</v>
      </c>
      <c r="F124" t="s">
        <v>13</v>
      </c>
      <c r="G124" t="s">
        <v>525</v>
      </c>
    </row>
    <row r="125" spans="1:7" x14ac:dyDescent="0.3">
      <c r="A125">
        <v>0</v>
      </c>
      <c r="B125" t="s">
        <v>312</v>
      </c>
      <c r="C125" t="s">
        <v>386</v>
      </c>
      <c r="D125" t="s">
        <v>2</v>
      </c>
      <c r="E125" t="s">
        <v>386</v>
      </c>
      <c r="F125" t="s">
        <v>13</v>
      </c>
      <c r="G125" t="s">
        <v>525</v>
      </c>
    </row>
    <row r="126" spans="1:7" x14ac:dyDescent="0.3">
      <c r="A126">
        <v>0</v>
      </c>
      <c r="B126" t="s">
        <v>319</v>
      </c>
      <c r="C126" t="s">
        <v>389</v>
      </c>
      <c r="D126" t="s">
        <v>2</v>
      </c>
      <c r="E126" t="s">
        <v>389</v>
      </c>
      <c r="F126" t="s">
        <v>13</v>
      </c>
      <c r="G126" t="s">
        <v>525</v>
      </c>
    </row>
    <row r="127" spans="1:7" x14ac:dyDescent="0.3">
      <c r="A127">
        <v>0</v>
      </c>
      <c r="B127" t="s">
        <v>312</v>
      </c>
      <c r="C127" t="s">
        <v>340</v>
      </c>
      <c r="D127" t="s">
        <v>2</v>
      </c>
      <c r="E127" t="s">
        <v>340</v>
      </c>
      <c r="F127" t="s">
        <v>13</v>
      </c>
      <c r="G127" t="s">
        <v>525</v>
      </c>
    </row>
    <row r="128" spans="1:7" x14ac:dyDescent="0.3">
      <c r="A128">
        <v>0</v>
      </c>
      <c r="B128" t="s">
        <v>312</v>
      </c>
      <c r="C128" t="s">
        <v>368</v>
      </c>
      <c r="D128" t="s">
        <v>2</v>
      </c>
      <c r="E128" t="s">
        <v>368</v>
      </c>
      <c r="F128" t="s">
        <v>13</v>
      </c>
      <c r="G128" t="s">
        <v>525</v>
      </c>
    </row>
    <row r="129" spans="1:7" x14ac:dyDescent="0.3">
      <c r="A129">
        <v>0</v>
      </c>
      <c r="B129" t="s">
        <v>312</v>
      </c>
      <c r="C129" t="s">
        <v>328</v>
      </c>
      <c r="D129" t="s">
        <v>2</v>
      </c>
      <c r="E129" t="s">
        <v>328</v>
      </c>
      <c r="F129" t="s">
        <v>13</v>
      </c>
      <c r="G129" t="s">
        <v>525</v>
      </c>
    </row>
    <row r="130" spans="1:7" x14ac:dyDescent="0.3">
      <c r="A130">
        <v>0</v>
      </c>
      <c r="B130" t="s">
        <v>312</v>
      </c>
      <c r="C130" t="s">
        <v>479</v>
      </c>
      <c r="D130" t="s">
        <v>2</v>
      </c>
      <c r="E130" t="s">
        <v>479</v>
      </c>
      <c r="F130" t="s">
        <v>13</v>
      </c>
      <c r="G130" t="s">
        <v>525</v>
      </c>
    </row>
    <row r="131" spans="1:7" x14ac:dyDescent="0.3">
      <c r="A131">
        <v>0</v>
      </c>
      <c r="B131" t="s">
        <v>57</v>
      </c>
      <c r="C131" t="s">
        <v>116</v>
      </c>
      <c r="D131" t="s">
        <v>2</v>
      </c>
      <c r="E131" t="s">
        <v>116</v>
      </c>
      <c r="F131" t="s">
        <v>13</v>
      </c>
      <c r="G131" t="s">
        <v>525</v>
      </c>
    </row>
    <row r="132" spans="1:7" x14ac:dyDescent="0.3">
      <c r="A132">
        <v>0</v>
      </c>
      <c r="B132" t="s">
        <v>312</v>
      </c>
      <c r="C132" t="s">
        <v>352</v>
      </c>
      <c r="D132" t="s">
        <v>2</v>
      </c>
      <c r="E132" t="s">
        <v>352</v>
      </c>
      <c r="F132" t="s">
        <v>13</v>
      </c>
      <c r="G132" t="s">
        <v>525</v>
      </c>
    </row>
    <row r="133" spans="1:7" x14ac:dyDescent="0.3">
      <c r="A133">
        <v>0</v>
      </c>
      <c r="B133" t="s">
        <v>312</v>
      </c>
      <c r="C133" t="s">
        <v>417</v>
      </c>
      <c r="D133" t="s">
        <v>2</v>
      </c>
      <c r="E133" t="s">
        <v>417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447</v>
      </c>
      <c r="D134" t="s">
        <v>2</v>
      </c>
      <c r="E134" t="s">
        <v>447</v>
      </c>
      <c r="F134" t="s">
        <v>13</v>
      </c>
      <c r="G134" t="s">
        <v>525</v>
      </c>
    </row>
    <row r="135" spans="1:7" x14ac:dyDescent="0.3">
      <c r="A135">
        <v>0</v>
      </c>
      <c r="B135" t="s">
        <v>319</v>
      </c>
      <c r="C135" t="s">
        <v>329</v>
      </c>
      <c r="D135" t="s">
        <v>2</v>
      </c>
      <c r="E135" t="s">
        <v>329</v>
      </c>
      <c r="F135" t="s">
        <v>13</v>
      </c>
      <c r="G135" t="s">
        <v>525</v>
      </c>
    </row>
    <row r="136" spans="1:7" x14ac:dyDescent="0.3">
      <c r="A136">
        <v>0</v>
      </c>
      <c r="B136" t="s">
        <v>312</v>
      </c>
      <c r="C136" t="s">
        <v>252</v>
      </c>
      <c r="D136" t="s">
        <v>2</v>
      </c>
      <c r="E136" t="s">
        <v>252</v>
      </c>
      <c r="F136" t="s">
        <v>13</v>
      </c>
      <c r="G136" t="s">
        <v>525</v>
      </c>
    </row>
    <row r="137" spans="1:7" x14ac:dyDescent="0.3">
      <c r="A137">
        <v>0</v>
      </c>
      <c r="B137" t="s">
        <v>312</v>
      </c>
      <c r="C137" t="s">
        <v>317</v>
      </c>
      <c r="D137" t="s">
        <v>2</v>
      </c>
      <c r="E137" t="s">
        <v>317</v>
      </c>
      <c r="F137" t="s">
        <v>13</v>
      </c>
      <c r="G137" t="s">
        <v>525</v>
      </c>
    </row>
    <row r="138" spans="1:7" x14ac:dyDescent="0.3">
      <c r="A138">
        <v>0</v>
      </c>
      <c r="B138" t="s">
        <v>312</v>
      </c>
      <c r="C138" t="s">
        <v>436</v>
      </c>
      <c r="D138" t="s">
        <v>2</v>
      </c>
      <c r="E138" t="s">
        <v>436</v>
      </c>
      <c r="F138" t="s">
        <v>13</v>
      </c>
      <c r="G138" t="s">
        <v>525</v>
      </c>
    </row>
    <row r="139" spans="1:7" x14ac:dyDescent="0.3">
      <c r="A139">
        <v>0</v>
      </c>
      <c r="B139" t="s">
        <v>319</v>
      </c>
      <c r="C139" t="s">
        <v>490</v>
      </c>
      <c r="D139" t="s">
        <v>2</v>
      </c>
      <c r="E139" t="s">
        <v>490</v>
      </c>
      <c r="F139" t="s">
        <v>13</v>
      </c>
      <c r="G139" t="s">
        <v>525</v>
      </c>
    </row>
    <row r="140" spans="1:7" x14ac:dyDescent="0.3">
      <c r="A140">
        <v>0</v>
      </c>
      <c r="B140" t="s">
        <v>312</v>
      </c>
      <c r="C140" t="s">
        <v>391</v>
      </c>
      <c r="D140" t="s">
        <v>2</v>
      </c>
      <c r="E140" t="s">
        <v>391</v>
      </c>
      <c r="F140" t="s">
        <v>13</v>
      </c>
      <c r="G140" t="s">
        <v>525</v>
      </c>
    </row>
    <row r="141" spans="1:7" x14ac:dyDescent="0.3">
      <c r="A141">
        <v>0</v>
      </c>
      <c r="B141" t="s">
        <v>312</v>
      </c>
      <c r="C141" t="s">
        <v>235</v>
      </c>
      <c r="D141" t="s">
        <v>2</v>
      </c>
      <c r="E141" t="s">
        <v>235</v>
      </c>
      <c r="F141" t="s">
        <v>13</v>
      </c>
      <c r="G141" t="s">
        <v>525</v>
      </c>
    </row>
    <row r="142" spans="1:7" x14ac:dyDescent="0.3">
      <c r="A142">
        <v>0</v>
      </c>
      <c r="B142" t="s">
        <v>312</v>
      </c>
      <c r="C142" t="s">
        <v>493</v>
      </c>
      <c r="D142" t="s">
        <v>2</v>
      </c>
      <c r="E142" t="s">
        <v>493</v>
      </c>
      <c r="F142" t="s">
        <v>13</v>
      </c>
      <c r="G142" t="s">
        <v>525</v>
      </c>
    </row>
    <row r="143" spans="1:7" x14ac:dyDescent="0.3">
      <c r="A143">
        <v>0</v>
      </c>
      <c r="B143" t="s">
        <v>312</v>
      </c>
      <c r="C143" t="s">
        <v>335</v>
      </c>
      <c r="D143" t="s">
        <v>2</v>
      </c>
      <c r="E143" t="s">
        <v>335</v>
      </c>
      <c r="F143" t="s">
        <v>13</v>
      </c>
      <c r="G143" t="s">
        <v>525</v>
      </c>
    </row>
    <row r="144" spans="1:7" x14ac:dyDescent="0.3">
      <c r="A144">
        <v>0</v>
      </c>
      <c r="B144" t="s">
        <v>312</v>
      </c>
      <c r="C144" t="s">
        <v>354</v>
      </c>
      <c r="D144" t="s">
        <v>2</v>
      </c>
      <c r="E144" t="s">
        <v>354</v>
      </c>
      <c r="F144" t="s">
        <v>13</v>
      </c>
      <c r="G144" t="s">
        <v>525</v>
      </c>
    </row>
    <row r="145" spans="1:7" x14ac:dyDescent="0.3">
      <c r="A145">
        <v>0</v>
      </c>
      <c r="B145" t="s">
        <v>319</v>
      </c>
      <c r="C145" t="s">
        <v>360</v>
      </c>
      <c r="D145" t="s">
        <v>2</v>
      </c>
      <c r="E145" t="s">
        <v>360</v>
      </c>
      <c r="F145" t="s">
        <v>13</v>
      </c>
      <c r="G145" t="s">
        <v>525</v>
      </c>
    </row>
    <row r="146" spans="1:7" x14ac:dyDescent="0.3">
      <c r="A146">
        <v>0</v>
      </c>
      <c r="B146" t="s">
        <v>314</v>
      </c>
      <c r="C146" t="s">
        <v>356</v>
      </c>
      <c r="D146" t="s">
        <v>2</v>
      </c>
      <c r="E146" t="s">
        <v>356</v>
      </c>
      <c r="F146" t="s">
        <v>13</v>
      </c>
      <c r="G146" t="s">
        <v>525</v>
      </c>
    </row>
    <row r="147" spans="1:7" x14ac:dyDescent="0.3">
      <c r="A147">
        <v>0</v>
      </c>
      <c r="B147" t="s">
        <v>312</v>
      </c>
      <c r="C147" t="s">
        <v>405</v>
      </c>
      <c r="D147" t="s">
        <v>2</v>
      </c>
      <c r="E147" t="s">
        <v>405</v>
      </c>
      <c r="F147" t="s">
        <v>13</v>
      </c>
      <c r="G147" t="s">
        <v>525</v>
      </c>
    </row>
    <row r="148" spans="1:7" x14ac:dyDescent="0.3">
      <c r="A148">
        <v>0</v>
      </c>
      <c r="B148" t="s">
        <v>312</v>
      </c>
      <c r="C148" t="s">
        <v>471</v>
      </c>
      <c r="D148" t="s">
        <v>2</v>
      </c>
      <c r="E148" t="s">
        <v>471</v>
      </c>
      <c r="F148" t="s">
        <v>13</v>
      </c>
      <c r="G148" t="s">
        <v>525</v>
      </c>
    </row>
    <row r="149" spans="1:7" x14ac:dyDescent="0.3">
      <c r="A149">
        <v>0</v>
      </c>
      <c r="B149" t="s">
        <v>319</v>
      </c>
      <c r="C149" t="s">
        <v>421</v>
      </c>
      <c r="D149" t="s">
        <v>2</v>
      </c>
      <c r="E149" t="s">
        <v>421</v>
      </c>
      <c r="F149" t="s">
        <v>13</v>
      </c>
      <c r="G149" t="s">
        <v>525</v>
      </c>
    </row>
    <row r="150" spans="1:7" x14ac:dyDescent="0.3">
      <c r="A150">
        <v>0</v>
      </c>
      <c r="B150" t="s">
        <v>312</v>
      </c>
      <c r="C150" t="s">
        <v>321</v>
      </c>
      <c r="D150" t="s">
        <v>2</v>
      </c>
      <c r="E150" t="s">
        <v>321</v>
      </c>
      <c r="F150" t="s">
        <v>13</v>
      </c>
      <c r="G150" t="s">
        <v>525</v>
      </c>
    </row>
    <row r="151" spans="1:7" x14ac:dyDescent="0.3">
      <c r="A151">
        <v>0</v>
      </c>
      <c r="B151" t="s">
        <v>105</v>
      </c>
      <c r="C151" t="s">
        <v>113</v>
      </c>
      <c r="D151" t="s">
        <v>2</v>
      </c>
      <c r="E151" t="s">
        <v>113</v>
      </c>
      <c r="F151" t="s">
        <v>13</v>
      </c>
      <c r="G151" t="s">
        <v>525</v>
      </c>
    </row>
    <row r="152" spans="1:7" x14ac:dyDescent="0.3">
      <c r="A152">
        <v>0</v>
      </c>
      <c r="B152" t="s">
        <v>312</v>
      </c>
      <c r="C152" t="s">
        <v>348</v>
      </c>
      <c r="D152" t="s">
        <v>2</v>
      </c>
      <c r="E152" t="s">
        <v>348</v>
      </c>
      <c r="F152" t="s">
        <v>13</v>
      </c>
      <c r="G152" t="s">
        <v>525</v>
      </c>
    </row>
    <row r="153" spans="1:7" x14ac:dyDescent="0.3">
      <c r="A153">
        <v>0</v>
      </c>
      <c r="B153" t="s">
        <v>105</v>
      </c>
      <c r="C153" t="s">
        <v>469</v>
      </c>
      <c r="D153" t="s">
        <v>2</v>
      </c>
      <c r="E153" t="s">
        <v>469</v>
      </c>
      <c r="F153" t="s">
        <v>13</v>
      </c>
      <c r="G153" t="s">
        <v>525</v>
      </c>
    </row>
    <row r="154" spans="1:7" x14ac:dyDescent="0.3">
      <c r="A154">
        <v>0</v>
      </c>
      <c r="B154" t="s">
        <v>314</v>
      </c>
      <c r="C154" t="s">
        <v>481</v>
      </c>
      <c r="D154" t="s">
        <v>2</v>
      </c>
      <c r="E154" t="s">
        <v>481</v>
      </c>
      <c r="F154" t="s">
        <v>13</v>
      </c>
      <c r="G154" t="s">
        <v>525</v>
      </c>
    </row>
    <row r="155" spans="1:7" x14ac:dyDescent="0.3">
      <c r="A155">
        <v>0</v>
      </c>
      <c r="B155" t="s">
        <v>312</v>
      </c>
      <c r="C155" t="s">
        <v>398</v>
      </c>
      <c r="D155" t="s">
        <v>2</v>
      </c>
      <c r="E155" t="s">
        <v>398</v>
      </c>
      <c r="F155" t="s">
        <v>13</v>
      </c>
      <c r="G155" t="s">
        <v>525</v>
      </c>
    </row>
    <row r="156" spans="1:7" x14ac:dyDescent="0.3">
      <c r="A156">
        <v>0</v>
      </c>
      <c r="B156" t="s">
        <v>314</v>
      </c>
      <c r="C156" t="s">
        <v>342</v>
      </c>
      <c r="D156" t="s">
        <v>2</v>
      </c>
      <c r="E156" t="s">
        <v>342</v>
      </c>
      <c r="F156" t="s">
        <v>13</v>
      </c>
      <c r="G156" t="s">
        <v>525</v>
      </c>
    </row>
    <row r="157" spans="1:7" x14ac:dyDescent="0.3">
      <c r="A157">
        <v>0</v>
      </c>
      <c r="B157" t="s">
        <v>312</v>
      </c>
      <c r="C157" t="s">
        <v>322</v>
      </c>
      <c r="D157" t="s">
        <v>2</v>
      </c>
      <c r="E157" t="s">
        <v>322</v>
      </c>
      <c r="F157" t="s">
        <v>13</v>
      </c>
      <c r="G157" t="s">
        <v>525</v>
      </c>
    </row>
    <row r="158" spans="1:7" x14ac:dyDescent="0.3">
      <c r="A158">
        <v>0</v>
      </c>
      <c r="B158" t="s">
        <v>314</v>
      </c>
      <c r="C158" t="s">
        <v>409</v>
      </c>
      <c r="D158" t="s">
        <v>2</v>
      </c>
      <c r="E158" t="s">
        <v>409</v>
      </c>
      <c r="F158" t="s">
        <v>13</v>
      </c>
      <c r="G158" t="s">
        <v>525</v>
      </c>
    </row>
    <row r="159" spans="1:7" x14ac:dyDescent="0.3">
      <c r="A159">
        <v>0</v>
      </c>
      <c r="B159" t="s">
        <v>314</v>
      </c>
      <c r="C159" t="s">
        <v>480</v>
      </c>
      <c r="D159" t="s">
        <v>2</v>
      </c>
      <c r="E159" t="s">
        <v>480</v>
      </c>
      <c r="F159" t="s">
        <v>13</v>
      </c>
      <c r="G159" t="s">
        <v>525</v>
      </c>
    </row>
    <row r="160" spans="1:7" x14ac:dyDescent="0.3">
      <c r="A160">
        <v>0</v>
      </c>
      <c r="B160" t="s">
        <v>105</v>
      </c>
      <c r="C160" t="s">
        <v>121</v>
      </c>
      <c r="D160" t="s">
        <v>2</v>
      </c>
      <c r="E160" t="s">
        <v>121</v>
      </c>
      <c r="F160" t="s">
        <v>13</v>
      </c>
      <c r="G160" t="s">
        <v>525</v>
      </c>
    </row>
    <row r="161" spans="1:7" x14ac:dyDescent="0.3">
      <c r="A161">
        <v>0</v>
      </c>
      <c r="B161" t="s">
        <v>312</v>
      </c>
      <c r="C161" t="s">
        <v>359</v>
      </c>
      <c r="D161" t="s">
        <v>2</v>
      </c>
      <c r="E161" t="s">
        <v>359</v>
      </c>
      <c r="F161" t="s">
        <v>13</v>
      </c>
      <c r="G161" t="s">
        <v>525</v>
      </c>
    </row>
    <row r="162" spans="1:7" x14ac:dyDescent="0.3">
      <c r="A162">
        <v>0</v>
      </c>
      <c r="B162" t="s">
        <v>319</v>
      </c>
      <c r="C162" t="s">
        <v>468</v>
      </c>
      <c r="D162" t="s">
        <v>2</v>
      </c>
      <c r="E162" t="s">
        <v>468</v>
      </c>
      <c r="F162" t="s">
        <v>13</v>
      </c>
      <c r="G162" t="s">
        <v>525</v>
      </c>
    </row>
    <row r="163" spans="1:7" x14ac:dyDescent="0.3">
      <c r="A163">
        <v>0</v>
      </c>
      <c r="B163" t="s">
        <v>319</v>
      </c>
      <c r="C163" t="s">
        <v>458</v>
      </c>
      <c r="D163" t="s">
        <v>2</v>
      </c>
      <c r="E163" t="s">
        <v>458</v>
      </c>
      <c r="F163" t="s">
        <v>13</v>
      </c>
      <c r="G163" t="s">
        <v>525</v>
      </c>
    </row>
    <row r="164" spans="1:7" x14ac:dyDescent="0.3">
      <c r="A164">
        <v>0</v>
      </c>
      <c r="B164" t="s">
        <v>312</v>
      </c>
      <c r="C164" t="s">
        <v>370</v>
      </c>
      <c r="D164" t="s">
        <v>2</v>
      </c>
      <c r="E164" t="s">
        <v>370</v>
      </c>
      <c r="F164" t="s">
        <v>13</v>
      </c>
      <c r="G164" t="s">
        <v>525</v>
      </c>
    </row>
    <row r="165" spans="1:7" x14ac:dyDescent="0.3">
      <c r="A165">
        <v>0</v>
      </c>
      <c r="B165" t="s">
        <v>57</v>
      </c>
      <c r="C165" t="s">
        <v>114</v>
      </c>
      <c r="D165" t="s">
        <v>2</v>
      </c>
      <c r="E165" t="s">
        <v>114</v>
      </c>
      <c r="F165" t="s">
        <v>13</v>
      </c>
      <c r="G165" t="s">
        <v>525</v>
      </c>
    </row>
    <row r="166" spans="1:7" x14ac:dyDescent="0.3">
      <c r="A166">
        <v>0</v>
      </c>
      <c r="B166" t="s">
        <v>319</v>
      </c>
      <c r="C166" t="s">
        <v>404</v>
      </c>
      <c r="D166" t="s">
        <v>2</v>
      </c>
      <c r="E166" t="s">
        <v>404</v>
      </c>
      <c r="F166" t="s">
        <v>13</v>
      </c>
      <c r="G166" t="s">
        <v>525</v>
      </c>
    </row>
    <row r="167" spans="1:7" x14ac:dyDescent="0.3">
      <c r="A167">
        <v>0</v>
      </c>
      <c r="B167" t="s">
        <v>312</v>
      </c>
      <c r="C167" t="s">
        <v>369</v>
      </c>
      <c r="D167" t="s">
        <v>2</v>
      </c>
      <c r="E167" t="s">
        <v>369</v>
      </c>
      <c r="F167" t="s">
        <v>13</v>
      </c>
      <c r="G167" t="s">
        <v>525</v>
      </c>
    </row>
    <row r="168" spans="1:7" x14ac:dyDescent="0.3">
      <c r="A168">
        <v>0</v>
      </c>
      <c r="B168" t="s">
        <v>57</v>
      </c>
      <c r="C168" t="s">
        <v>122</v>
      </c>
      <c r="D168" t="s">
        <v>2</v>
      </c>
      <c r="E168" t="s">
        <v>122</v>
      </c>
      <c r="F168" t="s">
        <v>13</v>
      </c>
      <c r="G168" t="s">
        <v>525</v>
      </c>
    </row>
    <row r="169" spans="1:7" x14ac:dyDescent="0.3">
      <c r="A169">
        <v>0</v>
      </c>
      <c r="B169" t="s">
        <v>319</v>
      </c>
      <c r="C169" t="s">
        <v>390</v>
      </c>
      <c r="D169" t="s">
        <v>2</v>
      </c>
      <c r="E169" t="s">
        <v>390</v>
      </c>
      <c r="F169" t="s">
        <v>13</v>
      </c>
      <c r="G169" t="s">
        <v>525</v>
      </c>
    </row>
    <row r="170" spans="1:7" x14ac:dyDescent="0.3">
      <c r="A170">
        <v>0</v>
      </c>
      <c r="B170" t="s">
        <v>312</v>
      </c>
      <c r="C170" t="s">
        <v>492</v>
      </c>
      <c r="D170" t="s">
        <v>2</v>
      </c>
      <c r="E170" t="s">
        <v>492</v>
      </c>
      <c r="F170" t="s">
        <v>13</v>
      </c>
      <c r="G170" t="s">
        <v>525</v>
      </c>
    </row>
    <row r="171" spans="1:7" x14ac:dyDescent="0.3">
      <c r="A171">
        <v>0</v>
      </c>
      <c r="B171" t="s">
        <v>312</v>
      </c>
      <c r="C171" t="s">
        <v>345</v>
      </c>
      <c r="D171" t="s">
        <v>2</v>
      </c>
      <c r="E171" t="s">
        <v>345</v>
      </c>
      <c r="F171" t="s">
        <v>13</v>
      </c>
      <c r="G171" t="s">
        <v>525</v>
      </c>
    </row>
    <row r="172" spans="1:7" x14ac:dyDescent="0.3">
      <c r="A172">
        <v>0</v>
      </c>
      <c r="B172" t="s">
        <v>314</v>
      </c>
      <c r="C172" t="s">
        <v>374</v>
      </c>
      <c r="D172" t="s">
        <v>2</v>
      </c>
      <c r="E172" t="s">
        <v>374</v>
      </c>
      <c r="F172" t="s">
        <v>13</v>
      </c>
      <c r="G172" t="s">
        <v>525</v>
      </c>
    </row>
    <row r="173" spans="1:7" x14ac:dyDescent="0.3">
      <c r="A173">
        <v>0</v>
      </c>
      <c r="B173" t="s">
        <v>105</v>
      </c>
      <c r="C173" t="s">
        <v>124</v>
      </c>
      <c r="D173" t="s">
        <v>2</v>
      </c>
      <c r="E173" t="s">
        <v>124</v>
      </c>
      <c r="F173" t="s">
        <v>13</v>
      </c>
      <c r="G173" t="s">
        <v>525</v>
      </c>
    </row>
    <row r="174" spans="1:7" x14ac:dyDescent="0.3">
      <c r="A174">
        <v>0</v>
      </c>
      <c r="B174" t="s">
        <v>312</v>
      </c>
      <c r="C174" t="s">
        <v>440</v>
      </c>
      <c r="D174" t="s">
        <v>2</v>
      </c>
      <c r="E174" t="s">
        <v>440</v>
      </c>
      <c r="F174" t="s">
        <v>13</v>
      </c>
      <c r="G174" t="s">
        <v>525</v>
      </c>
    </row>
    <row r="175" spans="1:7" x14ac:dyDescent="0.3">
      <c r="A175">
        <v>0</v>
      </c>
      <c r="B175" t="s">
        <v>312</v>
      </c>
      <c r="C175" t="s">
        <v>316</v>
      </c>
      <c r="D175" t="s">
        <v>2</v>
      </c>
      <c r="E175" t="s">
        <v>316</v>
      </c>
      <c r="F175" t="s">
        <v>13</v>
      </c>
      <c r="G175" t="s">
        <v>525</v>
      </c>
    </row>
    <row r="176" spans="1:7" x14ac:dyDescent="0.3">
      <c r="A176">
        <v>0</v>
      </c>
      <c r="B176" t="s">
        <v>312</v>
      </c>
      <c r="C176" t="s">
        <v>427</v>
      </c>
      <c r="D176" t="s">
        <v>2</v>
      </c>
      <c r="E176" t="s">
        <v>427</v>
      </c>
      <c r="F176" t="s">
        <v>13</v>
      </c>
      <c r="G176" t="s">
        <v>525</v>
      </c>
    </row>
    <row r="177" spans="1:7" x14ac:dyDescent="0.3">
      <c r="A177">
        <v>0</v>
      </c>
      <c r="B177" t="s">
        <v>312</v>
      </c>
      <c r="C177" t="s">
        <v>332</v>
      </c>
      <c r="D177" t="s">
        <v>2</v>
      </c>
      <c r="E177" t="s">
        <v>332</v>
      </c>
      <c r="F177" t="s">
        <v>13</v>
      </c>
      <c r="G177" t="s">
        <v>525</v>
      </c>
    </row>
    <row r="178" spans="1:7" x14ac:dyDescent="0.3">
      <c r="A178">
        <v>0</v>
      </c>
      <c r="B178" t="s">
        <v>312</v>
      </c>
      <c r="C178" t="s">
        <v>336</v>
      </c>
      <c r="D178" t="s">
        <v>2</v>
      </c>
      <c r="E178" t="s">
        <v>336</v>
      </c>
      <c r="F178" t="s">
        <v>13</v>
      </c>
      <c r="G178" t="s">
        <v>525</v>
      </c>
    </row>
    <row r="179" spans="1:7" x14ac:dyDescent="0.3">
      <c r="A179">
        <v>0</v>
      </c>
      <c r="B179" t="s">
        <v>314</v>
      </c>
      <c r="C179" t="s">
        <v>393</v>
      </c>
      <c r="D179" t="s">
        <v>2</v>
      </c>
      <c r="E179" t="s">
        <v>393</v>
      </c>
      <c r="F179" t="s">
        <v>13</v>
      </c>
      <c r="G179" t="s">
        <v>525</v>
      </c>
    </row>
    <row r="180" spans="1:7" x14ac:dyDescent="0.3">
      <c r="A180">
        <v>0</v>
      </c>
      <c r="B180" t="s">
        <v>312</v>
      </c>
      <c r="C180" t="s">
        <v>339</v>
      </c>
      <c r="D180" t="s">
        <v>2</v>
      </c>
      <c r="E180" t="s">
        <v>339</v>
      </c>
      <c r="F180" t="s">
        <v>13</v>
      </c>
      <c r="G180" t="s">
        <v>525</v>
      </c>
    </row>
    <row r="181" spans="1:7" x14ac:dyDescent="0.3">
      <c r="A181">
        <v>0</v>
      </c>
      <c r="B181" t="s">
        <v>312</v>
      </c>
      <c r="C181" t="s">
        <v>400</v>
      </c>
      <c r="D181" t="s">
        <v>2</v>
      </c>
      <c r="E181" t="s">
        <v>400</v>
      </c>
      <c r="F181" t="s">
        <v>13</v>
      </c>
      <c r="G181" t="s">
        <v>525</v>
      </c>
    </row>
    <row r="182" spans="1:7" x14ac:dyDescent="0.3">
      <c r="A182">
        <v>0</v>
      </c>
      <c r="B182" t="s">
        <v>312</v>
      </c>
      <c r="C182" t="s">
        <v>380</v>
      </c>
      <c r="D182" t="s">
        <v>2</v>
      </c>
      <c r="E182" t="s">
        <v>380</v>
      </c>
      <c r="F182" t="s">
        <v>13</v>
      </c>
      <c r="G182" t="s">
        <v>525</v>
      </c>
    </row>
    <row r="183" spans="1:7" x14ac:dyDescent="0.3">
      <c r="A183">
        <v>0</v>
      </c>
      <c r="B183" t="s">
        <v>312</v>
      </c>
      <c r="C183" t="s">
        <v>442</v>
      </c>
      <c r="D183" t="s">
        <v>2</v>
      </c>
      <c r="E183" t="s">
        <v>442</v>
      </c>
      <c r="F183" t="s">
        <v>13</v>
      </c>
      <c r="G183" t="s">
        <v>525</v>
      </c>
    </row>
    <row r="184" spans="1:7" x14ac:dyDescent="0.3">
      <c r="A184">
        <v>0</v>
      </c>
      <c r="B184" t="s">
        <v>57</v>
      </c>
      <c r="C184" t="s">
        <v>470</v>
      </c>
      <c r="D184" t="s">
        <v>2</v>
      </c>
      <c r="E184" t="s">
        <v>470</v>
      </c>
      <c r="F184" t="s">
        <v>13</v>
      </c>
      <c r="G184" t="s">
        <v>525</v>
      </c>
    </row>
    <row r="185" spans="1:7" x14ac:dyDescent="0.3">
      <c r="A185">
        <v>0</v>
      </c>
      <c r="B185" t="s">
        <v>319</v>
      </c>
      <c r="C185" t="s">
        <v>463</v>
      </c>
      <c r="D185" t="s">
        <v>2</v>
      </c>
      <c r="E185" t="s">
        <v>463</v>
      </c>
      <c r="F185" t="s">
        <v>13</v>
      </c>
      <c r="G185" t="s">
        <v>525</v>
      </c>
    </row>
    <row r="186" spans="1:7" x14ac:dyDescent="0.3">
      <c r="A186">
        <v>0</v>
      </c>
      <c r="B186" t="s">
        <v>314</v>
      </c>
      <c r="C186" t="s">
        <v>343</v>
      </c>
      <c r="D186" t="s">
        <v>2</v>
      </c>
      <c r="E186" t="s">
        <v>343</v>
      </c>
      <c r="F186" t="s">
        <v>13</v>
      </c>
      <c r="G186" t="s">
        <v>525</v>
      </c>
    </row>
    <row r="187" spans="1:7" x14ac:dyDescent="0.3">
      <c r="A187">
        <v>0</v>
      </c>
      <c r="B187" t="s">
        <v>312</v>
      </c>
      <c r="C187" t="s">
        <v>371</v>
      </c>
      <c r="D187" t="s">
        <v>2</v>
      </c>
      <c r="E187" t="s">
        <v>371</v>
      </c>
      <c r="F187" t="s">
        <v>13</v>
      </c>
      <c r="G187" t="s">
        <v>525</v>
      </c>
    </row>
    <row r="188" spans="1:7" x14ac:dyDescent="0.3">
      <c r="A188">
        <v>0</v>
      </c>
      <c r="B188" t="s">
        <v>312</v>
      </c>
      <c r="C188" t="s">
        <v>366</v>
      </c>
      <c r="D188" t="s">
        <v>2</v>
      </c>
      <c r="E188" t="s">
        <v>366</v>
      </c>
      <c r="F188" t="s">
        <v>13</v>
      </c>
      <c r="G188" t="s">
        <v>525</v>
      </c>
    </row>
    <row r="189" spans="1:7" x14ac:dyDescent="0.3">
      <c r="A189">
        <v>0</v>
      </c>
      <c r="B189" t="s">
        <v>312</v>
      </c>
      <c r="C189" t="s">
        <v>384</v>
      </c>
      <c r="D189" t="s">
        <v>2</v>
      </c>
      <c r="E189" t="s">
        <v>384</v>
      </c>
      <c r="F189" t="s">
        <v>13</v>
      </c>
      <c r="G189" t="s">
        <v>525</v>
      </c>
    </row>
    <row r="190" spans="1:7" x14ac:dyDescent="0.3">
      <c r="A190">
        <v>0</v>
      </c>
      <c r="B190" t="s">
        <v>319</v>
      </c>
      <c r="C190" t="s">
        <v>464</v>
      </c>
      <c r="D190" t="s">
        <v>2</v>
      </c>
      <c r="E190" t="s">
        <v>464</v>
      </c>
      <c r="F190" t="s">
        <v>13</v>
      </c>
      <c r="G190" t="s">
        <v>525</v>
      </c>
    </row>
    <row r="191" spans="1:7" x14ac:dyDescent="0.3">
      <c r="A191">
        <v>0</v>
      </c>
      <c r="B191" t="s">
        <v>312</v>
      </c>
      <c r="C191" t="s">
        <v>323</v>
      </c>
      <c r="D191" t="s">
        <v>2</v>
      </c>
      <c r="E191" t="s">
        <v>323</v>
      </c>
      <c r="F191" t="s">
        <v>13</v>
      </c>
      <c r="G191" t="s">
        <v>525</v>
      </c>
    </row>
    <row r="192" spans="1:7" x14ac:dyDescent="0.3">
      <c r="A192">
        <v>0</v>
      </c>
      <c r="B192" t="s">
        <v>314</v>
      </c>
      <c r="C192" t="s">
        <v>414</v>
      </c>
      <c r="D192" t="s">
        <v>2</v>
      </c>
      <c r="E192" t="s">
        <v>414</v>
      </c>
      <c r="F192" t="s">
        <v>13</v>
      </c>
      <c r="G192" t="s">
        <v>525</v>
      </c>
    </row>
    <row r="193" spans="1:7" x14ac:dyDescent="0.3">
      <c r="A193">
        <v>0</v>
      </c>
      <c r="B193" t="s">
        <v>312</v>
      </c>
      <c r="C193" t="s">
        <v>261</v>
      </c>
      <c r="D193" t="s">
        <v>2</v>
      </c>
      <c r="E193" t="s">
        <v>261</v>
      </c>
      <c r="F193" t="s">
        <v>13</v>
      </c>
      <c r="G193" t="s">
        <v>525</v>
      </c>
    </row>
    <row r="194" spans="1:7" x14ac:dyDescent="0.3">
      <c r="A194">
        <v>0</v>
      </c>
      <c r="B194" t="s">
        <v>319</v>
      </c>
      <c r="C194" t="s">
        <v>364</v>
      </c>
      <c r="D194" t="s">
        <v>2</v>
      </c>
      <c r="E194" t="s">
        <v>364</v>
      </c>
      <c r="F194" t="s">
        <v>13</v>
      </c>
      <c r="G194" t="s">
        <v>525</v>
      </c>
    </row>
    <row r="195" spans="1:7" x14ac:dyDescent="0.3">
      <c r="A195">
        <v>0</v>
      </c>
      <c r="B195" t="s">
        <v>312</v>
      </c>
      <c r="C195" t="s">
        <v>373</v>
      </c>
      <c r="D195" t="s">
        <v>2</v>
      </c>
      <c r="E195" t="s">
        <v>373</v>
      </c>
      <c r="F195" t="s">
        <v>13</v>
      </c>
      <c r="G195" t="s">
        <v>525</v>
      </c>
    </row>
    <row r="196" spans="1:7" x14ac:dyDescent="0.3">
      <c r="A196">
        <v>0</v>
      </c>
      <c r="B196" t="s">
        <v>312</v>
      </c>
      <c r="C196" t="s">
        <v>482</v>
      </c>
      <c r="D196" t="s">
        <v>2</v>
      </c>
      <c r="E196" t="s">
        <v>482</v>
      </c>
      <c r="F196" t="s">
        <v>13</v>
      </c>
      <c r="G196" t="s">
        <v>525</v>
      </c>
    </row>
    <row r="197" spans="1:7" x14ac:dyDescent="0.3">
      <c r="A197">
        <v>0</v>
      </c>
      <c r="B197" t="s">
        <v>312</v>
      </c>
      <c r="C197" t="s">
        <v>412</v>
      </c>
      <c r="D197" t="s">
        <v>2</v>
      </c>
      <c r="E197" t="s">
        <v>412</v>
      </c>
      <c r="F197" t="s">
        <v>13</v>
      </c>
      <c r="G197" t="s">
        <v>525</v>
      </c>
    </row>
    <row r="198" spans="1:7" x14ac:dyDescent="0.3">
      <c r="A198">
        <v>0</v>
      </c>
      <c r="B198" t="s">
        <v>312</v>
      </c>
      <c r="C198" t="s">
        <v>434</v>
      </c>
      <c r="D198" t="s">
        <v>2</v>
      </c>
      <c r="E198" t="s">
        <v>434</v>
      </c>
      <c r="F198" t="s">
        <v>13</v>
      </c>
      <c r="G198" t="s">
        <v>525</v>
      </c>
    </row>
    <row r="199" spans="1:7" x14ac:dyDescent="0.3">
      <c r="A199">
        <v>0</v>
      </c>
      <c r="B199" t="s">
        <v>314</v>
      </c>
      <c r="C199" t="s">
        <v>443</v>
      </c>
      <c r="D199" t="s">
        <v>2</v>
      </c>
      <c r="E199" t="s">
        <v>443</v>
      </c>
      <c r="F199" t="s">
        <v>13</v>
      </c>
      <c r="G199" t="s">
        <v>525</v>
      </c>
    </row>
    <row r="200" spans="1:7" x14ac:dyDescent="0.3">
      <c r="A200">
        <v>0</v>
      </c>
      <c r="B200" t="s">
        <v>319</v>
      </c>
      <c r="C200" t="s">
        <v>430</v>
      </c>
      <c r="D200" t="s">
        <v>2</v>
      </c>
      <c r="E200" t="s">
        <v>430</v>
      </c>
      <c r="F200" t="s">
        <v>13</v>
      </c>
      <c r="G200" t="s">
        <v>525</v>
      </c>
    </row>
    <row r="201" spans="1:7" x14ac:dyDescent="0.3">
      <c r="A201">
        <v>0</v>
      </c>
      <c r="B201" t="s">
        <v>314</v>
      </c>
      <c r="C201" t="s">
        <v>408</v>
      </c>
      <c r="D201" t="s">
        <v>2</v>
      </c>
      <c r="E201" t="s">
        <v>408</v>
      </c>
      <c r="F201" t="s">
        <v>13</v>
      </c>
      <c r="G201" t="s">
        <v>525</v>
      </c>
    </row>
    <row r="202" spans="1:7" x14ac:dyDescent="0.3">
      <c r="A202">
        <v>0</v>
      </c>
      <c r="B202" t="s">
        <v>312</v>
      </c>
      <c r="C202" t="s">
        <v>138</v>
      </c>
      <c r="D202" t="s">
        <v>2</v>
      </c>
      <c r="E202" t="s">
        <v>138</v>
      </c>
      <c r="F202" t="s">
        <v>13</v>
      </c>
      <c r="G202" t="s">
        <v>525</v>
      </c>
    </row>
    <row r="203" spans="1:7" x14ac:dyDescent="0.3">
      <c r="A203">
        <v>0</v>
      </c>
      <c r="B203" t="s">
        <v>312</v>
      </c>
      <c r="C203" t="s">
        <v>275</v>
      </c>
      <c r="D203" t="s">
        <v>2</v>
      </c>
      <c r="E203" t="s">
        <v>275</v>
      </c>
      <c r="F203" t="s">
        <v>13</v>
      </c>
      <c r="G203" t="s">
        <v>525</v>
      </c>
    </row>
    <row r="204" spans="1:7" x14ac:dyDescent="0.3">
      <c r="A204">
        <v>0</v>
      </c>
      <c r="B204" t="s">
        <v>312</v>
      </c>
      <c r="C204" t="s">
        <v>337</v>
      </c>
      <c r="D204" t="s">
        <v>2</v>
      </c>
      <c r="E204" t="s">
        <v>337</v>
      </c>
      <c r="F204" t="s">
        <v>13</v>
      </c>
      <c r="G204" t="s">
        <v>525</v>
      </c>
    </row>
    <row r="205" spans="1:7" x14ac:dyDescent="0.3">
      <c r="A205">
        <v>0</v>
      </c>
      <c r="B205" t="s">
        <v>312</v>
      </c>
      <c r="C205" t="s">
        <v>331</v>
      </c>
      <c r="D205" t="s">
        <v>2</v>
      </c>
      <c r="E205" t="s">
        <v>331</v>
      </c>
      <c r="F205" t="s">
        <v>13</v>
      </c>
      <c r="G205" t="s">
        <v>525</v>
      </c>
    </row>
    <row r="206" spans="1:7" x14ac:dyDescent="0.3">
      <c r="A206">
        <v>0</v>
      </c>
      <c r="B206" t="s">
        <v>312</v>
      </c>
      <c r="C206" t="s">
        <v>452</v>
      </c>
      <c r="D206" t="s">
        <v>2</v>
      </c>
      <c r="E206" t="s">
        <v>452</v>
      </c>
      <c r="F206" t="s">
        <v>13</v>
      </c>
      <c r="G206" t="s">
        <v>525</v>
      </c>
    </row>
    <row r="207" spans="1:7" x14ac:dyDescent="0.3">
      <c r="A207">
        <v>0</v>
      </c>
      <c r="B207" t="s">
        <v>319</v>
      </c>
      <c r="C207" t="s">
        <v>477</v>
      </c>
      <c r="D207" t="s">
        <v>2</v>
      </c>
      <c r="E207" t="s">
        <v>477</v>
      </c>
      <c r="F207" t="s">
        <v>13</v>
      </c>
      <c r="G207" t="s">
        <v>525</v>
      </c>
    </row>
    <row r="208" spans="1:7" x14ac:dyDescent="0.3">
      <c r="A208">
        <v>0</v>
      </c>
      <c r="B208" t="s">
        <v>312</v>
      </c>
      <c r="C208" t="s">
        <v>446</v>
      </c>
      <c r="D208" t="s">
        <v>2</v>
      </c>
      <c r="E208" t="s">
        <v>446</v>
      </c>
      <c r="F208" t="s">
        <v>13</v>
      </c>
      <c r="G208" t="s">
        <v>525</v>
      </c>
    </row>
    <row r="209" spans="1:7" x14ac:dyDescent="0.3">
      <c r="A209">
        <v>0</v>
      </c>
      <c r="B209" t="s">
        <v>319</v>
      </c>
      <c r="C209" t="s">
        <v>491</v>
      </c>
      <c r="D209" t="s">
        <v>2</v>
      </c>
      <c r="E209" t="s">
        <v>491</v>
      </c>
      <c r="F209" t="s">
        <v>13</v>
      </c>
      <c r="G209" t="s">
        <v>525</v>
      </c>
    </row>
    <row r="210" spans="1:7" x14ac:dyDescent="0.3">
      <c r="A210">
        <v>0</v>
      </c>
      <c r="B210" t="s">
        <v>312</v>
      </c>
      <c r="C210" t="s">
        <v>326</v>
      </c>
      <c r="D210" t="s">
        <v>2</v>
      </c>
      <c r="E210" t="s">
        <v>326</v>
      </c>
      <c r="F210" t="s">
        <v>13</v>
      </c>
      <c r="G210" t="s">
        <v>525</v>
      </c>
    </row>
    <row r="211" spans="1:7" x14ac:dyDescent="0.3">
      <c r="A211">
        <v>0</v>
      </c>
      <c r="B211" t="s">
        <v>319</v>
      </c>
      <c r="C211" t="s">
        <v>415</v>
      </c>
      <c r="D211" t="s">
        <v>2</v>
      </c>
      <c r="E211" t="s">
        <v>415</v>
      </c>
      <c r="F211" t="s">
        <v>13</v>
      </c>
      <c r="G211" t="s">
        <v>525</v>
      </c>
    </row>
    <row r="212" spans="1:7" x14ac:dyDescent="0.3">
      <c r="A212">
        <v>0</v>
      </c>
      <c r="B212" t="s">
        <v>314</v>
      </c>
      <c r="C212" t="s">
        <v>451</v>
      </c>
      <c r="D212" t="s">
        <v>2</v>
      </c>
      <c r="E212" t="s">
        <v>451</v>
      </c>
      <c r="F212" t="s">
        <v>13</v>
      </c>
      <c r="G212" t="s">
        <v>525</v>
      </c>
    </row>
    <row r="213" spans="1:7" x14ac:dyDescent="0.3">
      <c r="A213">
        <v>0</v>
      </c>
      <c r="B213" t="s">
        <v>314</v>
      </c>
      <c r="C213" t="s">
        <v>448</v>
      </c>
      <c r="D213" t="s">
        <v>2</v>
      </c>
      <c r="E213" t="s">
        <v>448</v>
      </c>
      <c r="F213" t="s">
        <v>13</v>
      </c>
      <c r="G213" t="s">
        <v>525</v>
      </c>
    </row>
    <row r="214" spans="1:7" x14ac:dyDescent="0.3">
      <c r="A214">
        <v>0</v>
      </c>
      <c r="B214" t="s">
        <v>312</v>
      </c>
      <c r="C214" t="s">
        <v>423</v>
      </c>
      <c r="D214" t="s">
        <v>2</v>
      </c>
      <c r="E214" t="s">
        <v>423</v>
      </c>
      <c r="F214" t="s">
        <v>13</v>
      </c>
      <c r="G214" t="s">
        <v>525</v>
      </c>
    </row>
    <row r="215" spans="1:7" x14ac:dyDescent="0.3">
      <c r="A215">
        <v>0</v>
      </c>
      <c r="B215" t="s">
        <v>319</v>
      </c>
      <c r="C215" t="s">
        <v>361</v>
      </c>
      <c r="D215" t="s">
        <v>2</v>
      </c>
      <c r="E215" t="s">
        <v>361</v>
      </c>
      <c r="F215" t="s">
        <v>13</v>
      </c>
      <c r="G215" t="s">
        <v>525</v>
      </c>
    </row>
    <row r="216" spans="1:7" x14ac:dyDescent="0.3">
      <c r="A216">
        <v>0</v>
      </c>
      <c r="B216" t="s">
        <v>314</v>
      </c>
      <c r="C216" t="s">
        <v>467</v>
      </c>
      <c r="D216" t="s">
        <v>2</v>
      </c>
      <c r="E216" t="s">
        <v>467</v>
      </c>
      <c r="F216" t="s">
        <v>13</v>
      </c>
      <c r="G216" t="s">
        <v>525</v>
      </c>
    </row>
    <row r="217" spans="1:7" x14ac:dyDescent="0.3">
      <c r="A217">
        <v>0</v>
      </c>
      <c r="B217" t="s">
        <v>319</v>
      </c>
      <c r="C217" t="s">
        <v>420</v>
      </c>
      <c r="D217" t="s">
        <v>2</v>
      </c>
      <c r="E217" t="s">
        <v>420</v>
      </c>
      <c r="F217" t="s">
        <v>13</v>
      </c>
      <c r="G217" t="s">
        <v>525</v>
      </c>
    </row>
    <row r="218" spans="1:7" x14ac:dyDescent="0.3">
      <c r="A218">
        <v>0</v>
      </c>
      <c r="B218" t="s">
        <v>314</v>
      </c>
      <c r="C218" t="s">
        <v>487</v>
      </c>
      <c r="D218" t="s">
        <v>2</v>
      </c>
      <c r="E218" t="s">
        <v>487</v>
      </c>
      <c r="F218" t="s">
        <v>13</v>
      </c>
      <c r="G218" t="s">
        <v>525</v>
      </c>
    </row>
    <row r="219" spans="1:7" x14ac:dyDescent="0.3">
      <c r="A219">
        <v>0</v>
      </c>
      <c r="B219" t="s">
        <v>312</v>
      </c>
      <c r="C219" t="s">
        <v>149</v>
      </c>
      <c r="D219" t="s">
        <v>2</v>
      </c>
      <c r="E219" t="s">
        <v>149</v>
      </c>
      <c r="F219" t="s">
        <v>13</v>
      </c>
      <c r="G219" t="s">
        <v>525</v>
      </c>
    </row>
    <row r="220" spans="1:7" x14ac:dyDescent="0.3">
      <c r="A220">
        <v>0</v>
      </c>
      <c r="B220" t="s">
        <v>314</v>
      </c>
      <c r="C220" t="s">
        <v>377</v>
      </c>
      <c r="D220" t="s">
        <v>2</v>
      </c>
      <c r="E220" t="s">
        <v>377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403</v>
      </c>
      <c r="D221" t="s">
        <v>2</v>
      </c>
      <c r="E221" t="s">
        <v>403</v>
      </c>
      <c r="F221" t="s">
        <v>13</v>
      </c>
      <c r="G221" t="s">
        <v>525</v>
      </c>
    </row>
    <row r="222" spans="1:7" x14ac:dyDescent="0.3">
      <c r="A222">
        <v>0</v>
      </c>
      <c r="B222" t="s">
        <v>312</v>
      </c>
      <c r="C222" t="s">
        <v>387</v>
      </c>
      <c r="D222" t="s">
        <v>2</v>
      </c>
      <c r="E222" t="s">
        <v>387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431</v>
      </c>
      <c r="D223" t="s">
        <v>2</v>
      </c>
      <c r="E223" t="s">
        <v>431</v>
      </c>
      <c r="F223" t="s">
        <v>13</v>
      </c>
      <c r="G223" t="s">
        <v>525</v>
      </c>
    </row>
    <row r="224" spans="1:7" x14ac:dyDescent="0.3">
      <c r="A224">
        <v>0</v>
      </c>
      <c r="B224" t="s">
        <v>319</v>
      </c>
      <c r="C224" t="s">
        <v>459</v>
      </c>
      <c r="D224" t="s">
        <v>2</v>
      </c>
      <c r="E224" t="s">
        <v>459</v>
      </c>
      <c r="F224" t="s">
        <v>13</v>
      </c>
      <c r="G224" t="s">
        <v>525</v>
      </c>
    </row>
    <row r="225" spans="1:7" x14ac:dyDescent="0.3">
      <c r="A225">
        <v>0</v>
      </c>
      <c r="B225" t="s">
        <v>314</v>
      </c>
      <c r="C225" t="s">
        <v>376</v>
      </c>
      <c r="D225" t="s">
        <v>2</v>
      </c>
      <c r="E225" t="s">
        <v>376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379</v>
      </c>
      <c r="D226" t="s">
        <v>2</v>
      </c>
      <c r="E226" t="s">
        <v>379</v>
      </c>
      <c r="F226" t="s">
        <v>13</v>
      </c>
      <c r="G226" t="s">
        <v>525</v>
      </c>
    </row>
    <row r="227" spans="1:7" x14ac:dyDescent="0.3">
      <c r="A227">
        <v>0</v>
      </c>
      <c r="B227" t="s">
        <v>314</v>
      </c>
      <c r="C227" t="s">
        <v>445</v>
      </c>
      <c r="D227" t="s">
        <v>2</v>
      </c>
      <c r="E227" t="s">
        <v>445</v>
      </c>
      <c r="F227" t="s">
        <v>13</v>
      </c>
      <c r="G227" t="s">
        <v>525</v>
      </c>
    </row>
    <row r="228" spans="1:7" x14ac:dyDescent="0.3">
      <c r="A228">
        <v>0</v>
      </c>
      <c r="B228" t="s">
        <v>319</v>
      </c>
      <c r="C228" t="s">
        <v>460</v>
      </c>
      <c r="D228" t="s">
        <v>2</v>
      </c>
      <c r="E228" t="s">
        <v>460</v>
      </c>
      <c r="F228" t="s">
        <v>13</v>
      </c>
      <c r="G228" t="s">
        <v>525</v>
      </c>
    </row>
    <row r="229" spans="1:7" x14ac:dyDescent="0.3">
      <c r="A229">
        <v>0</v>
      </c>
      <c r="B229" t="s">
        <v>314</v>
      </c>
      <c r="C229" t="s">
        <v>450</v>
      </c>
      <c r="D229" t="s">
        <v>2</v>
      </c>
      <c r="E229" t="s">
        <v>450</v>
      </c>
      <c r="F229" t="s">
        <v>13</v>
      </c>
      <c r="G229" t="s">
        <v>525</v>
      </c>
    </row>
    <row r="230" spans="1:7" x14ac:dyDescent="0.3">
      <c r="A230">
        <v>0</v>
      </c>
      <c r="B230" t="s">
        <v>312</v>
      </c>
      <c r="C230" t="s">
        <v>473</v>
      </c>
      <c r="D230" t="s">
        <v>2</v>
      </c>
      <c r="E230" t="s">
        <v>473</v>
      </c>
      <c r="F230" t="s">
        <v>13</v>
      </c>
      <c r="G230" t="s">
        <v>525</v>
      </c>
    </row>
    <row r="231" spans="1:7" x14ac:dyDescent="0.3">
      <c r="A231">
        <v>0</v>
      </c>
      <c r="B231" t="s">
        <v>314</v>
      </c>
      <c r="C231" t="s">
        <v>313</v>
      </c>
      <c r="D231" t="s">
        <v>2</v>
      </c>
      <c r="E231" t="s">
        <v>313</v>
      </c>
      <c r="F231" t="s">
        <v>13</v>
      </c>
      <c r="G231" t="s">
        <v>525</v>
      </c>
    </row>
    <row r="232" spans="1:7" x14ac:dyDescent="0.3">
      <c r="A232">
        <v>0</v>
      </c>
      <c r="B232" t="s">
        <v>312</v>
      </c>
      <c r="C232" t="s">
        <v>472</v>
      </c>
      <c r="D232" t="s">
        <v>2</v>
      </c>
      <c r="E232" t="s">
        <v>472</v>
      </c>
      <c r="F232" t="s">
        <v>13</v>
      </c>
      <c r="G232" t="s">
        <v>525</v>
      </c>
    </row>
    <row r="233" spans="1:7" x14ac:dyDescent="0.3">
      <c r="A233">
        <v>0</v>
      </c>
      <c r="B233" t="s">
        <v>312</v>
      </c>
      <c r="C233" t="s">
        <v>402</v>
      </c>
      <c r="D233" t="s">
        <v>2</v>
      </c>
      <c r="E233" t="s">
        <v>402</v>
      </c>
      <c r="F233" t="s">
        <v>13</v>
      </c>
      <c r="G233" t="s">
        <v>525</v>
      </c>
    </row>
    <row r="234" spans="1:7" x14ac:dyDescent="0.3">
      <c r="A234">
        <v>0</v>
      </c>
      <c r="B234" t="s">
        <v>314</v>
      </c>
      <c r="C234" t="s">
        <v>455</v>
      </c>
      <c r="D234" t="s">
        <v>2</v>
      </c>
      <c r="E234" t="s">
        <v>455</v>
      </c>
      <c r="F234" t="s">
        <v>13</v>
      </c>
      <c r="G234" t="s">
        <v>525</v>
      </c>
    </row>
    <row r="235" spans="1:7" x14ac:dyDescent="0.3">
      <c r="A235">
        <v>0</v>
      </c>
      <c r="B235" t="s">
        <v>312</v>
      </c>
      <c r="C235" t="s">
        <v>411</v>
      </c>
      <c r="D235" t="s">
        <v>2</v>
      </c>
      <c r="E235" t="s">
        <v>411</v>
      </c>
      <c r="F235" t="s">
        <v>13</v>
      </c>
      <c r="G235" t="s">
        <v>525</v>
      </c>
    </row>
    <row r="236" spans="1:7" x14ac:dyDescent="0.3">
      <c r="A236">
        <v>0</v>
      </c>
      <c r="B236" t="s">
        <v>312</v>
      </c>
      <c r="C236" t="s">
        <v>488</v>
      </c>
      <c r="D236" t="s">
        <v>2</v>
      </c>
      <c r="E236" t="s">
        <v>488</v>
      </c>
      <c r="F236" t="s">
        <v>13</v>
      </c>
      <c r="G236" t="s">
        <v>525</v>
      </c>
    </row>
    <row r="237" spans="1:7" x14ac:dyDescent="0.3">
      <c r="A237">
        <v>0</v>
      </c>
      <c r="B237" t="s">
        <v>319</v>
      </c>
      <c r="C237" t="s">
        <v>462</v>
      </c>
      <c r="D237" t="s">
        <v>2</v>
      </c>
      <c r="E237" t="s">
        <v>462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246</v>
      </c>
      <c r="D238" t="s">
        <v>2</v>
      </c>
      <c r="E238" t="s">
        <v>246</v>
      </c>
      <c r="F238" t="s">
        <v>13</v>
      </c>
      <c r="G238" t="s">
        <v>525</v>
      </c>
    </row>
    <row r="239" spans="1:7" x14ac:dyDescent="0.3">
      <c r="A239">
        <v>0</v>
      </c>
      <c r="B239" t="s">
        <v>312</v>
      </c>
      <c r="C239" t="s">
        <v>357</v>
      </c>
      <c r="D239" t="s">
        <v>2</v>
      </c>
      <c r="E239" t="s">
        <v>357</v>
      </c>
      <c r="F239" t="s">
        <v>13</v>
      </c>
      <c r="G239" t="s">
        <v>525</v>
      </c>
    </row>
    <row r="240" spans="1:7" x14ac:dyDescent="0.3">
      <c r="A240">
        <v>0</v>
      </c>
      <c r="B240" t="s">
        <v>314</v>
      </c>
      <c r="C240" t="s">
        <v>341</v>
      </c>
      <c r="D240" t="s">
        <v>2</v>
      </c>
      <c r="E240" t="s">
        <v>341</v>
      </c>
      <c r="F240" t="s">
        <v>13</v>
      </c>
      <c r="G240" t="s">
        <v>525</v>
      </c>
    </row>
    <row r="241" spans="1:7" x14ac:dyDescent="0.3">
      <c r="A241">
        <v>0</v>
      </c>
      <c r="B241" t="s">
        <v>319</v>
      </c>
      <c r="C241" t="s">
        <v>466</v>
      </c>
      <c r="D241" t="s">
        <v>2</v>
      </c>
      <c r="E241" t="s">
        <v>466</v>
      </c>
      <c r="F241" t="s">
        <v>13</v>
      </c>
      <c r="G241" t="s">
        <v>525</v>
      </c>
    </row>
    <row r="242" spans="1:7" x14ac:dyDescent="0.3">
      <c r="A242">
        <v>0</v>
      </c>
      <c r="B242" t="s">
        <v>319</v>
      </c>
      <c r="C242" t="s">
        <v>362</v>
      </c>
      <c r="D242" t="s">
        <v>2</v>
      </c>
      <c r="E242" t="s">
        <v>362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433</v>
      </c>
      <c r="D243" t="s">
        <v>2</v>
      </c>
      <c r="E243" t="s">
        <v>433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397</v>
      </c>
      <c r="D244" t="s">
        <v>2</v>
      </c>
      <c r="E244" t="s">
        <v>397</v>
      </c>
      <c r="F244" t="s">
        <v>13</v>
      </c>
      <c r="G244" t="s">
        <v>525</v>
      </c>
    </row>
    <row r="245" spans="1:7" x14ac:dyDescent="0.3">
      <c r="A245">
        <v>0</v>
      </c>
      <c r="B245" t="s">
        <v>319</v>
      </c>
      <c r="C245" t="s">
        <v>378</v>
      </c>
      <c r="D245" t="s">
        <v>2</v>
      </c>
      <c r="E245" t="s">
        <v>378</v>
      </c>
      <c r="F245" t="s">
        <v>13</v>
      </c>
      <c r="G245" t="s">
        <v>525</v>
      </c>
    </row>
    <row r="246" spans="1:7" x14ac:dyDescent="0.3">
      <c r="A246">
        <v>0</v>
      </c>
      <c r="B246" t="s">
        <v>105</v>
      </c>
      <c r="C246" t="s">
        <v>117</v>
      </c>
      <c r="D246" t="s">
        <v>2</v>
      </c>
      <c r="E246" t="s">
        <v>117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476</v>
      </c>
      <c r="D247" t="s">
        <v>2</v>
      </c>
      <c r="E247" t="s">
        <v>476</v>
      </c>
      <c r="F247" t="s">
        <v>13</v>
      </c>
      <c r="G247" t="s">
        <v>525</v>
      </c>
    </row>
    <row r="248" spans="1:7" x14ac:dyDescent="0.3">
      <c r="A248">
        <v>0</v>
      </c>
      <c r="B248" t="s">
        <v>319</v>
      </c>
      <c r="C248" t="s">
        <v>478</v>
      </c>
      <c r="D248" t="s">
        <v>2</v>
      </c>
      <c r="E248" t="s">
        <v>478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367</v>
      </c>
      <c r="D249" t="s">
        <v>2</v>
      </c>
      <c r="E249" t="s">
        <v>367</v>
      </c>
      <c r="F249" t="s">
        <v>13</v>
      </c>
      <c r="G249" t="s">
        <v>525</v>
      </c>
    </row>
    <row r="250" spans="1:7" x14ac:dyDescent="0.3">
      <c r="A250">
        <v>0</v>
      </c>
      <c r="B250" t="s">
        <v>312</v>
      </c>
      <c r="C250" t="s">
        <v>346</v>
      </c>
      <c r="D250" t="s">
        <v>2</v>
      </c>
      <c r="E250" t="s">
        <v>346</v>
      </c>
      <c r="F250" t="s">
        <v>13</v>
      </c>
      <c r="G250" t="s">
        <v>525</v>
      </c>
    </row>
    <row r="251" spans="1:7" x14ac:dyDescent="0.3">
      <c r="A251">
        <v>0</v>
      </c>
      <c r="B251" t="s">
        <v>105</v>
      </c>
      <c r="C251" t="s">
        <v>119</v>
      </c>
      <c r="D251" t="s">
        <v>2</v>
      </c>
      <c r="E251" t="s">
        <v>119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385</v>
      </c>
      <c r="D252" t="s">
        <v>2</v>
      </c>
      <c r="E252" t="s">
        <v>385</v>
      </c>
      <c r="F252" t="s">
        <v>13</v>
      </c>
      <c r="G252" t="s">
        <v>525</v>
      </c>
    </row>
    <row r="253" spans="1:7" x14ac:dyDescent="0.3">
      <c r="A253">
        <v>0</v>
      </c>
      <c r="B253" t="s">
        <v>57</v>
      </c>
      <c r="C253" t="s">
        <v>120</v>
      </c>
      <c r="D253" t="s">
        <v>2</v>
      </c>
      <c r="E253" t="s">
        <v>120</v>
      </c>
      <c r="F253" t="s">
        <v>13</v>
      </c>
      <c r="G253" t="s">
        <v>525</v>
      </c>
    </row>
    <row r="254" spans="1:7" x14ac:dyDescent="0.3">
      <c r="A254">
        <v>0</v>
      </c>
      <c r="B254" t="s">
        <v>312</v>
      </c>
      <c r="C254" t="s">
        <v>324</v>
      </c>
      <c r="D254" t="s">
        <v>2</v>
      </c>
      <c r="E254" t="s">
        <v>324</v>
      </c>
      <c r="F254" t="s">
        <v>13</v>
      </c>
      <c r="G254" t="s">
        <v>525</v>
      </c>
    </row>
    <row r="255" spans="1:7" x14ac:dyDescent="0.3">
      <c r="A255">
        <v>0</v>
      </c>
      <c r="B255" t="s">
        <v>312</v>
      </c>
      <c r="C255" t="s">
        <v>327</v>
      </c>
      <c r="D255" t="s">
        <v>2</v>
      </c>
      <c r="E255" t="s">
        <v>327</v>
      </c>
      <c r="F255" t="s">
        <v>13</v>
      </c>
      <c r="G255" t="s">
        <v>525</v>
      </c>
    </row>
    <row r="256" spans="1:7" x14ac:dyDescent="0.3">
      <c r="A256">
        <v>0</v>
      </c>
      <c r="B256" t="s">
        <v>314</v>
      </c>
      <c r="C256" t="s">
        <v>441</v>
      </c>
      <c r="D256" t="s">
        <v>2</v>
      </c>
      <c r="E256" t="s">
        <v>441</v>
      </c>
      <c r="F256" t="s">
        <v>13</v>
      </c>
      <c r="G256" t="s">
        <v>525</v>
      </c>
    </row>
    <row r="257" spans="1:7" x14ac:dyDescent="0.3">
      <c r="A257">
        <v>0</v>
      </c>
      <c r="B257" t="s">
        <v>105</v>
      </c>
      <c r="C257" t="s">
        <v>115</v>
      </c>
      <c r="D257" t="s">
        <v>2</v>
      </c>
      <c r="E257" t="s">
        <v>115</v>
      </c>
      <c r="F257" t="s">
        <v>13</v>
      </c>
      <c r="G257" t="s">
        <v>525</v>
      </c>
    </row>
    <row r="258" spans="1:7" x14ac:dyDescent="0.3">
      <c r="A258">
        <v>0</v>
      </c>
      <c r="B258" t="s">
        <v>312</v>
      </c>
      <c r="C258" t="s">
        <v>484</v>
      </c>
      <c r="D258" t="s">
        <v>2</v>
      </c>
      <c r="E258" t="s">
        <v>484</v>
      </c>
      <c r="F258" t="s">
        <v>13</v>
      </c>
      <c r="G258" t="s">
        <v>525</v>
      </c>
    </row>
    <row r="259" spans="1:7" x14ac:dyDescent="0.3">
      <c r="A259">
        <v>0</v>
      </c>
      <c r="B259" t="s">
        <v>312</v>
      </c>
      <c r="C259" t="s">
        <v>311</v>
      </c>
      <c r="D259" t="s">
        <v>2</v>
      </c>
      <c r="E259" t="s">
        <v>311</v>
      </c>
      <c r="F259" t="s">
        <v>13</v>
      </c>
      <c r="G259" t="s">
        <v>525</v>
      </c>
    </row>
    <row r="260" spans="1:7" x14ac:dyDescent="0.3">
      <c r="A260">
        <v>0</v>
      </c>
      <c r="B260" t="s">
        <v>312</v>
      </c>
      <c r="C260" t="s">
        <v>365</v>
      </c>
      <c r="D260" t="s">
        <v>2</v>
      </c>
      <c r="E260" t="s">
        <v>365</v>
      </c>
      <c r="F260" t="s">
        <v>13</v>
      </c>
      <c r="G260" t="s">
        <v>525</v>
      </c>
    </row>
    <row r="261" spans="1:7" x14ac:dyDescent="0.3">
      <c r="A261">
        <v>0</v>
      </c>
      <c r="B261" t="s">
        <v>314</v>
      </c>
      <c r="C261" t="s">
        <v>350</v>
      </c>
      <c r="D261" t="s">
        <v>2</v>
      </c>
      <c r="E261" t="s">
        <v>350</v>
      </c>
      <c r="F261" t="s">
        <v>13</v>
      </c>
      <c r="G261" t="s">
        <v>525</v>
      </c>
    </row>
    <row r="262" spans="1:7" x14ac:dyDescent="0.3">
      <c r="A262">
        <v>0</v>
      </c>
      <c r="B262" t="s">
        <v>105</v>
      </c>
      <c r="C262" t="s">
        <v>123</v>
      </c>
      <c r="D262" t="s">
        <v>2</v>
      </c>
      <c r="E262" t="s">
        <v>123</v>
      </c>
      <c r="F262" t="s">
        <v>13</v>
      </c>
      <c r="G262" t="s">
        <v>525</v>
      </c>
    </row>
    <row r="263" spans="1:7" x14ac:dyDescent="0.3">
      <c r="A263">
        <v>0</v>
      </c>
      <c r="B263" t="s">
        <v>312</v>
      </c>
      <c r="C263" t="s">
        <v>396</v>
      </c>
      <c r="D263" t="s">
        <v>2</v>
      </c>
      <c r="E263" t="s">
        <v>396</v>
      </c>
      <c r="F263" t="s">
        <v>13</v>
      </c>
      <c r="G263" t="s">
        <v>525</v>
      </c>
    </row>
    <row r="264" spans="1:7" x14ac:dyDescent="0.3">
      <c r="A264">
        <v>0</v>
      </c>
      <c r="B264" t="s">
        <v>312</v>
      </c>
      <c r="C264" t="s">
        <v>428</v>
      </c>
      <c r="D264" t="s">
        <v>2</v>
      </c>
      <c r="E264" t="s">
        <v>428</v>
      </c>
      <c r="F264" t="s">
        <v>13</v>
      </c>
      <c r="G264" t="s">
        <v>525</v>
      </c>
    </row>
    <row r="265" spans="1:7" x14ac:dyDescent="0.3">
      <c r="A265">
        <v>0</v>
      </c>
      <c r="B265" t="s">
        <v>312</v>
      </c>
      <c r="C265" t="s">
        <v>383</v>
      </c>
      <c r="D265" t="s">
        <v>2</v>
      </c>
      <c r="E265" t="s">
        <v>383</v>
      </c>
      <c r="F265" t="s">
        <v>13</v>
      </c>
      <c r="G265" t="s">
        <v>525</v>
      </c>
    </row>
    <row r="266" spans="1:7" x14ac:dyDescent="0.3">
      <c r="A266">
        <v>0</v>
      </c>
      <c r="B266" t="s">
        <v>312</v>
      </c>
      <c r="C266" t="s">
        <v>426</v>
      </c>
      <c r="D266" t="s">
        <v>2</v>
      </c>
      <c r="E266" t="s">
        <v>426</v>
      </c>
      <c r="F266" t="s">
        <v>13</v>
      </c>
      <c r="G266" t="s">
        <v>525</v>
      </c>
    </row>
    <row r="267" spans="1:7" x14ac:dyDescent="0.3">
      <c r="A267">
        <v>0</v>
      </c>
      <c r="B267" t="s">
        <v>312</v>
      </c>
      <c r="C267" t="s">
        <v>437</v>
      </c>
      <c r="D267" t="s">
        <v>2</v>
      </c>
      <c r="E267" t="s">
        <v>437</v>
      </c>
      <c r="F267" t="s">
        <v>13</v>
      </c>
      <c r="G267" t="s">
        <v>525</v>
      </c>
    </row>
    <row r="268" spans="1:7" x14ac:dyDescent="0.3">
      <c r="A268">
        <v>0</v>
      </c>
      <c r="B268" t="s">
        <v>312</v>
      </c>
      <c r="C268" t="s">
        <v>454</v>
      </c>
      <c r="D268" t="s">
        <v>2</v>
      </c>
      <c r="E268" t="s">
        <v>454</v>
      </c>
      <c r="F268" t="s">
        <v>13</v>
      </c>
      <c r="G268" t="s">
        <v>525</v>
      </c>
    </row>
    <row r="269" spans="1:7" x14ac:dyDescent="0.3">
      <c r="A269">
        <v>0</v>
      </c>
      <c r="B269" t="s">
        <v>312</v>
      </c>
      <c r="C269" t="s">
        <v>425</v>
      </c>
      <c r="D269" t="s">
        <v>2</v>
      </c>
      <c r="E269" t="s">
        <v>425</v>
      </c>
      <c r="F269" t="s">
        <v>13</v>
      </c>
      <c r="G269" t="s">
        <v>525</v>
      </c>
    </row>
    <row r="270" spans="1:7" x14ac:dyDescent="0.3">
      <c r="A270">
        <v>0</v>
      </c>
      <c r="B270" t="s">
        <v>312</v>
      </c>
      <c r="C270" t="s">
        <v>344</v>
      </c>
      <c r="D270" t="s">
        <v>2</v>
      </c>
      <c r="E270" t="s">
        <v>344</v>
      </c>
      <c r="F270" t="s">
        <v>13</v>
      </c>
      <c r="G270" t="s">
        <v>525</v>
      </c>
    </row>
    <row r="271" spans="1:7" x14ac:dyDescent="0.3">
      <c r="A271">
        <v>0</v>
      </c>
      <c r="B271" t="s">
        <v>312</v>
      </c>
      <c r="C271" t="s">
        <v>407</v>
      </c>
      <c r="D271" t="s">
        <v>2</v>
      </c>
      <c r="E271" t="s">
        <v>407</v>
      </c>
      <c r="F271" t="s">
        <v>13</v>
      </c>
      <c r="G271" t="s">
        <v>525</v>
      </c>
    </row>
    <row r="272" spans="1:7" x14ac:dyDescent="0.3">
      <c r="A272">
        <v>0</v>
      </c>
      <c r="B272" t="s">
        <v>314</v>
      </c>
      <c r="C272" t="s">
        <v>413</v>
      </c>
      <c r="D272" t="s">
        <v>2</v>
      </c>
      <c r="E272" t="s">
        <v>413</v>
      </c>
      <c r="F272" t="s">
        <v>13</v>
      </c>
      <c r="G272" t="s">
        <v>525</v>
      </c>
    </row>
    <row r="273" spans="1:7" x14ac:dyDescent="0.3">
      <c r="A273">
        <v>0</v>
      </c>
      <c r="B273" t="s">
        <v>312</v>
      </c>
      <c r="C273" t="s">
        <v>392</v>
      </c>
      <c r="D273" t="s">
        <v>2</v>
      </c>
      <c r="E273" t="s">
        <v>392</v>
      </c>
      <c r="F273" t="s">
        <v>13</v>
      </c>
      <c r="G273" t="s">
        <v>525</v>
      </c>
    </row>
    <row r="274" spans="1:7" x14ac:dyDescent="0.3">
      <c r="A274">
        <v>0</v>
      </c>
      <c r="B274" t="s">
        <v>319</v>
      </c>
      <c r="C274" t="s">
        <v>422</v>
      </c>
      <c r="D274" t="s">
        <v>2</v>
      </c>
      <c r="E274" t="s">
        <v>422</v>
      </c>
      <c r="F274" t="s">
        <v>13</v>
      </c>
      <c r="G274" t="s">
        <v>525</v>
      </c>
    </row>
    <row r="275" spans="1:7" x14ac:dyDescent="0.3">
      <c r="A275">
        <v>0</v>
      </c>
      <c r="B275" t="s">
        <v>314</v>
      </c>
      <c r="C275" t="s">
        <v>495</v>
      </c>
      <c r="D275" t="s">
        <v>494</v>
      </c>
      <c r="E275" t="s">
        <v>495</v>
      </c>
      <c r="F275" t="s">
        <v>13</v>
      </c>
      <c r="G275" t="s">
        <v>525</v>
      </c>
    </row>
    <row r="276" spans="1:7" x14ac:dyDescent="0.3">
      <c r="A276">
        <v>0</v>
      </c>
      <c r="B276" t="s">
        <v>314</v>
      </c>
      <c r="C276" t="s">
        <v>497</v>
      </c>
      <c r="D276" t="s">
        <v>494</v>
      </c>
      <c r="E276" t="s">
        <v>497</v>
      </c>
      <c r="F276" t="s">
        <v>13</v>
      </c>
      <c r="G276" t="s">
        <v>525</v>
      </c>
    </row>
    <row r="277" spans="1:7" x14ac:dyDescent="0.3">
      <c r="A277">
        <v>0</v>
      </c>
      <c r="B277" t="s">
        <v>314</v>
      </c>
      <c r="C277" t="s">
        <v>496</v>
      </c>
      <c r="D277" t="s">
        <v>494</v>
      </c>
      <c r="E277" t="s">
        <v>496</v>
      </c>
      <c r="F277" t="s">
        <v>13</v>
      </c>
      <c r="G277" t="s">
        <v>525</v>
      </c>
    </row>
    <row r="278" spans="1:7" x14ac:dyDescent="0.3">
      <c r="A278">
        <v>0</v>
      </c>
      <c r="B278" t="s">
        <v>312</v>
      </c>
      <c r="C278" t="s">
        <v>513</v>
      </c>
      <c r="D278" t="s">
        <v>498</v>
      </c>
      <c r="E278" t="s">
        <v>513</v>
      </c>
      <c r="F278" t="s">
        <v>13</v>
      </c>
      <c r="G278" t="s">
        <v>525</v>
      </c>
    </row>
    <row r="279" spans="1:7" x14ac:dyDescent="0.3">
      <c r="A279">
        <v>0</v>
      </c>
      <c r="B279" t="s">
        <v>312</v>
      </c>
      <c r="C279" t="s">
        <v>515</v>
      </c>
      <c r="D279" t="s">
        <v>498</v>
      </c>
      <c r="E279" t="s">
        <v>515</v>
      </c>
      <c r="F279" t="s">
        <v>13</v>
      </c>
      <c r="G279" t="s">
        <v>525</v>
      </c>
    </row>
    <row r="280" spans="1:7" x14ac:dyDescent="0.3">
      <c r="A280">
        <v>0</v>
      </c>
      <c r="B280" t="s">
        <v>312</v>
      </c>
      <c r="C280" t="s">
        <v>509</v>
      </c>
      <c r="D280" t="s">
        <v>498</v>
      </c>
      <c r="E280" t="s">
        <v>509</v>
      </c>
      <c r="F280" t="s">
        <v>13</v>
      </c>
      <c r="G280" t="s">
        <v>525</v>
      </c>
    </row>
    <row r="281" spans="1:7" x14ac:dyDescent="0.3">
      <c r="A281">
        <v>0</v>
      </c>
      <c r="B281" t="s">
        <v>312</v>
      </c>
      <c r="C281" t="s">
        <v>502</v>
      </c>
      <c r="D281" t="s">
        <v>498</v>
      </c>
      <c r="E281" t="s">
        <v>502</v>
      </c>
      <c r="F281" t="s">
        <v>13</v>
      </c>
      <c r="G281" t="s">
        <v>525</v>
      </c>
    </row>
    <row r="282" spans="1:7" x14ac:dyDescent="0.3">
      <c r="A282">
        <v>0</v>
      </c>
      <c r="B282" t="s">
        <v>312</v>
      </c>
      <c r="C282" t="s">
        <v>500</v>
      </c>
      <c r="D282" t="s">
        <v>498</v>
      </c>
      <c r="E282" t="s">
        <v>500</v>
      </c>
      <c r="F282" t="s">
        <v>13</v>
      </c>
      <c r="G282" t="s">
        <v>525</v>
      </c>
    </row>
    <row r="283" spans="1:7" x14ac:dyDescent="0.3">
      <c r="A283">
        <v>0</v>
      </c>
      <c r="B283" t="s">
        <v>507</v>
      </c>
      <c r="C283" t="s">
        <v>506</v>
      </c>
      <c r="D283" t="s">
        <v>498</v>
      </c>
      <c r="E283" t="s">
        <v>506</v>
      </c>
      <c r="F283" t="s">
        <v>13</v>
      </c>
      <c r="G283" t="s">
        <v>525</v>
      </c>
    </row>
    <row r="284" spans="1:7" x14ac:dyDescent="0.3">
      <c r="A284">
        <v>0</v>
      </c>
      <c r="B284" t="s">
        <v>312</v>
      </c>
      <c r="C284" t="s">
        <v>514</v>
      </c>
      <c r="D284" t="s">
        <v>498</v>
      </c>
      <c r="E284" t="s">
        <v>514</v>
      </c>
      <c r="F284" t="s">
        <v>13</v>
      </c>
      <c r="G284" t="s">
        <v>525</v>
      </c>
    </row>
    <row r="285" spans="1:7" x14ac:dyDescent="0.3">
      <c r="A285">
        <v>0</v>
      </c>
      <c r="B285" t="s">
        <v>312</v>
      </c>
      <c r="C285" t="s">
        <v>499</v>
      </c>
      <c r="D285" t="s">
        <v>498</v>
      </c>
      <c r="E285" t="s">
        <v>499</v>
      </c>
      <c r="F285" t="s">
        <v>13</v>
      </c>
      <c r="G285" t="s">
        <v>525</v>
      </c>
    </row>
    <row r="286" spans="1:7" x14ac:dyDescent="0.3">
      <c r="A286">
        <v>0</v>
      </c>
      <c r="B286" t="s">
        <v>312</v>
      </c>
      <c r="C286" t="s">
        <v>508</v>
      </c>
      <c r="D286" t="s">
        <v>498</v>
      </c>
      <c r="E286" t="s">
        <v>508</v>
      </c>
      <c r="F286" t="s">
        <v>13</v>
      </c>
      <c r="G286" t="s">
        <v>525</v>
      </c>
    </row>
    <row r="287" spans="1:7" x14ac:dyDescent="0.3">
      <c r="A287">
        <v>0</v>
      </c>
      <c r="B287" t="s">
        <v>312</v>
      </c>
      <c r="C287" t="s">
        <v>519</v>
      </c>
      <c r="D287" t="s">
        <v>498</v>
      </c>
      <c r="E287" t="s">
        <v>519</v>
      </c>
      <c r="F287" t="s">
        <v>13</v>
      </c>
      <c r="G287" t="s">
        <v>525</v>
      </c>
    </row>
    <row r="288" spans="1:7" x14ac:dyDescent="0.3">
      <c r="A288">
        <v>0</v>
      </c>
      <c r="B288" t="s">
        <v>312</v>
      </c>
      <c r="C288" t="s">
        <v>510</v>
      </c>
      <c r="D288" t="s">
        <v>498</v>
      </c>
      <c r="E288" t="s">
        <v>510</v>
      </c>
      <c r="F288" t="s">
        <v>13</v>
      </c>
      <c r="G288" t="s">
        <v>525</v>
      </c>
    </row>
    <row r="289" spans="1:7" x14ac:dyDescent="0.3">
      <c r="A289">
        <v>0</v>
      </c>
      <c r="B289" t="s">
        <v>312</v>
      </c>
      <c r="C289" t="s">
        <v>521</v>
      </c>
      <c r="D289" t="s">
        <v>498</v>
      </c>
      <c r="E289" t="s">
        <v>521</v>
      </c>
      <c r="F289" t="s">
        <v>13</v>
      </c>
      <c r="G289" t="s">
        <v>525</v>
      </c>
    </row>
    <row r="290" spans="1:7" x14ac:dyDescent="0.3">
      <c r="A290">
        <v>0</v>
      </c>
      <c r="B290" t="s">
        <v>312</v>
      </c>
      <c r="C290" t="s">
        <v>501</v>
      </c>
      <c r="D290" t="s">
        <v>498</v>
      </c>
      <c r="E290" t="s">
        <v>501</v>
      </c>
      <c r="F290" t="s">
        <v>13</v>
      </c>
      <c r="G290" t="s">
        <v>525</v>
      </c>
    </row>
    <row r="291" spans="1:7" x14ac:dyDescent="0.3">
      <c r="A291">
        <v>0</v>
      </c>
      <c r="B291" t="s">
        <v>312</v>
      </c>
      <c r="C291" t="s">
        <v>504</v>
      </c>
      <c r="D291" t="s">
        <v>498</v>
      </c>
      <c r="E291" t="s">
        <v>504</v>
      </c>
      <c r="F291" t="s">
        <v>13</v>
      </c>
      <c r="G291" t="s">
        <v>525</v>
      </c>
    </row>
    <row r="292" spans="1:7" x14ac:dyDescent="0.3">
      <c r="A292">
        <v>0</v>
      </c>
      <c r="B292" t="s">
        <v>312</v>
      </c>
      <c r="C292" t="s">
        <v>520</v>
      </c>
      <c r="D292" t="s">
        <v>498</v>
      </c>
      <c r="E292" t="s">
        <v>520</v>
      </c>
      <c r="F292" t="s">
        <v>13</v>
      </c>
      <c r="G292" t="s">
        <v>525</v>
      </c>
    </row>
    <row r="293" spans="1:7" x14ac:dyDescent="0.3">
      <c r="A293">
        <v>0</v>
      </c>
      <c r="B293" t="s">
        <v>312</v>
      </c>
      <c r="C293" t="s">
        <v>523</v>
      </c>
      <c r="D293" t="s">
        <v>498</v>
      </c>
      <c r="E293" t="s">
        <v>523</v>
      </c>
      <c r="F293" t="s">
        <v>13</v>
      </c>
      <c r="G293" t="s">
        <v>525</v>
      </c>
    </row>
    <row r="294" spans="1:7" x14ac:dyDescent="0.3">
      <c r="A294">
        <v>0</v>
      </c>
      <c r="B294" t="s">
        <v>312</v>
      </c>
      <c r="C294" t="s">
        <v>503</v>
      </c>
      <c r="D294" t="s">
        <v>498</v>
      </c>
      <c r="E294" t="s">
        <v>503</v>
      </c>
      <c r="F294" t="s">
        <v>13</v>
      </c>
      <c r="G294" t="s">
        <v>525</v>
      </c>
    </row>
    <row r="295" spans="1:7" x14ac:dyDescent="0.3">
      <c r="A295">
        <v>0</v>
      </c>
      <c r="B295" t="s">
        <v>312</v>
      </c>
      <c r="C295" t="s">
        <v>512</v>
      </c>
      <c r="D295" t="s">
        <v>498</v>
      </c>
      <c r="E295" t="s">
        <v>512</v>
      </c>
      <c r="F295" t="s">
        <v>13</v>
      </c>
      <c r="G295" t="s">
        <v>525</v>
      </c>
    </row>
    <row r="296" spans="1:7" x14ac:dyDescent="0.3">
      <c r="A296">
        <v>0</v>
      </c>
      <c r="B296" t="s">
        <v>312</v>
      </c>
      <c r="C296" t="s">
        <v>505</v>
      </c>
      <c r="D296" t="s">
        <v>498</v>
      </c>
      <c r="E296" t="s">
        <v>505</v>
      </c>
      <c r="F296" t="s">
        <v>13</v>
      </c>
      <c r="G296" t="s">
        <v>525</v>
      </c>
    </row>
    <row r="297" spans="1:7" x14ac:dyDescent="0.3">
      <c r="A297">
        <v>0</v>
      </c>
      <c r="B297" t="s">
        <v>312</v>
      </c>
      <c r="C297" t="s">
        <v>518</v>
      </c>
      <c r="D297" t="s">
        <v>498</v>
      </c>
      <c r="E297" t="s">
        <v>518</v>
      </c>
      <c r="F297" t="s">
        <v>13</v>
      </c>
      <c r="G297" t="s">
        <v>525</v>
      </c>
    </row>
    <row r="298" spans="1:7" x14ac:dyDescent="0.3">
      <c r="A298">
        <v>0</v>
      </c>
      <c r="B298" t="s">
        <v>312</v>
      </c>
      <c r="C298" t="s">
        <v>522</v>
      </c>
      <c r="D298" t="s">
        <v>498</v>
      </c>
      <c r="E298" t="s">
        <v>522</v>
      </c>
      <c r="F298" t="s">
        <v>13</v>
      </c>
      <c r="G298" t="s">
        <v>525</v>
      </c>
    </row>
    <row r="299" spans="1:7" x14ac:dyDescent="0.3">
      <c r="A299">
        <v>0</v>
      </c>
      <c r="B299" t="s">
        <v>312</v>
      </c>
      <c r="C299" t="s">
        <v>516</v>
      </c>
      <c r="D299" t="s">
        <v>498</v>
      </c>
      <c r="E299" t="s">
        <v>516</v>
      </c>
      <c r="F299" t="s">
        <v>13</v>
      </c>
      <c r="G299" t="s">
        <v>525</v>
      </c>
    </row>
    <row r="300" spans="1:7" x14ac:dyDescent="0.3">
      <c r="A300">
        <v>0</v>
      </c>
      <c r="B300" t="s">
        <v>312</v>
      </c>
      <c r="C300" t="s">
        <v>517</v>
      </c>
      <c r="D300" t="s">
        <v>498</v>
      </c>
      <c r="E300" t="s">
        <v>517</v>
      </c>
      <c r="F300" t="s">
        <v>13</v>
      </c>
      <c r="G300" t="s">
        <v>525</v>
      </c>
    </row>
    <row r="301" spans="1:7" x14ac:dyDescent="0.3">
      <c r="A301">
        <v>0</v>
      </c>
      <c r="B301" t="s">
        <v>16</v>
      </c>
      <c r="C301" s="2" t="s">
        <v>22</v>
      </c>
      <c r="D301" t="s">
        <v>2</v>
      </c>
      <c r="E301" s="2" t="s">
        <v>22</v>
      </c>
      <c r="F301" t="s">
        <v>13</v>
      </c>
      <c r="G301" t="s">
        <v>525</v>
      </c>
    </row>
    <row r="302" spans="1:7" x14ac:dyDescent="0.3">
      <c r="A302">
        <v>0</v>
      </c>
      <c r="B302" t="s">
        <v>16</v>
      </c>
      <c r="C302" s="2" t="s">
        <v>49</v>
      </c>
      <c r="D302" t="s">
        <v>2</v>
      </c>
      <c r="E302" s="2" t="s">
        <v>49</v>
      </c>
      <c r="F302" t="s">
        <v>13</v>
      </c>
      <c r="G302" t="s">
        <v>525</v>
      </c>
    </row>
    <row r="303" spans="1:7" x14ac:dyDescent="0.3">
      <c r="A303">
        <v>0</v>
      </c>
      <c r="B303" t="s">
        <v>312</v>
      </c>
      <c r="C303" s="2" t="s">
        <v>55</v>
      </c>
      <c r="D303" t="s">
        <v>2</v>
      </c>
      <c r="E303" s="2" t="s">
        <v>55</v>
      </c>
      <c r="F303" t="s">
        <v>13</v>
      </c>
      <c r="G303" t="s">
        <v>525</v>
      </c>
    </row>
    <row r="304" spans="1:7" x14ac:dyDescent="0.3">
      <c r="A304">
        <v>0</v>
      </c>
      <c r="B304" t="s">
        <v>312</v>
      </c>
      <c r="C304" t="s">
        <v>59</v>
      </c>
      <c r="D304" t="s">
        <v>2</v>
      </c>
      <c r="E304" t="s">
        <v>59</v>
      </c>
      <c r="F304" t="s">
        <v>13</v>
      </c>
      <c r="G304" t="s">
        <v>525</v>
      </c>
    </row>
    <row r="305" spans="1:7" x14ac:dyDescent="0.3">
      <c r="A305">
        <v>0</v>
      </c>
      <c r="B305" t="s">
        <v>16</v>
      </c>
      <c r="C305" s="2" t="s">
        <v>61</v>
      </c>
      <c r="D305" t="s">
        <v>2</v>
      </c>
      <c r="E305" s="2" t="s">
        <v>61</v>
      </c>
      <c r="F305" t="s">
        <v>13</v>
      </c>
      <c r="G305" t="s">
        <v>525</v>
      </c>
    </row>
    <row r="306" spans="1:7" x14ac:dyDescent="0.3">
      <c r="A306">
        <v>0</v>
      </c>
      <c r="B306" t="s">
        <v>312</v>
      </c>
      <c r="C306" s="2" t="s">
        <v>67</v>
      </c>
      <c r="D306" t="s">
        <v>2</v>
      </c>
      <c r="E306" s="2" t="s">
        <v>67</v>
      </c>
      <c r="F306" t="s">
        <v>13</v>
      </c>
      <c r="G306" t="s">
        <v>525</v>
      </c>
    </row>
    <row r="307" spans="1:7" x14ac:dyDescent="0.3">
      <c r="A307">
        <v>0</v>
      </c>
      <c r="B307" t="s">
        <v>312</v>
      </c>
      <c r="C307" t="s">
        <v>73</v>
      </c>
      <c r="D307" t="s">
        <v>2</v>
      </c>
      <c r="E307" t="s">
        <v>73</v>
      </c>
      <c r="F307" t="s">
        <v>13</v>
      </c>
      <c r="G307" t="s">
        <v>525</v>
      </c>
    </row>
    <row r="308" spans="1:7" x14ac:dyDescent="0.3">
      <c r="A308">
        <v>0</v>
      </c>
      <c r="B308" t="s">
        <v>312</v>
      </c>
      <c r="C308" t="s">
        <v>79</v>
      </c>
      <c r="D308" t="s">
        <v>2</v>
      </c>
      <c r="E308" t="s">
        <v>79</v>
      </c>
      <c r="F308" t="s">
        <v>13</v>
      </c>
      <c r="G308" t="s">
        <v>525</v>
      </c>
    </row>
    <row r="309" spans="1:7" x14ac:dyDescent="0.3">
      <c r="A309">
        <v>0</v>
      </c>
      <c r="B309" t="s">
        <v>312</v>
      </c>
      <c r="C309" t="s">
        <v>82</v>
      </c>
      <c r="D309" t="s">
        <v>2</v>
      </c>
      <c r="E309" t="s">
        <v>82</v>
      </c>
      <c r="F309" t="s">
        <v>13</v>
      </c>
      <c r="G309" t="s">
        <v>525</v>
      </c>
    </row>
    <row r="310" spans="1:7" x14ac:dyDescent="0.3">
      <c r="A310">
        <v>0</v>
      </c>
      <c r="B310" t="s">
        <v>312</v>
      </c>
      <c r="C310" t="s">
        <v>85</v>
      </c>
      <c r="D310" t="s">
        <v>2</v>
      </c>
      <c r="E310" t="s">
        <v>85</v>
      </c>
      <c r="F310" t="s">
        <v>13</v>
      </c>
      <c r="G310" t="s">
        <v>525</v>
      </c>
    </row>
    <row r="311" spans="1:7" x14ac:dyDescent="0.3">
      <c r="A311">
        <v>0</v>
      </c>
      <c r="B311" t="s">
        <v>312</v>
      </c>
      <c r="C311" t="s">
        <v>88</v>
      </c>
      <c r="D311" t="s">
        <v>2</v>
      </c>
      <c r="E311" t="s">
        <v>88</v>
      </c>
      <c r="F311" t="s">
        <v>13</v>
      </c>
      <c r="G311" t="s">
        <v>525</v>
      </c>
    </row>
    <row r="312" spans="1:7" x14ac:dyDescent="0.3">
      <c r="A312">
        <v>0</v>
      </c>
      <c r="B312" t="s">
        <v>312</v>
      </c>
      <c r="C312" t="s">
        <v>91</v>
      </c>
      <c r="D312" t="s">
        <v>2</v>
      </c>
      <c r="E312" t="s">
        <v>91</v>
      </c>
      <c r="F312" t="s">
        <v>13</v>
      </c>
      <c r="G312" t="s">
        <v>525</v>
      </c>
    </row>
    <row r="313" spans="1:7" x14ac:dyDescent="0.3">
      <c r="A313">
        <v>0</v>
      </c>
      <c r="B313" t="s">
        <v>312</v>
      </c>
      <c r="C313" t="s">
        <v>94</v>
      </c>
      <c r="D313" t="s">
        <v>2</v>
      </c>
      <c r="E313" t="s">
        <v>94</v>
      </c>
      <c r="F313" t="s">
        <v>13</v>
      </c>
      <c r="G313" t="s">
        <v>525</v>
      </c>
    </row>
    <row r="314" spans="1:7" x14ac:dyDescent="0.3">
      <c r="A314">
        <v>0</v>
      </c>
      <c r="B314" t="s">
        <v>312</v>
      </c>
      <c r="C314" t="s">
        <v>97</v>
      </c>
      <c r="D314" t="s">
        <v>2</v>
      </c>
      <c r="E314" t="s">
        <v>97</v>
      </c>
      <c r="F314" t="s">
        <v>13</v>
      </c>
      <c r="G314" t="s">
        <v>525</v>
      </c>
    </row>
    <row r="315" spans="1:7" x14ac:dyDescent="0.3">
      <c r="A315">
        <v>0</v>
      </c>
      <c r="B315" t="s">
        <v>312</v>
      </c>
      <c r="C315" t="s">
        <v>100</v>
      </c>
      <c r="D315" t="s">
        <v>2</v>
      </c>
      <c r="E315" t="s">
        <v>100</v>
      </c>
      <c r="F315" t="s">
        <v>13</v>
      </c>
      <c r="G315" t="s">
        <v>525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315"/>
  <sheetViews>
    <sheetView topLeftCell="A49" workbookViewId="0">
      <selection activeCell="A60" sqref="A60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50.149466825925401</v>
      </c>
      <c r="B2" t="s">
        <v>16</v>
      </c>
      <c r="C2" t="s">
        <v>22</v>
      </c>
      <c r="D2" t="s">
        <v>2</v>
      </c>
      <c r="E2" t="s">
        <v>22</v>
      </c>
      <c r="F2" s="4" t="s">
        <v>13</v>
      </c>
      <c r="G2" t="s">
        <v>525</v>
      </c>
      <c r="H2" t="s">
        <v>529</v>
      </c>
    </row>
    <row r="3" spans="1:9" x14ac:dyDescent="0.3">
      <c r="A3">
        <v>19.763336680167665</v>
      </c>
      <c r="B3" t="s">
        <v>57</v>
      </c>
      <c r="C3" t="s">
        <v>559</v>
      </c>
      <c r="D3" t="s">
        <v>2</v>
      </c>
      <c r="E3" s="2" t="s">
        <v>315</v>
      </c>
      <c r="F3" t="s">
        <v>13</v>
      </c>
      <c r="G3" t="s">
        <v>525</v>
      </c>
      <c r="H3" t="s">
        <v>529</v>
      </c>
    </row>
    <row r="4" spans="1:9" x14ac:dyDescent="0.3">
      <c r="A4" s="5">
        <v>2.4210087433205389E-3</v>
      </c>
      <c r="B4" t="s">
        <v>57</v>
      </c>
      <c r="C4" t="s">
        <v>560</v>
      </c>
      <c r="D4" t="s">
        <v>2</v>
      </c>
      <c r="E4" t="s">
        <v>149</v>
      </c>
      <c r="F4" t="s">
        <v>13</v>
      </c>
      <c r="G4" t="s">
        <v>525</v>
      </c>
      <c r="H4" t="s">
        <v>530</v>
      </c>
    </row>
    <row r="5" spans="1:9" x14ac:dyDescent="0.3">
      <c r="A5" s="5">
        <v>0.31621338688268263</v>
      </c>
      <c r="B5" t="s">
        <v>57</v>
      </c>
      <c r="C5" t="s">
        <v>561</v>
      </c>
      <c r="D5" t="s">
        <v>2</v>
      </c>
      <c r="E5" t="s">
        <v>149</v>
      </c>
      <c r="F5" t="s">
        <v>13</v>
      </c>
      <c r="G5" t="s">
        <v>525</v>
      </c>
      <c r="H5" t="s">
        <v>532</v>
      </c>
    </row>
    <row r="6" spans="1:9" x14ac:dyDescent="0.3">
      <c r="A6" s="5">
        <v>3.0139088437255686E-3</v>
      </c>
      <c r="B6" t="s">
        <v>57</v>
      </c>
      <c r="C6" t="s">
        <v>562</v>
      </c>
      <c r="D6" t="s">
        <v>2</v>
      </c>
      <c r="E6" t="s">
        <v>149</v>
      </c>
      <c r="F6" t="s">
        <v>13</v>
      </c>
      <c r="G6" t="s">
        <v>525</v>
      </c>
      <c r="H6" t="s">
        <v>534</v>
      </c>
    </row>
    <row r="7" spans="1:9" x14ac:dyDescent="0.3">
      <c r="A7">
        <v>5.4349175870461073</v>
      </c>
      <c r="B7" t="s">
        <v>57</v>
      </c>
      <c r="C7" t="s">
        <v>563</v>
      </c>
      <c r="D7" t="s">
        <v>2</v>
      </c>
      <c r="E7" t="s">
        <v>149</v>
      </c>
      <c r="F7" t="s">
        <v>13</v>
      </c>
      <c r="G7" t="s">
        <v>525</v>
      </c>
      <c r="H7" t="s">
        <v>546</v>
      </c>
    </row>
    <row r="8" spans="1:9" x14ac:dyDescent="0.3">
      <c r="A8">
        <v>19.763336680167665</v>
      </c>
      <c r="B8" t="s">
        <v>57</v>
      </c>
      <c r="C8" t="s">
        <v>564</v>
      </c>
      <c r="D8" t="s">
        <v>2</v>
      </c>
      <c r="E8" s="2" t="s">
        <v>352</v>
      </c>
      <c r="F8" t="s">
        <v>13</v>
      </c>
      <c r="G8" t="s">
        <v>525</v>
      </c>
      <c r="H8" t="s">
        <v>538</v>
      </c>
    </row>
    <row r="9" spans="1:9" x14ac:dyDescent="0.3">
      <c r="A9">
        <v>2.9874811260718563</v>
      </c>
      <c r="B9" t="s">
        <v>57</v>
      </c>
      <c r="C9" t="s">
        <v>565</v>
      </c>
      <c r="D9" t="s">
        <v>2</v>
      </c>
      <c r="E9" t="s">
        <v>369</v>
      </c>
      <c r="F9" t="s">
        <v>13</v>
      </c>
      <c r="G9" t="s">
        <v>525</v>
      </c>
      <c r="H9" t="s">
        <v>530</v>
      </c>
    </row>
    <row r="10" spans="1:9" x14ac:dyDescent="0.3">
      <c r="A10" s="6">
        <v>0.83994180890712578</v>
      </c>
      <c r="B10" s="7" t="s">
        <v>57</v>
      </c>
      <c r="C10" s="7" t="s">
        <v>566</v>
      </c>
      <c r="D10" s="7" t="s">
        <v>2</v>
      </c>
      <c r="E10" s="8" t="s">
        <v>352</v>
      </c>
      <c r="F10" s="7" t="s">
        <v>13</v>
      </c>
      <c r="G10" s="7" t="s">
        <v>525</v>
      </c>
      <c r="H10" s="9" t="s">
        <v>534</v>
      </c>
    </row>
    <row r="11" spans="1:9" x14ac:dyDescent="0.3">
      <c r="A11" s="10">
        <v>2.7174587935230536</v>
      </c>
      <c r="B11" t="s">
        <v>57</v>
      </c>
      <c r="C11" t="s">
        <v>567</v>
      </c>
      <c r="D11" t="s">
        <v>2</v>
      </c>
      <c r="E11" t="s">
        <v>369</v>
      </c>
      <c r="F11" t="s">
        <v>13</v>
      </c>
      <c r="G11" t="s">
        <v>525</v>
      </c>
      <c r="H11" s="11" t="s">
        <v>534</v>
      </c>
    </row>
    <row r="12" spans="1:9" x14ac:dyDescent="0.3">
      <c r="A12" s="12">
        <v>7.1395794882231192</v>
      </c>
      <c r="B12" s="7" t="s">
        <v>57</v>
      </c>
      <c r="C12" s="7" t="s">
        <v>568</v>
      </c>
      <c r="D12" s="7" t="s">
        <v>2</v>
      </c>
      <c r="E12" s="7" t="s">
        <v>412</v>
      </c>
      <c r="F12" s="7" t="s">
        <v>13</v>
      </c>
      <c r="G12" s="7" t="s">
        <v>525</v>
      </c>
      <c r="H12" s="9" t="s">
        <v>546</v>
      </c>
    </row>
    <row r="13" spans="1:9" x14ac:dyDescent="0.3">
      <c r="A13" s="13">
        <v>16.0191725461099</v>
      </c>
      <c r="B13" t="s">
        <v>57</v>
      </c>
      <c r="C13" t="s">
        <v>540</v>
      </c>
      <c r="D13" t="s">
        <v>2</v>
      </c>
      <c r="E13" t="s">
        <v>345</v>
      </c>
      <c r="F13" t="s">
        <v>13</v>
      </c>
      <c r="G13" t="s">
        <v>525</v>
      </c>
      <c r="H13" s="11" t="s">
        <v>538</v>
      </c>
    </row>
    <row r="14" spans="1:9" x14ac:dyDescent="0.3">
      <c r="A14" s="13">
        <v>2.9000226161061029</v>
      </c>
      <c r="B14" t="s">
        <v>57</v>
      </c>
      <c r="C14" t="s">
        <v>560</v>
      </c>
      <c r="D14" t="s">
        <v>2</v>
      </c>
      <c r="E14" t="s">
        <v>431</v>
      </c>
      <c r="F14" t="s">
        <v>13</v>
      </c>
      <c r="G14" t="s">
        <v>525</v>
      </c>
      <c r="H14" s="11" t="s">
        <v>539</v>
      </c>
    </row>
    <row r="15" spans="1:9" x14ac:dyDescent="0.3">
      <c r="A15" s="13">
        <v>65.181460704860982</v>
      </c>
      <c r="B15" t="s">
        <v>57</v>
      </c>
      <c r="C15" t="s">
        <v>569</v>
      </c>
      <c r="D15" t="s">
        <v>2</v>
      </c>
      <c r="E15" t="s">
        <v>333</v>
      </c>
      <c r="F15" t="s">
        <v>13</v>
      </c>
      <c r="G15" t="s">
        <v>525</v>
      </c>
      <c r="H15" s="11" t="s">
        <v>541</v>
      </c>
    </row>
    <row r="16" spans="1:9" x14ac:dyDescent="0.3">
      <c r="A16" s="13">
        <v>2.9000226161061029</v>
      </c>
      <c r="B16" t="s">
        <v>57</v>
      </c>
      <c r="C16" t="s">
        <v>570</v>
      </c>
      <c r="D16" t="s">
        <v>2</v>
      </c>
      <c r="E16" t="s">
        <v>355</v>
      </c>
      <c r="F16" t="s">
        <v>13</v>
      </c>
      <c r="G16" t="s">
        <v>525</v>
      </c>
      <c r="H16" s="11" t="s">
        <v>553</v>
      </c>
    </row>
    <row r="17" spans="1:8" x14ac:dyDescent="0.3">
      <c r="A17" s="13">
        <v>58.000452322122058</v>
      </c>
      <c r="B17" t="s">
        <v>57</v>
      </c>
      <c r="C17" t="s">
        <v>571</v>
      </c>
      <c r="D17" t="s">
        <v>2</v>
      </c>
      <c r="E17" t="s">
        <v>387</v>
      </c>
      <c r="F17" t="s">
        <v>13</v>
      </c>
      <c r="G17" t="s">
        <v>525</v>
      </c>
      <c r="H17" s="11" t="s">
        <v>554</v>
      </c>
    </row>
    <row r="18" spans="1:8" x14ac:dyDescent="0.3">
      <c r="A18" s="13">
        <v>5.5238526021068628</v>
      </c>
      <c r="B18" t="s">
        <v>57</v>
      </c>
      <c r="C18" t="s">
        <v>572</v>
      </c>
      <c r="D18" t="s">
        <v>2</v>
      </c>
      <c r="E18" t="s">
        <v>322</v>
      </c>
      <c r="F18" t="s">
        <v>13</v>
      </c>
      <c r="G18" t="s">
        <v>525</v>
      </c>
      <c r="H18" s="11" t="s">
        <v>550</v>
      </c>
    </row>
    <row r="19" spans="1:8" x14ac:dyDescent="0.3">
      <c r="A19" s="13">
        <v>16.0191725461099</v>
      </c>
      <c r="B19" t="s">
        <v>57</v>
      </c>
      <c r="C19" t="s">
        <v>564</v>
      </c>
      <c r="D19" t="s">
        <v>2</v>
      </c>
      <c r="E19" s="2" t="s">
        <v>352</v>
      </c>
      <c r="F19" t="s">
        <v>13</v>
      </c>
      <c r="G19" t="s">
        <v>525</v>
      </c>
      <c r="H19" s="11" t="s">
        <v>555</v>
      </c>
    </row>
    <row r="20" spans="1:8" x14ac:dyDescent="0.3">
      <c r="A20" s="6">
        <v>0.22095410408427449</v>
      </c>
      <c r="B20" s="7" t="s">
        <v>57</v>
      </c>
      <c r="C20" s="7" t="s">
        <v>559</v>
      </c>
      <c r="D20" s="7" t="s">
        <v>2</v>
      </c>
      <c r="E20" s="8" t="s">
        <v>315</v>
      </c>
      <c r="F20" s="7" t="s">
        <v>13</v>
      </c>
      <c r="G20" s="7" t="s">
        <v>525</v>
      </c>
      <c r="H20" s="9" t="s">
        <v>554</v>
      </c>
    </row>
    <row r="21" spans="1:8" x14ac:dyDescent="0.3">
      <c r="A21" s="10">
        <v>9.0867375304657896E-2</v>
      </c>
      <c r="B21" t="s">
        <v>57</v>
      </c>
      <c r="C21" t="s">
        <v>573</v>
      </c>
      <c r="D21" t="s">
        <v>2</v>
      </c>
      <c r="E21" t="s">
        <v>352</v>
      </c>
      <c r="F21" t="s">
        <v>13</v>
      </c>
      <c r="G21" t="s">
        <v>525</v>
      </c>
      <c r="H21" s="11" t="s">
        <v>550</v>
      </c>
    </row>
    <row r="22" spans="1:8" x14ac:dyDescent="0.3">
      <c r="A22" s="10">
        <v>0.17521660453882967</v>
      </c>
      <c r="B22" t="s">
        <v>57</v>
      </c>
      <c r="C22" t="s">
        <v>574</v>
      </c>
      <c r="D22" t="s">
        <v>2</v>
      </c>
      <c r="E22" t="s">
        <v>352</v>
      </c>
      <c r="F22" t="s">
        <v>13</v>
      </c>
      <c r="G22" t="s">
        <v>525</v>
      </c>
      <c r="H22" s="11" t="s">
        <v>555</v>
      </c>
    </row>
    <row r="23" spans="1:8" x14ac:dyDescent="0.3">
      <c r="A23" s="10">
        <v>1.3809631505267156E-2</v>
      </c>
      <c r="B23" t="s">
        <v>57</v>
      </c>
      <c r="C23" t="s">
        <v>575</v>
      </c>
      <c r="D23" t="s">
        <v>2</v>
      </c>
      <c r="E23" t="s">
        <v>352</v>
      </c>
      <c r="F23" t="s">
        <v>13</v>
      </c>
      <c r="G23" t="s">
        <v>525</v>
      </c>
      <c r="H23" s="11" t="s">
        <v>556</v>
      </c>
    </row>
    <row r="24" spans="1:8" x14ac:dyDescent="0.3">
      <c r="A24" s="10">
        <v>0.13809631505267156</v>
      </c>
      <c r="B24" t="s">
        <v>57</v>
      </c>
      <c r="C24" t="s">
        <v>576</v>
      </c>
      <c r="D24" t="s">
        <v>2</v>
      </c>
      <c r="E24" t="s">
        <v>352</v>
      </c>
      <c r="F24" t="s">
        <v>13</v>
      </c>
      <c r="G24" t="s">
        <v>525</v>
      </c>
      <c r="H24" s="11" t="s">
        <v>557</v>
      </c>
    </row>
    <row r="25" spans="1:8" x14ac:dyDescent="0.3">
      <c r="A25" s="10">
        <v>7.1395794882231192</v>
      </c>
      <c r="B25" t="s">
        <v>57</v>
      </c>
      <c r="C25" t="s">
        <v>568</v>
      </c>
      <c r="D25" t="s">
        <v>2</v>
      </c>
      <c r="E25" t="s">
        <v>412</v>
      </c>
      <c r="F25" t="s">
        <v>13</v>
      </c>
      <c r="G25" t="s">
        <v>525</v>
      </c>
      <c r="H25" s="11" t="s">
        <v>558</v>
      </c>
    </row>
    <row r="26" spans="1:8" x14ac:dyDescent="0.3">
      <c r="A26" s="10">
        <v>1.1876283094529754</v>
      </c>
      <c r="B26" t="s">
        <v>57</v>
      </c>
      <c r="C26" t="s">
        <v>540</v>
      </c>
      <c r="D26" t="s">
        <v>2</v>
      </c>
      <c r="E26" t="s">
        <v>345</v>
      </c>
      <c r="F26" t="s">
        <v>13</v>
      </c>
      <c r="G26" t="s">
        <v>525</v>
      </c>
      <c r="H26" s="11" t="s">
        <v>577</v>
      </c>
    </row>
    <row r="27" spans="1:8" x14ac:dyDescent="0.3">
      <c r="A27" s="10">
        <v>8.285778903160293E-2</v>
      </c>
      <c r="B27" t="s">
        <v>57</v>
      </c>
      <c r="C27" t="s">
        <v>578</v>
      </c>
      <c r="D27" t="s">
        <v>2</v>
      </c>
      <c r="E27" t="s">
        <v>371</v>
      </c>
      <c r="F27" t="s">
        <v>13</v>
      </c>
      <c r="G27" t="s">
        <v>525</v>
      </c>
      <c r="H27" s="11" t="s">
        <v>579</v>
      </c>
    </row>
    <row r="28" spans="1:8" x14ac:dyDescent="0.3">
      <c r="A28" s="10">
        <v>1.7952520956847302</v>
      </c>
      <c r="B28" t="s">
        <v>57</v>
      </c>
      <c r="C28" t="s">
        <v>580</v>
      </c>
      <c r="D28" t="s">
        <v>2</v>
      </c>
      <c r="E28" t="s">
        <v>352</v>
      </c>
      <c r="F28" t="s">
        <v>13</v>
      </c>
      <c r="G28" t="s">
        <v>525</v>
      </c>
      <c r="H28" s="11" t="s">
        <v>581</v>
      </c>
    </row>
    <row r="29" spans="1:8" x14ac:dyDescent="0.3">
      <c r="A29" s="10">
        <v>5.523852602106863E-4</v>
      </c>
      <c r="B29" t="s">
        <v>57</v>
      </c>
      <c r="C29" t="s">
        <v>582</v>
      </c>
      <c r="D29" t="s">
        <v>2</v>
      </c>
      <c r="E29" t="s">
        <v>352</v>
      </c>
      <c r="F29" t="s">
        <v>13</v>
      </c>
      <c r="G29" t="s">
        <v>525</v>
      </c>
      <c r="H29" s="11" t="s">
        <v>583</v>
      </c>
    </row>
    <row r="30" spans="1:8" x14ac:dyDescent="0.3">
      <c r="A30" s="10">
        <v>2.7619263010534314E-3</v>
      </c>
      <c r="B30" t="s">
        <v>57</v>
      </c>
      <c r="C30" t="s">
        <v>571</v>
      </c>
      <c r="D30" t="s">
        <v>2</v>
      </c>
      <c r="E30" t="s">
        <v>387</v>
      </c>
      <c r="F30" t="s">
        <v>13</v>
      </c>
      <c r="G30" t="s">
        <v>525</v>
      </c>
      <c r="H30" s="11" t="s">
        <v>584</v>
      </c>
    </row>
    <row r="31" spans="1:8" x14ac:dyDescent="0.3">
      <c r="A31" s="10">
        <v>8.2857789031602937E-3</v>
      </c>
      <c r="B31" t="s">
        <v>57</v>
      </c>
      <c r="C31" t="s">
        <v>585</v>
      </c>
      <c r="D31" t="s">
        <v>2</v>
      </c>
      <c r="E31" t="s">
        <v>352</v>
      </c>
      <c r="F31" t="s">
        <v>13</v>
      </c>
      <c r="G31" t="s">
        <v>525</v>
      </c>
      <c r="H31" s="11" t="s">
        <v>586</v>
      </c>
    </row>
    <row r="32" spans="1:8" x14ac:dyDescent="0.3">
      <c r="A32" s="10">
        <v>3.3143115612641174</v>
      </c>
      <c r="B32" t="s">
        <v>57</v>
      </c>
      <c r="C32" t="s">
        <v>572</v>
      </c>
      <c r="D32" t="s">
        <v>2</v>
      </c>
      <c r="E32" t="s">
        <v>322</v>
      </c>
      <c r="F32" t="s">
        <v>13</v>
      </c>
      <c r="G32" t="s">
        <v>525</v>
      </c>
      <c r="H32" s="11" t="s">
        <v>587</v>
      </c>
    </row>
    <row r="33" spans="1:8" x14ac:dyDescent="0.3">
      <c r="A33" s="10">
        <v>0.27619263010534312</v>
      </c>
      <c r="B33" t="s">
        <v>57</v>
      </c>
      <c r="C33" t="s">
        <v>588</v>
      </c>
      <c r="D33" t="s">
        <v>2</v>
      </c>
      <c r="E33" t="s">
        <v>352</v>
      </c>
      <c r="F33" t="s">
        <v>13</v>
      </c>
      <c r="G33" t="s">
        <v>525</v>
      </c>
      <c r="H33" s="11" t="s">
        <v>589</v>
      </c>
    </row>
    <row r="34" spans="1:8" x14ac:dyDescent="0.3">
      <c r="A34" s="10">
        <v>8.2857789031602928E-4</v>
      </c>
      <c r="B34" t="s">
        <v>57</v>
      </c>
      <c r="C34" t="s">
        <v>590</v>
      </c>
      <c r="D34" t="s">
        <v>2</v>
      </c>
      <c r="E34" t="s">
        <v>352</v>
      </c>
      <c r="F34" t="s">
        <v>13</v>
      </c>
      <c r="G34" t="s">
        <v>525</v>
      </c>
      <c r="H34" s="11" t="s">
        <v>591</v>
      </c>
    </row>
    <row r="35" spans="1:8" x14ac:dyDescent="0.3">
      <c r="A35" s="14">
        <v>5.523852602106863E-4</v>
      </c>
      <c r="B35" s="15" t="s">
        <v>57</v>
      </c>
      <c r="C35" s="15" t="s">
        <v>592</v>
      </c>
      <c r="D35" s="15" t="s">
        <v>2</v>
      </c>
      <c r="E35" s="15" t="s">
        <v>352</v>
      </c>
      <c r="F35" s="15" t="s">
        <v>13</v>
      </c>
      <c r="G35" s="15" t="s">
        <v>525</v>
      </c>
      <c r="H35" s="16" t="s">
        <v>593</v>
      </c>
    </row>
    <row r="36" spans="1:8" x14ac:dyDescent="0.3">
      <c r="A36" s="12">
        <v>19.763336680167665</v>
      </c>
      <c r="B36" s="7" t="s">
        <v>57</v>
      </c>
      <c r="C36" s="7" t="s">
        <v>559</v>
      </c>
      <c r="D36" s="7" t="s">
        <v>2</v>
      </c>
      <c r="E36" s="8" t="s">
        <v>315</v>
      </c>
      <c r="F36" s="7" t="s">
        <v>13</v>
      </c>
      <c r="G36" s="7" t="s">
        <v>525</v>
      </c>
      <c r="H36" s="9" t="s">
        <v>589</v>
      </c>
    </row>
    <row r="37" spans="1:8" x14ac:dyDescent="0.3">
      <c r="A37" s="10">
        <v>2.4210087433205389E-3</v>
      </c>
      <c r="B37" t="s">
        <v>57</v>
      </c>
      <c r="C37" t="s">
        <v>560</v>
      </c>
      <c r="D37" t="s">
        <v>2</v>
      </c>
      <c r="E37" t="s">
        <v>431</v>
      </c>
      <c r="F37" t="s">
        <v>13</v>
      </c>
      <c r="G37" t="s">
        <v>525</v>
      </c>
      <c r="H37" s="11" t="s">
        <v>591</v>
      </c>
    </row>
    <row r="38" spans="1:8" x14ac:dyDescent="0.3">
      <c r="A38" s="10">
        <v>0.31621338688268263</v>
      </c>
      <c r="B38" t="s">
        <v>57</v>
      </c>
      <c r="C38" t="s">
        <v>561</v>
      </c>
      <c r="D38" t="s">
        <v>2</v>
      </c>
      <c r="E38" t="s">
        <v>476</v>
      </c>
      <c r="F38" t="s">
        <v>13</v>
      </c>
      <c r="G38" t="s">
        <v>525</v>
      </c>
      <c r="H38" s="11" t="s">
        <v>593</v>
      </c>
    </row>
    <row r="39" spans="1:8" x14ac:dyDescent="0.3">
      <c r="A39" s="10">
        <v>3.0139088437255686E-3</v>
      </c>
      <c r="B39" t="s">
        <v>57</v>
      </c>
      <c r="C39" t="s">
        <v>562</v>
      </c>
      <c r="D39" t="s">
        <v>2</v>
      </c>
      <c r="E39" t="s">
        <v>431</v>
      </c>
      <c r="F39" t="s">
        <v>13</v>
      </c>
      <c r="G39" t="s">
        <v>525</v>
      </c>
      <c r="H39" s="11" t="s">
        <v>594</v>
      </c>
    </row>
    <row r="40" spans="1:8" x14ac:dyDescent="0.3">
      <c r="A40" s="13">
        <v>5.4349175870461073</v>
      </c>
      <c r="B40" t="s">
        <v>57</v>
      </c>
      <c r="C40" t="s">
        <v>563</v>
      </c>
      <c r="D40" t="s">
        <v>2</v>
      </c>
      <c r="E40" t="s">
        <v>149</v>
      </c>
      <c r="F40" t="s">
        <v>13</v>
      </c>
      <c r="G40" t="s">
        <v>525</v>
      </c>
      <c r="H40" s="11" t="s">
        <v>595</v>
      </c>
    </row>
    <row r="41" spans="1:8" x14ac:dyDescent="0.3">
      <c r="A41" s="17">
        <v>19.763336680167665</v>
      </c>
      <c r="B41" s="15" t="s">
        <v>57</v>
      </c>
      <c r="C41" s="15" t="s">
        <v>564</v>
      </c>
      <c r="D41" s="15" t="s">
        <v>2</v>
      </c>
      <c r="E41" s="15" t="s">
        <v>352</v>
      </c>
      <c r="F41" s="15" t="s">
        <v>13</v>
      </c>
      <c r="G41" s="15" t="s">
        <v>525</v>
      </c>
      <c r="H41" s="16" t="s">
        <v>596</v>
      </c>
    </row>
    <row r="42" spans="1:8" x14ac:dyDescent="0.3">
      <c r="A42" s="6">
        <v>4.1305373661550417</v>
      </c>
      <c r="B42" s="7" t="s">
        <v>57</v>
      </c>
      <c r="C42" s="7" t="s">
        <v>559</v>
      </c>
      <c r="D42" s="7" t="s">
        <v>2</v>
      </c>
      <c r="E42" s="8" t="s">
        <v>315</v>
      </c>
      <c r="F42" s="7" t="s">
        <v>13</v>
      </c>
      <c r="G42" s="7" t="s">
        <v>525</v>
      </c>
      <c r="H42" s="9" t="s">
        <v>593</v>
      </c>
    </row>
    <row r="43" spans="1:8" x14ac:dyDescent="0.3">
      <c r="A43" s="10">
        <v>0.22727837182192814</v>
      </c>
      <c r="B43" t="s">
        <v>57</v>
      </c>
      <c r="C43" t="s">
        <v>597</v>
      </c>
      <c r="D43" t="s">
        <v>2</v>
      </c>
      <c r="E43" s="2" t="s">
        <v>352</v>
      </c>
      <c r="F43" t="s">
        <v>13</v>
      </c>
      <c r="G43" t="s">
        <v>525</v>
      </c>
      <c r="H43" s="11" t="s">
        <v>594</v>
      </c>
    </row>
    <row r="44" spans="1:8" x14ac:dyDescent="0.3">
      <c r="A44" s="10">
        <v>4.2392357178959639</v>
      </c>
      <c r="B44" t="s">
        <v>57</v>
      </c>
      <c r="C44" t="s">
        <v>598</v>
      </c>
      <c r="D44" t="s">
        <v>2</v>
      </c>
      <c r="E44" t="s">
        <v>418</v>
      </c>
      <c r="F44" t="s">
        <v>13</v>
      </c>
      <c r="G44" t="s">
        <v>525</v>
      </c>
      <c r="H44" s="11" t="s">
        <v>595</v>
      </c>
    </row>
    <row r="45" spans="1:8" x14ac:dyDescent="0.3">
      <c r="A45" s="10">
        <v>2.7915713060736826</v>
      </c>
      <c r="B45" t="s">
        <v>57</v>
      </c>
      <c r="C45" t="s">
        <v>566</v>
      </c>
      <c r="D45" t="s">
        <v>2</v>
      </c>
      <c r="E45" s="2" t="s">
        <v>352</v>
      </c>
      <c r="F45" t="s">
        <v>13</v>
      </c>
      <c r="G45" t="s">
        <v>525</v>
      </c>
      <c r="H45" s="11" t="s">
        <v>596</v>
      </c>
    </row>
    <row r="46" spans="1:8" x14ac:dyDescent="0.3">
      <c r="A46" s="10">
        <v>0.24704170850209581</v>
      </c>
      <c r="B46" t="s">
        <v>16</v>
      </c>
      <c r="C46" t="s">
        <v>599</v>
      </c>
      <c r="D46" t="s">
        <v>2</v>
      </c>
      <c r="E46" t="s">
        <v>61</v>
      </c>
      <c r="F46" s="4" t="s">
        <v>13</v>
      </c>
      <c r="G46" t="s">
        <v>525</v>
      </c>
      <c r="H46" s="11" t="s">
        <v>600</v>
      </c>
    </row>
    <row r="47" spans="1:8" x14ac:dyDescent="0.3">
      <c r="A47" s="10">
        <v>3.9378448335234066E-2</v>
      </c>
      <c r="B47" t="s">
        <v>57</v>
      </c>
      <c r="C47" t="s">
        <v>601</v>
      </c>
      <c r="D47" t="s">
        <v>2</v>
      </c>
      <c r="E47" t="s">
        <v>431</v>
      </c>
      <c r="F47" t="s">
        <v>13</v>
      </c>
      <c r="G47" t="s">
        <v>525</v>
      </c>
      <c r="H47" s="11" t="s">
        <v>602</v>
      </c>
    </row>
    <row r="48" spans="1:8" x14ac:dyDescent="0.3">
      <c r="A48" s="10">
        <v>4.1305373661550417</v>
      </c>
      <c r="B48" t="s">
        <v>57</v>
      </c>
      <c r="C48" t="s">
        <v>603</v>
      </c>
      <c r="D48" t="s">
        <v>2</v>
      </c>
      <c r="E48" s="2" t="s">
        <v>315</v>
      </c>
      <c r="F48" t="s">
        <v>13</v>
      </c>
      <c r="G48" t="s">
        <v>525</v>
      </c>
      <c r="H48" s="11" t="s">
        <v>604</v>
      </c>
    </row>
    <row r="49" spans="1:9" x14ac:dyDescent="0.3">
      <c r="A49" s="10">
        <v>466.90882906896104</v>
      </c>
      <c r="B49" t="s">
        <v>57</v>
      </c>
      <c r="C49" t="s">
        <v>605</v>
      </c>
      <c r="D49" t="s">
        <v>2</v>
      </c>
      <c r="E49" t="s">
        <v>322</v>
      </c>
      <c r="F49" t="s">
        <v>13</v>
      </c>
      <c r="G49" t="s">
        <v>525</v>
      </c>
      <c r="H49" s="11" t="s">
        <v>606</v>
      </c>
    </row>
    <row r="50" spans="1:9" x14ac:dyDescent="0.3">
      <c r="A50" s="10">
        <v>4.1305373661550417</v>
      </c>
      <c r="B50" t="s">
        <v>57</v>
      </c>
      <c r="C50" t="s">
        <v>605</v>
      </c>
      <c r="D50" t="s">
        <v>2</v>
      </c>
      <c r="E50" t="s">
        <v>322</v>
      </c>
      <c r="F50" t="s">
        <v>13</v>
      </c>
      <c r="G50" t="s">
        <v>525</v>
      </c>
      <c r="H50" s="11" t="s">
        <v>607</v>
      </c>
    </row>
    <row r="51" spans="1:9" x14ac:dyDescent="0.3">
      <c r="A51" s="10">
        <v>4.1305373661550417</v>
      </c>
      <c r="B51" t="s">
        <v>57</v>
      </c>
      <c r="C51" t="s">
        <v>608</v>
      </c>
      <c r="D51" t="s">
        <v>2</v>
      </c>
      <c r="E51" t="s">
        <v>322</v>
      </c>
      <c r="F51" t="s">
        <v>13</v>
      </c>
      <c r="G51" t="s">
        <v>525</v>
      </c>
      <c r="H51" s="11" t="s">
        <v>609</v>
      </c>
    </row>
    <row r="52" spans="1:9" x14ac:dyDescent="0.3">
      <c r="A52" s="14">
        <v>466.90882906896104</v>
      </c>
      <c r="B52" s="15" t="s">
        <v>57</v>
      </c>
      <c r="C52" s="15" t="s">
        <v>610</v>
      </c>
      <c r="D52" s="15" t="s">
        <v>2</v>
      </c>
      <c r="E52" s="15" t="s">
        <v>322</v>
      </c>
      <c r="F52" s="15" t="s">
        <v>13</v>
      </c>
      <c r="G52" s="15" t="s">
        <v>525</v>
      </c>
      <c r="H52" s="16" t="s">
        <v>611</v>
      </c>
    </row>
    <row r="53" spans="1:9" x14ac:dyDescent="0.3">
      <c r="A53" s="10">
        <v>0</v>
      </c>
      <c r="B53" s="7" t="s">
        <v>57</v>
      </c>
      <c r="C53" s="7" t="s">
        <v>612</v>
      </c>
      <c r="D53" s="7" t="s">
        <v>2</v>
      </c>
      <c r="E53" s="7" t="s">
        <v>412</v>
      </c>
      <c r="F53" s="7" t="s">
        <v>13</v>
      </c>
      <c r="G53" s="7" t="s">
        <v>525</v>
      </c>
      <c r="H53" s="9" t="s">
        <v>607</v>
      </c>
    </row>
    <row r="54" spans="1:9" x14ac:dyDescent="0.3">
      <c r="A54" s="10">
        <v>0</v>
      </c>
      <c r="B54" t="s">
        <v>57</v>
      </c>
      <c r="C54" t="s">
        <v>605</v>
      </c>
      <c r="D54" t="s">
        <v>2</v>
      </c>
      <c r="E54" t="s">
        <v>322</v>
      </c>
      <c r="F54" t="s">
        <v>13</v>
      </c>
      <c r="G54" t="s">
        <v>525</v>
      </c>
      <c r="H54" s="11" t="s">
        <v>609</v>
      </c>
    </row>
    <row r="55" spans="1:9" x14ac:dyDescent="0.3">
      <c r="A55" s="10">
        <v>0</v>
      </c>
      <c r="B55" t="s">
        <v>57</v>
      </c>
      <c r="C55" t="s">
        <v>613</v>
      </c>
      <c r="D55" t="s">
        <v>2</v>
      </c>
      <c r="E55" t="s">
        <v>322</v>
      </c>
      <c r="F55" t="s">
        <v>13</v>
      </c>
      <c r="G55" t="s">
        <v>525</v>
      </c>
      <c r="H55" s="11" t="s">
        <v>611</v>
      </c>
    </row>
    <row r="56" spans="1:9" x14ac:dyDescent="0.3">
      <c r="A56" s="10">
        <v>0</v>
      </c>
      <c r="B56" t="s">
        <v>57</v>
      </c>
      <c r="C56" t="s">
        <v>614</v>
      </c>
      <c r="D56" t="s">
        <v>2</v>
      </c>
      <c r="E56" t="s">
        <v>322</v>
      </c>
      <c r="F56" t="s">
        <v>13</v>
      </c>
      <c r="G56" t="s">
        <v>525</v>
      </c>
      <c r="H56" s="11" t="s">
        <v>615</v>
      </c>
    </row>
    <row r="57" spans="1:9" x14ac:dyDescent="0.3">
      <c r="A57" s="10">
        <v>0</v>
      </c>
      <c r="B57" s="15" t="s">
        <v>57</v>
      </c>
      <c r="C57" s="15" t="s">
        <v>616</v>
      </c>
      <c r="D57" s="15" t="s">
        <v>2</v>
      </c>
      <c r="E57" s="15" t="s">
        <v>355</v>
      </c>
      <c r="F57" s="15" t="s">
        <v>13</v>
      </c>
      <c r="G57" s="15" t="s">
        <v>525</v>
      </c>
      <c r="H57" s="16" t="s">
        <v>617</v>
      </c>
    </row>
    <row r="58" spans="1:9" x14ac:dyDescent="0.3">
      <c r="A58" s="10">
        <v>0</v>
      </c>
      <c r="B58" t="s">
        <v>314</v>
      </c>
      <c r="C58" t="s">
        <v>495</v>
      </c>
      <c r="D58" t="s">
        <v>494</v>
      </c>
      <c r="E58" t="s">
        <v>495</v>
      </c>
      <c r="F58" t="s">
        <v>13</v>
      </c>
      <c r="G58" t="s">
        <v>525</v>
      </c>
      <c r="H58" t="s">
        <v>618</v>
      </c>
      <c r="I58">
        <v>1.2333333333333332E-2</v>
      </c>
    </row>
    <row r="59" spans="1:9" x14ac:dyDescent="0.3">
      <c r="A59" s="10">
        <v>0</v>
      </c>
      <c r="B59" t="s">
        <v>314</v>
      </c>
      <c r="C59" t="s">
        <v>496</v>
      </c>
      <c r="D59" t="s">
        <v>494</v>
      </c>
      <c r="E59" t="s">
        <v>496</v>
      </c>
      <c r="F59" t="s">
        <v>13</v>
      </c>
      <c r="G59" t="s">
        <v>525</v>
      </c>
      <c r="H59" t="s">
        <v>618</v>
      </c>
      <c r="I59">
        <v>5.3600148159008293E-3</v>
      </c>
    </row>
    <row r="60" spans="1:9" x14ac:dyDescent="0.3">
      <c r="A60" s="5">
        <v>0</v>
      </c>
      <c r="B60" t="s">
        <v>314</v>
      </c>
      <c r="C60" t="s">
        <v>497</v>
      </c>
      <c r="D60" t="s">
        <v>494</v>
      </c>
      <c r="E60" t="s">
        <v>497</v>
      </c>
      <c r="F60" t="s">
        <v>13</v>
      </c>
      <c r="G60" t="s">
        <v>525</v>
      </c>
      <c r="H60" t="s">
        <v>618</v>
      </c>
      <c r="I60">
        <v>8.2633561745137751E-2</v>
      </c>
    </row>
    <row r="61" spans="1:9" x14ac:dyDescent="0.3">
      <c r="A61">
        <v>4.1111111111111101E-4</v>
      </c>
      <c r="B61" t="s">
        <v>507</v>
      </c>
      <c r="C61" t="s">
        <v>506</v>
      </c>
      <c r="D61" t="s">
        <v>498</v>
      </c>
      <c r="E61" t="s">
        <v>506</v>
      </c>
      <c r="F61" t="s">
        <v>13</v>
      </c>
      <c r="G61" t="s">
        <v>525</v>
      </c>
      <c r="H61" t="s">
        <v>618</v>
      </c>
    </row>
    <row r="62" spans="1:9" x14ac:dyDescent="0.3">
      <c r="A62">
        <v>9.5190111120027545</v>
      </c>
      <c r="B62" t="s">
        <v>57</v>
      </c>
      <c r="C62" t="s">
        <v>535</v>
      </c>
      <c r="D62" t="s">
        <v>498</v>
      </c>
      <c r="E62" t="s">
        <v>502</v>
      </c>
      <c r="F62" t="s">
        <v>13</v>
      </c>
      <c r="G62" t="s">
        <v>525</v>
      </c>
      <c r="H62" t="s">
        <v>769</v>
      </c>
    </row>
    <row r="63" spans="1:9" x14ac:dyDescent="0.3">
      <c r="A63">
        <v>1.2846168842108982E-3</v>
      </c>
      <c r="B63" t="s">
        <v>57</v>
      </c>
      <c r="C63" t="s">
        <v>500</v>
      </c>
      <c r="D63" t="s">
        <v>498</v>
      </c>
      <c r="E63" t="s">
        <v>500</v>
      </c>
      <c r="F63" t="s">
        <v>13</v>
      </c>
      <c r="G63" t="s">
        <v>525</v>
      </c>
      <c r="H63" t="s">
        <v>769</v>
      </c>
    </row>
    <row r="64" spans="1:9" x14ac:dyDescent="0.3">
      <c r="A64">
        <v>7.7077013052653895E-5</v>
      </c>
      <c r="B64" t="s">
        <v>57</v>
      </c>
      <c r="C64" t="s">
        <v>511</v>
      </c>
      <c r="D64" t="s">
        <v>498</v>
      </c>
      <c r="E64" t="s">
        <v>511</v>
      </c>
      <c r="F64" t="s">
        <v>13</v>
      </c>
      <c r="G64" t="s">
        <v>525</v>
      </c>
      <c r="H64" t="s">
        <v>769</v>
      </c>
    </row>
    <row r="65" spans="1:8" x14ac:dyDescent="0.3">
      <c r="A65">
        <v>8.658638953802507</v>
      </c>
      <c r="B65" t="s">
        <v>57</v>
      </c>
      <c r="C65" t="s">
        <v>535</v>
      </c>
      <c r="D65" t="s">
        <v>498</v>
      </c>
      <c r="E65" t="s">
        <v>502</v>
      </c>
      <c r="F65" t="s">
        <v>13</v>
      </c>
      <c r="G65" t="s">
        <v>525</v>
      </c>
      <c r="H65" t="s">
        <v>619</v>
      </c>
    </row>
    <row r="66" spans="1:8" x14ac:dyDescent="0.3">
      <c r="A66">
        <v>1.1685072812149132E-3</v>
      </c>
      <c r="B66" t="s">
        <v>57</v>
      </c>
      <c r="C66" t="s">
        <v>500</v>
      </c>
      <c r="D66" t="s">
        <v>498</v>
      </c>
      <c r="E66" t="s">
        <v>500</v>
      </c>
      <c r="F66" t="s">
        <v>13</v>
      </c>
      <c r="G66" t="s">
        <v>525</v>
      </c>
      <c r="H66" t="s">
        <v>619</v>
      </c>
    </row>
    <row r="67" spans="1:8" x14ac:dyDescent="0.3">
      <c r="A67">
        <v>7.0110436872894798E-5</v>
      </c>
      <c r="B67" t="s">
        <v>57</v>
      </c>
      <c r="C67" t="s">
        <v>511</v>
      </c>
      <c r="D67" t="s">
        <v>498</v>
      </c>
      <c r="E67" t="s">
        <v>511</v>
      </c>
      <c r="F67" t="s">
        <v>13</v>
      </c>
      <c r="G67" t="s">
        <v>525</v>
      </c>
      <c r="H67" t="s">
        <v>619</v>
      </c>
    </row>
    <row r="68" spans="1:8" x14ac:dyDescent="0.3">
      <c r="A68">
        <f>$A$2*'[1]PV prod US'!I27</f>
        <v>3.2212252559085804E-4</v>
      </c>
      <c r="B68" t="s">
        <v>314</v>
      </c>
      <c r="C68" t="s">
        <v>620</v>
      </c>
      <c r="D68" t="s">
        <v>2</v>
      </c>
      <c r="E68" s="2" t="s">
        <v>455</v>
      </c>
      <c r="F68" t="s">
        <v>13</v>
      </c>
      <c r="G68" t="s">
        <v>525</v>
      </c>
      <c r="H68" t="s">
        <v>621</v>
      </c>
    </row>
    <row r="69" spans="1:8" x14ac:dyDescent="0.3">
      <c r="A69">
        <f>$A$2*'[1]PV prod US'!I28</f>
        <v>2.1254337369571803E-5</v>
      </c>
      <c r="B69" s="2" t="s">
        <v>314</v>
      </c>
      <c r="C69" t="s">
        <v>622</v>
      </c>
      <c r="D69" t="s">
        <v>2</v>
      </c>
      <c r="E69" s="2" t="s">
        <v>409</v>
      </c>
      <c r="F69" t="s">
        <v>13</v>
      </c>
      <c r="G69" t="s">
        <v>525</v>
      </c>
      <c r="H69" t="s">
        <v>621</v>
      </c>
    </row>
    <row r="70" spans="1:8" x14ac:dyDescent="0.3">
      <c r="A70">
        <f>$A$2*'[1]PV prod US'!I29</f>
        <v>2.2169590014544573E-4</v>
      </c>
      <c r="B70" s="2" t="s">
        <v>314</v>
      </c>
      <c r="C70" t="s">
        <v>623</v>
      </c>
      <c r="D70" t="s">
        <v>2</v>
      </c>
      <c r="E70" s="2" t="s">
        <v>443</v>
      </c>
      <c r="F70" t="s">
        <v>13</v>
      </c>
      <c r="G70" t="s">
        <v>525</v>
      </c>
      <c r="H70" t="s">
        <v>621</v>
      </c>
    </row>
    <row r="71" spans="1:8" x14ac:dyDescent="0.3">
      <c r="A71">
        <f>A2</f>
        <v>50.149466825925401</v>
      </c>
      <c r="B71" s="2" t="s">
        <v>16</v>
      </c>
      <c r="C71" t="s">
        <v>624</v>
      </c>
      <c r="D71" t="s">
        <v>2</v>
      </c>
      <c r="E71" s="2" t="s">
        <v>765</v>
      </c>
      <c r="F71" t="s">
        <v>13</v>
      </c>
      <c r="G71" t="s">
        <v>525</v>
      </c>
      <c r="H71" t="s">
        <v>529</v>
      </c>
    </row>
    <row r="72" spans="1:8" x14ac:dyDescent="0.3">
      <c r="A72">
        <v>0</v>
      </c>
      <c r="B72" t="s">
        <v>312</v>
      </c>
      <c r="C72" t="s">
        <v>483</v>
      </c>
      <c r="D72" t="s">
        <v>2</v>
      </c>
      <c r="E72" t="s">
        <v>483</v>
      </c>
      <c r="F72" t="s">
        <v>13</v>
      </c>
      <c r="G72" t="s">
        <v>525</v>
      </c>
    </row>
    <row r="73" spans="1:8" x14ac:dyDescent="0.3">
      <c r="A73">
        <v>0</v>
      </c>
      <c r="B73" t="s">
        <v>105</v>
      </c>
      <c r="C73" t="s">
        <v>125</v>
      </c>
      <c r="D73" t="s">
        <v>2</v>
      </c>
      <c r="E73" t="s">
        <v>125</v>
      </c>
      <c r="F73" t="s">
        <v>13</v>
      </c>
      <c r="G73" t="s">
        <v>525</v>
      </c>
    </row>
    <row r="74" spans="1:8" x14ac:dyDescent="0.3">
      <c r="A74">
        <v>0</v>
      </c>
      <c r="B74" t="s">
        <v>319</v>
      </c>
      <c r="C74" t="s">
        <v>461</v>
      </c>
      <c r="D74" t="s">
        <v>2</v>
      </c>
      <c r="E74" t="s">
        <v>461</v>
      </c>
      <c r="F74" t="s">
        <v>13</v>
      </c>
      <c r="G74" t="s">
        <v>525</v>
      </c>
    </row>
    <row r="75" spans="1:8" x14ac:dyDescent="0.3">
      <c r="A75">
        <v>0</v>
      </c>
      <c r="B75" t="s">
        <v>314</v>
      </c>
      <c r="C75" t="s">
        <v>395</v>
      </c>
      <c r="D75" t="s">
        <v>2</v>
      </c>
      <c r="E75" t="s">
        <v>395</v>
      </c>
      <c r="F75" t="s">
        <v>13</v>
      </c>
      <c r="G75" t="s">
        <v>525</v>
      </c>
    </row>
    <row r="76" spans="1:8" x14ac:dyDescent="0.3">
      <c r="A76">
        <v>0</v>
      </c>
      <c r="B76" t="s">
        <v>312</v>
      </c>
      <c r="C76" t="s">
        <v>399</v>
      </c>
      <c r="D76" t="s">
        <v>2</v>
      </c>
      <c r="E76" t="s">
        <v>399</v>
      </c>
      <c r="F76" t="s">
        <v>13</v>
      </c>
      <c r="G76" t="s">
        <v>525</v>
      </c>
    </row>
    <row r="77" spans="1:8" x14ac:dyDescent="0.3">
      <c r="A77">
        <v>0</v>
      </c>
      <c r="B77" t="s">
        <v>314</v>
      </c>
      <c r="C77" t="s">
        <v>432</v>
      </c>
      <c r="D77" t="s">
        <v>2</v>
      </c>
      <c r="E77" t="s">
        <v>432</v>
      </c>
      <c r="F77" t="s">
        <v>13</v>
      </c>
      <c r="G77" t="s">
        <v>525</v>
      </c>
    </row>
    <row r="78" spans="1:8" x14ac:dyDescent="0.3">
      <c r="A78">
        <v>0</v>
      </c>
      <c r="B78" t="s">
        <v>312</v>
      </c>
      <c r="C78" t="s">
        <v>325</v>
      </c>
      <c r="D78" t="s">
        <v>2</v>
      </c>
      <c r="E78" t="s">
        <v>325</v>
      </c>
      <c r="F78" t="s">
        <v>13</v>
      </c>
      <c r="G78" t="s">
        <v>525</v>
      </c>
    </row>
    <row r="79" spans="1:8" x14ac:dyDescent="0.3">
      <c r="A79">
        <v>0</v>
      </c>
      <c r="B79" t="s">
        <v>314</v>
      </c>
      <c r="C79" t="s">
        <v>372</v>
      </c>
      <c r="D79" t="s">
        <v>2</v>
      </c>
      <c r="E79" t="s">
        <v>372</v>
      </c>
      <c r="F79" t="s">
        <v>13</v>
      </c>
      <c r="G79" t="s">
        <v>525</v>
      </c>
    </row>
    <row r="80" spans="1:8" x14ac:dyDescent="0.3">
      <c r="A80">
        <v>0</v>
      </c>
      <c r="B80" t="s">
        <v>314</v>
      </c>
      <c r="C80" t="s">
        <v>260</v>
      </c>
      <c r="D80" t="s">
        <v>2</v>
      </c>
      <c r="E80" t="s">
        <v>260</v>
      </c>
      <c r="F80" t="s">
        <v>13</v>
      </c>
      <c r="G80" t="s">
        <v>525</v>
      </c>
    </row>
    <row r="81" spans="1:7" x14ac:dyDescent="0.3">
      <c r="A81">
        <v>0</v>
      </c>
      <c r="B81" t="s">
        <v>312</v>
      </c>
      <c r="C81" t="s">
        <v>330</v>
      </c>
      <c r="D81" t="s">
        <v>2</v>
      </c>
      <c r="E81" t="s">
        <v>330</v>
      </c>
      <c r="F81" t="s">
        <v>13</v>
      </c>
      <c r="G81" t="s">
        <v>525</v>
      </c>
    </row>
    <row r="82" spans="1:7" x14ac:dyDescent="0.3">
      <c r="A82">
        <v>0</v>
      </c>
      <c r="B82" t="s">
        <v>105</v>
      </c>
      <c r="C82" t="s">
        <v>401</v>
      </c>
      <c r="D82" t="s">
        <v>2</v>
      </c>
      <c r="E82" t="s">
        <v>401</v>
      </c>
      <c r="F82" t="s">
        <v>13</v>
      </c>
      <c r="G82" t="s">
        <v>525</v>
      </c>
    </row>
    <row r="83" spans="1:7" x14ac:dyDescent="0.3">
      <c r="A83">
        <v>0</v>
      </c>
      <c r="B83" t="s">
        <v>312</v>
      </c>
      <c r="C83" t="s">
        <v>416</v>
      </c>
      <c r="D83" t="s">
        <v>2</v>
      </c>
      <c r="E83" t="s">
        <v>416</v>
      </c>
      <c r="F83" t="s">
        <v>13</v>
      </c>
      <c r="G83" t="s">
        <v>525</v>
      </c>
    </row>
    <row r="84" spans="1:7" x14ac:dyDescent="0.3">
      <c r="A84">
        <v>0</v>
      </c>
      <c r="B84" t="s">
        <v>319</v>
      </c>
      <c r="C84" t="s">
        <v>375</v>
      </c>
      <c r="D84" t="s">
        <v>2</v>
      </c>
      <c r="E84" t="s">
        <v>375</v>
      </c>
      <c r="F84" t="s">
        <v>13</v>
      </c>
      <c r="G84" t="s">
        <v>525</v>
      </c>
    </row>
    <row r="85" spans="1:7" x14ac:dyDescent="0.3">
      <c r="A85">
        <v>0</v>
      </c>
      <c r="B85" t="s">
        <v>312</v>
      </c>
      <c r="C85" t="s">
        <v>333</v>
      </c>
      <c r="D85" t="s">
        <v>2</v>
      </c>
      <c r="E85" t="s">
        <v>333</v>
      </c>
      <c r="F85" t="s">
        <v>13</v>
      </c>
      <c r="G85" t="s">
        <v>525</v>
      </c>
    </row>
    <row r="86" spans="1:7" x14ac:dyDescent="0.3">
      <c r="A86">
        <v>0</v>
      </c>
      <c r="B86" t="s">
        <v>57</v>
      </c>
      <c r="C86" t="s">
        <v>118</v>
      </c>
      <c r="D86" t="s">
        <v>2</v>
      </c>
      <c r="E86" t="s">
        <v>118</v>
      </c>
      <c r="F86" t="s">
        <v>13</v>
      </c>
      <c r="G86" t="s">
        <v>525</v>
      </c>
    </row>
    <row r="87" spans="1:7" x14ac:dyDescent="0.3">
      <c r="A87">
        <v>0</v>
      </c>
      <c r="B87" t="s">
        <v>312</v>
      </c>
      <c r="C87" t="s">
        <v>406</v>
      </c>
      <c r="D87" t="s">
        <v>2</v>
      </c>
      <c r="E87" t="s">
        <v>406</v>
      </c>
      <c r="F87" t="s">
        <v>13</v>
      </c>
      <c r="G87" t="s">
        <v>525</v>
      </c>
    </row>
    <row r="88" spans="1:7" x14ac:dyDescent="0.3">
      <c r="A88">
        <v>0</v>
      </c>
      <c r="B88" t="s">
        <v>312</v>
      </c>
      <c r="C88" t="s">
        <v>315</v>
      </c>
      <c r="D88" t="s">
        <v>2</v>
      </c>
      <c r="E88" t="s">
        <v>315</v>
      </c>
      <c r="F88" t="s">
        <v>13</v>
      </c>
      <c r="G88" t="s">
        <v>525</v>
      </c>
    </row>
    <row r="89" spans="1:7" x14ac:dyDescent="0.3">
      <c r="A89">
        <v>0</v>
      </c>
      <c r="B89" t="s">
        <v>312</v>
      </c>
      <c r="C89" t="s">
        <v>358</v>
      </c>
      <c r="D89" t="s">
        <v>2</v>
      </c>
      <c r="E89" t="s">
        <v>358</v>
      </c>
      <c r="F89" t="s">
        <v>13</v>
      </c>
      <c r="G89" t="s">
        <v>525</v>
      </c>
    </row>
    <row r="90" spans="1:7" x14ac:dyDescent="0.3">
      <c r="A90">
        <v>0</v>
      </c>
      <c r="B90" t="s">
        <v>314</v>
      </c>
      <c r="C90" t="s">
        <v>444</v>
      </c>
      <c r="D90" t="s">
        <v>2</v>
      </c>
      <c r="E90" t="s">
        <v>444</v>
      </c>
      <c r="F90" t="s">
        <v>13</v>
      </c>
      <c r="G90" t="s">
        <v>525</v>
      </c>
    </row>
    <row r="91" spans="1:7" x14ac:dyDescent="0.3">
      <c r="A91">
        <v>0</v>
      </c>
      <c r="B91" t="s">
        <v>312</v>
      </c>
      <c r="C91" t="s">
        <v>439</v>
      </c>
      <c r="D91" t="s">
        <v>2</v>
      </c>
      <c r="E91" t="s">
        <v>439</v>
      </c>
      <c r="F91" t="s">
        <v>13</v>
      </c>
      <c r="G91" t="s">
        <v>525</v>
      </c>
    </row>
    <row r="92" spans="1:7" x14ac:dyDescent="0.3">
      <c r="A92">
        <v>0</v>
      </c>
      <c r="B92" t="s">
        <v>312</v>
      </c>
      <c r="C92" t="s">
        <v>381</v>
      </c>
      <c r="D92" t="s">
        <v>2</v>
      </c>
      <c r="E92" t="s">
        <v>381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418</v>
      </c>
      <c r="D93" t="s">
        <v>2</v>
      </c>
      <c r="E93" t="s">
        <v>418</v>
      </c>
      <c r="F93" t="s">
        <v>13</v>
      </c>
      <c r="G93" t="s">
        <v>525</v>
      </c>
    </row>
    <row r="94" spans="1:7" x14ac:dyDescent="0.3">
      <c r="A94">
        <v>0</v>
      </c>
      <c r="B94" t="s">
        <v>314</v>
      </c>
      <c r="C94" t="s">
        <v>465</v>
      </c>
      <c r="D94" t="s">
        <v>2</v>
      </c>
      <c r="E94" t="s">
        <v>465</v>
      </c>
      <c r="F94" t="s">
        <v>13</v>
      </c>
      <c r="G94" t="s">
        <v>525</v>
      </c>
    </row>
    <row r="95" spans="1:7" x14ac:dyDescent="0.3">
      <c r="A95">
        <v>0</v>
      </c>
      <c r="B95" t="s">
        <v>105</v>
      </c>
      <c r="C95" t="s">
        <v>103</v>
      </c>
      <c r="D95" t="s">
        <v>2</v>
      </c>
      <c r="E95" t="s">
        <v>103</v>
      </c>
      <c r="F95" t="s">
        <v>13</v>
      </c>
      <c r="G95" t="s">
        <v>525</v>
      </c>
    </row>
    <row r="96" spans="1:7" x14ac:dyDescent="0.3">
      <c r="A96">
        <v>0</v>
      </c>
      <c r="B96" t="s">
        <v>312</v>
      </c>
      <c r="C96" t="s">
        <v>320</v>
      </c>
      <c r="D96" t="s">
        <v>2</v>
      </c>
      <c r="E96" t="s">
        <v>320</v>
      </c>
      <c r="F96" t="s">
        <v>13</v>
      </c>
      <c r="G96" t="s">
        <v>525</v>
      </c>
    </row>
    <row r="97" spans="1:7" x14ac:dyDescent="0.3">
      <c r="A97">
        <v>0</v>
      </c>
      <c r="B97" t="s">
        <v>312</v>
      </c>
      <c r="C97" t="s">
        <v>334</v>
      </c>
      <c r="D97" t="s">
        <v>2</v>
      </c>
      <c r="E97" t="s">
        <v>334</v>
      </c>
      <c r="F97" t="s">
        <v>13</v>
      </c>
      <c r="G97" t="s">
        <v>525</v>
      </c>
    </row>
    <row r="98" spans="1:7" x14ac:dyDescent="0.3">
      <c r="A98">
        <v>0</v>
      </c>
      <c r="B98" t="s">
        <v>312</v>
      </c>
      <c r="C98" t="s">
        <v>435</v>
      </c>
      <c r="D98" t="s">
        <v>2</v>
      </c>
      <c r="E98" t="s">
        <v>435</v>
      </c>
      <c r="F98" t="s">
        <v>13</v>
      </c>
      <c r="G98" t="s">
        <v>525</v>
      </c>
    </row>
    <row r="99" spans="1:7" x14ac:dyDescent="0.3">
      <c r="A99">
        <v>0</v>
      </c>
      <c r="B99" t="s">
        <v>319</v>
      </c>
      <c r="C99" t="s">
        <v>456</v>
      </c>
      <c r="D99" t="s">
        <v>2</v>
      </c>
      <c r="E99" t="s">
        <v>456</v>
      </c>
      <c r="F99" t="s">
        <v>13</v>
      </c>
      <c r="G99" t="s">
        <v>525</v>
      </c>
    </row>
    <row r="100" spans="1:7" x14ac:dyDescent="0.3">
      <c r="A100">
        <v>0</v>
      </c>
      <c r="B100" t="s">
        <v>312</v>
      </c>
      <c r="C100" t="s">
        <v>474</v>
      </c>
      <c r="D100" t="s">
        <v>2</v>
      </c>
      <c r="E100" t="s">
        <v>474</v>
      </c>
      <c r="F100" t="s">
        <v>13</v>
      </c>
      <c r="G100" t="s">
        <v>525</v>
      </c>
    </row>
    <row r="101" spans="1:7" x14ac:dyDescent="0.3">
      <c r="A101">
        <v>0</v>
      </c>
      <c r="B101" t="s">
        <v>319</v>
      </c>
      <c r="C101" t="s">
        <v>318</v>
      </c>
      <c r="D101" t="s">
        <v>2</v>
      </c>
      <c r="E101" t="s">
        <v>318</v>
      </c>
      <c r="F101" t="s">
        <v>13</v>
      </c>
      <c r="G101" t="s">
        <v>525</v>
      </c>
    </row>
    <row r="102" spans="1:7" x14ac:dyDescent="0.3">
      <c r="A102">
        <v>0</v>
      </c>
      <c r="B102" t="s">
        <v>314</v>
      </c>
      <c r="C102" t="s">
        <v>475</v>
      </c>
      <c r="D102" t="s">
        <v>2</v>
      </c>
      <c r="E102" t="s">
        <v>475</v>
      </c>
      <c r="F102" t="s">
        <v>13</v>
      </c>
      <c r="G102" t="s">
        <v>525</v>
      </c>
    </row>
    <row r="103" spans="1:7" x14ac:dyDescent="0.3">
      <c r="A103">
        <v>0</v>
      </c>
      <c r="B103" t="s">
        <v>314</v>
      </c>
      <c r="C103" t="s">
        <v>449</v>
      </c>
      <c r="D103" t="s">
        <v>2</v>
      </c>
      <c r="E103" t="s">
        <v>449</v>
      </c>
      <c r="F103" t="s">
        <v>13</v>
      </c>
      <c r="G103" t="s">
        <v>525</v>
      </c>
    </row>
    <row r="104" spans="1:7" x14ac:dyDescent="0.3">
      <c r="A104">
        <v>0</v>
      </c>
      <c r="B104" t="s">
        <v>314</v>
      </c>
      <c r="C104" t="s">
        <v>176</v>
      </c>
      <c r="D104" t="s">
        <v>2</v>
      </c>
      <c r="E104" t="s">
        <v>176</v>
      </c>
      <c r="F104" t="s">
        <v>13</v>
      </c>
      <c r="G104" t="s">
        <v>525</v>
      </c>
    </row>
    <row r="105" spans="1:7" x14ac:dyDescent="0.3">
      <c r="A105">
        <v>0</v>
      </c>
      <c r="B105" t="s">
        <v>312</v>
      </c>
      <c r="C105" t="s">
        <v>388</v>
      </c>
      <c r="D105" t="s">
        <v>2</v>
      </c>
      <c r="E105" t="s">
        <v>388</v>
      </c>
      <c r="F105" t="s">
        <v>13</v>
      </c>
      <c r="G105" t="s">
        <v>525</v>
      </c>
    </row>
    <row r="106" spans="1:7" x14ac:dyDescent="0.3">
      <c r="A106">
        <v>0</v>
      </c>
      <c r="B106" t="s">
        <v>319</v>
      </c>
      <c r="C106" t="s">
        <v>429</v>
      </c>
      <c r="D106" t="s">
        <v>2</v>
      </c>
      <c r="E106" t="s">
        <v>429</v>
      </c>
      <c r="F106" t="s">
        <v>13</v>
      </c>
      <c r="G106" t="s">
        <v>525</v>
      </c>
    </row>
    <row r="107" spans="1:7" x14ac:dyDescent="0.3">
      <c r="A107">
        <v>0</v>
      </c>
      <c r="B107" t="s">
        <v>312</v>
      </c>
      <c r="C107" t="s">
        <v>272</v>
      </c>
      <c r="D107" t="s">
        <v>2</v>
      </c>
      <c r="E107" t="s">
        <v>272</v>
      </c>
      <c r="F107" t="s">
        <v>13</v>
      </c>
      <c r="G107" t="s">
        <v>525</v>
      </c>
    </row>
    <row r="108" spans="1:7" x14ac:dyDescent="0.3">
      <c r="A108">
        <v>0</v>
      </c>
      <c r="B108" t="s">
        <v>312</v>
      </c>
      <c r="C108" t="s">
        <v>410</v>
      </c>
      <c r="D108" t="s">
        <v>2</v>
      </c>
      <c r="E108" t="s">
        <v>410</v>
      </c>
      <c r="F108" t="s">
        <v>13</v>
      </c>
      <c r="G108" t="s">
        <v>525</v>
      </c>
    </row>
    <row r="109" spans="1:7" x14ac:dyDescent="0.3">
      <c r="A109">
        <v>0</v>
      </c>
      <c r="B109" t="s">
        <v>319</v>
      </c>
      <c r="C109" t="s">
        <v>363</v>
      </c>
      <c r="D109" t="s">
        <v>2</v>
      </c>
      <c r="E109" t="s">
        <v>363</v>
      </c>
      <c r="F109" t="s">
        <v>13</v>
      </c>
      <c r="G109" t="s">
        <v>525</v>
      </c>
    </row>
    <row r="110" spans="1:7" x14ac:dyDescent="0.3">
      <c r="A110">
        <v>0</v>
      </c>
      <c r="B110" t="s">
        <v>312</v>
      </c>
      <c r="C110" t="s">
        <v>382</v>
      </c>
      <c r="D110" t="s">
        <v>2</v>
      </c>
      <c r="E110" t="s">
        <v>382</v>
      </c>
      <c r="F110" t="s">
        <v>13</v>
      </c>
      <c r="G110" t="s">
        <v>525</v>
      </c>
    </row>
    <row r="111" spans="1:7" x14ac:dyDescent="0.3">
      <c r="A111">
        <v>0</v>
      </c>
      <c r="B111" t="s">
        <v>312</v>
      </c>
      <c r="C111" t="s">
        <v>424</v>
      </c>
      <c r="D111" t="s">
        <v>2</v>
      </c>
      <c r="E111" t="s">
        <v>424</v>
      </c>
      <c r="F111" t="s">
        <v>13</v>
      </c>
      <c r="G111" t="s">
        <v>525</v>
      </c>
    </row>
    <row r="112" spans="1:7" x14ac:dyDescent="0.3">
      <c r="A112">
        <v>0</v>
      </c>
      <c r="B112" t="s">
        <v>314</v>
      </c>
      <c r="C112" t="s">
        <v>351</v>
      </c>
      <c r="D112" t="s">
        <v>2</v>
      </c>
      <c r="E112" t="s">
        <v>351</v>
      </c>
      <c r="F112" t="s">
        <v>13</v>
      </c>
      <c r="G112" t="s">
        <v>525</v>
      </c>
    </row>
    <row r="113" spans="1:7" x14ac:dyDescent="0.3">
      <c r="A113">
        <v>0</v>
      </c>
      <c r="B113" t="s">
        <v>312</v>
      </c>
      <c r="C113" t="s">
        <v>347</v>
      </c>
      <c r="D113" t="s">
        <v>2</v>
      </c>
      <c r="E113" t="s">
        <v>347</v>
      </c>
      <c r="F113" t="s">
        <v>13</v>
      </c>
      <c r="G113" t="s">
        <v>525</v>
      </c>
    </row>
    <row r="114" spans="1:7" x14ac:dyDescent="0.3">
      <c r="A114">
        <v>0</v>
      </c>
      <c r="B114" t="s">
        <v>314</v>
      </c>
      <c r="C114" t="s">
        <v>453</v>
      </c>
      <c r="D114" t="s">
        <v>2</v>
      </c>
      <c r="E114" t="s">
        <v>453</v>
      </c>
      <c r="F114" t="s">
        <v>13</v>
      </c>
      <c r="G114" t="s">
        <v>525</v>
      </c>
    </row>
    <row r="115" spans="1:7" x14ac:dyDescent="0.3">
      <c r="A115">
        <v>0</v>
      </c>
      <c r="B115" t="s">
        <v>319</v>
      </c>
      <c r="C115" t="s">
        <v>457</v>
      </c>
      <c r="D115" t="s">
        <v>2</v>
      </c>
      <c r="E115" t="s">
        <v>457</v>
      </c>
      <c r="F115" t="s">
        <v>13</v>
      </c>
      <c r="G115" t="s">
        <v>525</v>
      </c>
    </row>
    <row r="116" spans="1:7" x14ac:dyDescent="0.3">
      <c r="A116">
        <v>0</v>
      </c>
      <c r="B116" t="s">
        <v>312</v>
      </c>
      <c r="C116" t="s">
        <v>485</v>
      </c>
      <c r="D116" t="s">
        <v>2</v>
      </c>
      <c r="E116" t="s">
        <v>485</v>
      </c>
      <c r="F116" t="s">
        <v>13</v>
      </c>
      <c r="G116" t="s">
        <v>525</v>
      </c>
    </row>
    <row r="117" spans="1:7" x14ac:dyDescent="0.3">
      <c r="A117">
        <v>0</v>
      </c>
      <c r="B117" t="s">
        <v>312</v>
      </c>
      <c r="C117" t="s">
        <v>355</v>
      </c>
      <c r="D117" t="s">
        <v>2</v>
      </c>
      <c r="E117" t="s">
        <v>355</v>
      </c>
      <c r="F117" t="s">
        <v>13</v>
      </c>
      <c r="G117" t="s">
        <v>525</v>
      </c>
    </row>
    <row r="118" spans="1:7" x14ac:dyDescent="0.3">
      <c r="A118">
        <v>0</v>
      </c>
      <c r="B118" t="s">
        <v>312</v>
      </c>
      <c r="C118" t="s">
        <v>338</v>
      </c>
      <c r="D118" t="s">
        <v>2</v>
      </c>
      <c r="E118" t="s">
        <v>338</v>
      </c>
      <c r="F118" t="s">
        <v>13</v>
      </c>
      <c r="G118" t="s">
        <v>525</v>
      </c>
    </row>
    <row r="119" spans="1:7" x14ac:dyDescent="0.3">
      <c r="A119">
        <v>0</v>
      </c>
      <c r="B119" t="s">
        <v>312</v>
      </c>
      <c r="C119" t="s">
        <v>394</v>
      </c>
      <c r="D119" t="s">
        <v>2</v>
      </c>
      <c r="E119" t="s">
        <v>394</v>
      </c>
      <c r="F119" t="s">
        <v>13</v>
      </c>
      <c r="G119" t="s">
        <v>525</v>
      </c>
    </row>
    <row r="120" spans="1:7" x14ac:dyDescent="0.3">
      <c r="A120">
        <v>0</v>
      </c>
      <c r="B120" t="s">
        <v>312</v>
      </c>
      <c r="C120" t="s">
        <v>438</v>
      </c>
      <c r="D120" t="s">
        <v>2</v>
      </c>
      <c r="E120" t="s">
        <v>438</v>
      </c>
      <c r="F120" t="s">
        <v>13</v>
      </c>
      <c r="G120" t="s">
        <v>525</v>
      </c>
    </row>
    <row r="121" spans="1:7" x14ac:dyDescent="0.3">
      <c r="A121">
        <v>0</v>
      </c>
      <c r="B121" t="s">
        <v>312</v>
      </c>
      <c r="C121" t="s">
        <v>486</v>
      </c>
      <c r="D121" t="s">
        <v>2</v>
      </c>
      <c r="E121" t="s">
        <v>486</v>
      </c>
      <c r="F121" t="s">
        <v>13</v>
      </c>
      <c r="G121" t="s">
        <v>525</v>
      </c>
    </row>
    <row r="122" spans="1:7" x14ac:dyDescent="0.3">
      <c r="A122">
        <v>0</v>
      </c>
      <c r="B122" t="s">
        <v>319</v>
      </c>
      <c r="C122" t="s">
        <v>419</v>
      </c>
      <c r="D122" t="s">
        <v>2</v>
      </c>
      <c r="E122" t="s">
        <v>419</v>
      </c>
      <c r="F122" t="s">
        <v>13</v>
      </c>
      <c r="G122" t="s">
        <v>525</v>
      </c>
    </row>
    <row r="123" spans="1:7" x14ac:dyDescent="0.3">
      <c r="A123">
        <v>0</v>
      </c>
      <c r="B123" t="s">
        <v>57</v>
      </c>
      <c r="C123" t="s">
        <v>353</v>
      </c>
      <c r="D123" t="s">
        <v>2</v>
      </c>
      <c r="E123" t="s">
        <v>353</v>
      </c>
      <c r="F123" t="s">
        <v>13</v>
      </c>
      <c r="G123" t="s">
        <v>525</v>
      </c>
    </row>
    <row r="124" spans="1:7" x14ac:dyDescent="0.3">
      <c r="A124">
        <v>0</v>
      </c>
      <c r="B124" t="s">
        <v>319</v>
      </c>
      <c r="C124" t="s">
        <v>489</v>
      </c>
      <c r="D124" t="s">
        <v>2</v>
      </c>
      <c r="E124" t="s">
        <v>489</v>
      </c>
      <c r="F124" t="s">
        <v>13</v>
      </c>
      <c r="G124" t="s">
        <v>525</v>
      </c>
    </row>
    <row r="125" spans="1:7" x14ac:dyDescent="0.3">
      <c r="A125">
        <v>0</v>
      </c>
      <c r="B125" t="s">
        <v>312</v>
      </c>
      <c r="C125" t="s">
        <v>386</v>
      </c>
      <c r="D125" t="s">
        <v>2</v>
      </c>
      <c r="E125" t="s">
        <v>386</v>
      </c>
      <c r="F125" t="s">
        <v>13</v>
      </c>
      <c r="G125" t="s">
        <v>525</v>
      </c>
    </row>
    <row r="126" spans="1:7" x14ac:dyDescent="0.3">
      <c r="A126">
        <v>0</v>
      </c>
      <c r="B126" t="s">
        <v>319</v>
      </c>
      <c r="C126" t="s">
        <v>389</v>
      </c>
      <c r="D126" t="s">
        <v>2</v>
      </c>
      <c r="E126" t="s">
        <v>389</v>
      </c>
      <c r="F126" t="s">
        <v>13</v>
      </c>
      <c r="G126" t="s">
        <v>525</v>
      </c>
    </row>
    <row r="127" spans="1:7" x14ac:dyDescent="0.3">
      <c r="A127">
        <v>0</v>
      </c>
      <c r="B127" t="s">
        <v>312</v>
      </c>
      <c r="C127" t="s">
        <v>340</v>
      </c>
      <c r="D127" t="s">
        <v>2</v>
      </c>
      <c r="E127" t="s">
        <v>340</v>
      </c>
      <c r="F127" t="s">
        <v>13</v>
      </c>
      <c r="G127" t="s">
        <v>525</v>
      </c>
    </row>
    <row r="128" spans="1:7" x14ac:dyDescent="0.3">
      <c r="A128">
        <v>0</v>
      </c>
      <c r="B128" t="s">
        <v>312</v>
      </c>
      <c r="C128" t="s">
        <v>368</v>
      </c>
      <c r="D128" t="s">
        <v>2</v>
      </c>
      <c r="E128" t="s">
        <v>368</v>
      </c>
      <c r="F128" t="s">
        <v>13</v>
      </c>
      <c r="G128" t="s">
        <v>525</v>
      </c>
    </row>
    <row r="129" spans="1:7" x14ac:dyDescent="0.3">
      <c r="A129">
        <v>0</v>
      </c>
      <c r="B129" t="s">
        <v>312</v>
      </c>
      <c r="C129" t="s">
        <v>328</v>
      </c>
      <c r="D129" t="s">
        <v>2</v>
      </c>
      <c r="E129" t="s">
        <v>328</v>
      </c>
      <c r="F129" t="s">
        <v>13</v>
      </c>
      <c r="G129" t="s">
        <v>525</v>
      </c>
    </row>
    <row r="130" spans="1:7" x14ac:dyDescent="0.3">
      <c r="A130">
        <v>0</v>
      </c>
      <c r="B130" t="s">
        <v>312</v>
      </c>
      <c r="C130" t="s">
        <v>479</v>
      </c>
      <c r="D130" t="s">
        <v>2</v>
      </c>
      <c r="E130" t="s">
        <v>479</v>
      </c>
      <c r="F130" t="s">
        <v>13</v>
      </c>
      <c r="G130" t="s">
        <v>525</v>
      </c>
    </row>
    <row r="131" spans="1:7" x14ac:dyDescent="0.3">
      <c r="A131">
        <v>0</v>
      </c>
      <c r="B131" t="s">
        <v>57</v>
      </c>
      <c r="C131" t="s">
        <v>116</v>
      </c>
      <c r="D131" t="s">
        <v>2</v>
      </c>
      <c r="E131" t="s">
        <v>116</v>
      </c>
      <c r="F131" t="s">
        <v>13</v>
      </c>
      <c r="G131" t="s">
        <v>525</v>
      </c>
    </row>
    <row r="132" spans="1:7" x14ac:dyDescent="0.3">
      <c r="A132">
        <v>0</v>
      </c>
      <c r="B132" t="s">
        <v>312</v>
      </c>
      <c r="C132" t="s">
        <v>352</v>
      </c>
      <c r="D132" t="s">
        <v>2</v>
      </c>
      <c r="E132" t="s">
        <v>352</v>
      </c>
      <c r="F132" t="s">
        <v>13</v>
      </c>
      <c r="G132" t="s">
        <v>525</v>
      </c>
    </row>
    <row r="133" spans="1:7" x14ac:dyDescent="0.3">
      <c r="A133">
        <v>0</v>
      </c>
      <c r="B133" t="s">
        <v>312</v>
      </c>
      <c r="C133" t="s">
        <v>417</v>
      </c>
      <c r="D133" t="s">
        <v>2</v>
      </c>
      <c r="E133" t="s">
        <v>417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447</v>
      </c>
      <c r="D134" t="s">
        <v>2</v>
      </c>
      <c r="E134" t="s">
        <v>447</v>
      </c>
      <c r="F134" t="s">
        <v>13</v>
      </c>
      <c r="G134" t="s">
        <v>525</v>
      </c>
    </row>
    <row r="135" spans="1:7" x14ac:dyDescent="0.3">
      <c r="A135">
        <v>0</v>
      </c>
      <c r="B135" t="s">
        <v>319</v>
      </c>
      <c r="C135" t="s">
        <v>329</v>
      </c>
      <c r="D135" t="s">
        <v>2</v>
      </c>
      <c r="E135" t="s">
        <v>329</v>
      </c>
      <c r="F135" t="s">
        <v>13</v>
      </c>
      <c r="G135" t="s">
        <v>525</v>
      </c>
    </row>
    <row r="136" spans="1:7" x14ac:dyDescent="0.3">
      <c r="A136">
        <v>0</v>
      </c>
      <c r="B136" t="s">
        <v>312</v>
      </c>
      <c r="C136" t="s">
        <v>252</v>
      </c>
      <c r="D136" t="s">
        <v>2</v>
      </c>
      <c r="E136" t="s">
        <v>252</v>
      </c>
      <c r="F136" t="s">
        <v>13</v>
      </c>
      <c r="G136" t="s">
        <v>525</v>
      </c>
    </row>
    <row r="137" spans="1:7" x14ac:dyDescent="0.3">
      <c r="A137">
        <v>0</v>
      </c>
      <c r="B137" t="s">
        <v>312</v>
      </c>
      <c r="C137" t="s">
        <v>317</v>
      </c>
      <c r="D137" t="s">
        <v>2</v>
      </c>
      <c r="E137" t="s">
        <v>317</v>
      </c>
      <c r="F137" t="s">
        <v>13</v>
      </c>
      <c r="G137" t="s">
        <v>525</v>
      </c>
    </row>
    <row r="138" spans="1:7" x14ac:dyDescent="0.3">
      <c r="A138">
        <v>0</v>
      </c>
      <c r="B138" t="s">
        <v>312</v>
      </c>
      <c r="C138" t="s">
        <v>436</v>
      </c>
      <c r="D138" t="s">
        <v>2</v>
      </c>
      <c r="E138" t="s">
        <v>436</v>
      </c>
      <c r="F138" t="s">
        <v>13</v>
      </c>
      <c r="G138" t="s">
        <v>525</v>
      </c>
    </row>
    <row r="139" spans="1:7" x14ac:dyDescent="0.3">
      <c r="A139">
        <v>0</v>
      </c>
      <c r="B139" t="s">
        <v>319</v>
      </c>
      <c r="C139" t="s">
        <v>490</v>
      </c>
      <c r="D139" t="s">
        <v>2</v>
      </c>
      <c r="E139" t="s">
        <v>490</v>
      </c>
      <c r="F139" t="s">
        <v>13</v>
      </c>
      <c r="G139" t="s">
        <v>525</v>
      </c>
    </row>
    <row r="140" spans="1:7" x14ac:dyDescent="0.3">
      <c r="A140">
        <v>0</v>
      </c>
      <c r="B140" t="s">
        <v>312</v>
      </c>
      <c r="C140" t="s">
        <v>391</v>
      </c>
      <c r="D140" t="s">
        <v>2</v>
      </c>
      <c r="E140" t="s">
        <v>391</v>
      </c>
      <c r="F140" t="s">
        <v>13</v>
      </c>
      <c r="G140" t="s">
        <v>525</v>
      </c>
    </row>
    <row r="141" spans="1:7" x14ac:dyDescent="0.3">
      <c r="A141">
        <v>0</v>
      </c>
      <c r="B141" t="s">
        <v>312</v>
      </c>
      <c r="C141" t="s">
        <v>235</v>
      </c>
      <c r="D141" t="s">
        <v>2</v>
      </c>
      <c r="E141" t="s">
        <v>235</v>
      </c>
      <c r="F141" t="s">
        <v>13</v>
      </c>
      <c r="G141" t="s">
        <v>525</v>
      </c>
    </row>
    <row r="142" spans="1:7" x14ac:dyDescent="0.3">
      <c r="A142">
        <v>0</v>
      </c>
      <c r="B142" t="s">
        <v>312</v>
      </c>
      <c r="C142" t="s">
        <v>493</v>
      </c>
      <c r="D142" t="s">
        <v>2</v>
      </c>
      <c r="E142" t="s">
        <v>493</v>
      </c>
      <c r="F142" t="s">
        <v>13</v>
      </c>
      <c r="G142" t="s">
        <v>525</v>
      </c>
    </row>
    <row r="143" spans="1:7" x14ac:dyDescent="0.3">
      <c r="A143">
        <v>0</v>
      </c>
      <c r="B143" t="s">
        <v>312</v>
      </c>
      <c r="C143" t="s">
        <v>335</v>
      </c>
      <c r="D143" t="s">
        <v>2</v>
      </c>
      <c r="E143" t="s">
        <v>335</v>
      </c>
      <c r="F143" t="s">
        <v>13</v>
      </c>
      <c r="G143" t="s">
        <v>525</v>
      </c>
    </row>
    <row r="144" spans="1:7" x14ac:dyDescent="0.3">
      <c r="A144">
        <v>0</v>
      </c>
      <c r="B144" t="s">
        <v>312</v>
      </c>
      <c r="C144" t="s">
        <v>354</v>
      </c>
      <c r="D144" t="s">
        <v>2</v>
      </c>
      <c r="E144" t="s">
        <v>354</v>
      </c>
      <c r="F144" t="s">
        <v>13</v>
      </c>
      <c r="G144" t="s">
        <v>525</v>
      </c>
    </row>
    <row r="145" spans="1:7" x14ac:dyDescent="0.3">
      <c r="A145">
        <v>0</v>
      </c>
      <c r="B145" t="s">
        <v>319</v>
      </c>
      <c r="C145" t="s">
        <v>360</v>
      </c>
      <c r="D145" t="s">
        <v>2</v>
      </c>
      <c r="E145" t="s">
        <v>360</v>
      </c>
      <c r="F145" t="s">
        <v>13</v>
      </c>
      <c r="G145" t="s">
        <v>525</v>
      </c>
    </row>
    <row r="146" spans="1:7" x14ac:dyDescent="0.3">
      <c r="A146">
        <v>0</v>
      </c>
      <c r="B146" t="s">
        <v>314</v>
      </c>
      <c r="C146" t="s">
        <v>356</v>
      </c>
      <c r="D146" t="s">
        <v>2</v>
      </c>
      <c r="E146" t="s">
        <v>356</v>
      </c>
      <c r="F146" t="s">
        <v>13</v>
      </c>
      <c r="G146" t="s">
        <v>525</v>
      </c>
    </row>
    <row r="147" spans="1:7" x14ac:dyDescent="0.3">
      <c r="A147">
        <v>0</v>
      </c>
      <c r="B147" t="s">
        <v>312</v>
      </c>
      <c r="C147" t="s">
        <v>405</v>
      </c>
      <c r="D147" t="s">
        <v>2</v>
      </c>
      <c r="E147" t="s">
        <v>405</v>
      </c>
      <c r="F147" t="s">
        <v>13</v>
      </c>
      <c r="G147" t="s">
        <v>525</v>
      </c>
    </row>
    <row r="148" spans="1:7" x14ac:dyDescent="0.3">
      <c r="A148">
        <v>0</v>
      </c>
      <c r="B148" t="s">
        <v>312</v>
      </c>
      <c r="C148" t="s">
        <v>471</v>
      </c>
      <c r="D148" t="s">
        <v>2</v>
      </c>
      <c r="E148" t="s">
        <v>471</v>
      </c>
      <c r="F148" t="s">
        <v>13</v>
      </c>
      <c r="G148" t="s">
        <v>525</v>
      </c>
    </row>
    <row r="149" spans="1:7" x14ac:dyDescent="0.3">
      <c r="A149">
        <v>0</v>
      </c>
      <c r="B149" t="s">
        <v>319</v>
      </c>
      <c r="C149" t="s">
        <v>421</v>
      </c>
      <c r="D149" t="s">
        <v>2</v>
      </c>
      <c r="E149" t="s">
        <v>421</v>
      </c>
      <c r="F149" t="s">
        <v>13</v>
      </c>
      <c r="G149" t="s">
        <v>525</v>
      </c>
    </row>
    <row r="150" spans="1:7" x14ac:dyDescent="0.3">
      <c r="A150">
        <v>0</v>
      </c>
      <c r="B150" t="s">
        <v>312</v>
      </c>
      <c r="C150" t="s">
        <v>321</v>
      </c>
      <c r="D150" t="s">
        <v>2</v>
      </c>
      <c r="E150" t="s">
        <v>321</v>
      </c>
      <c r="F150" t="s">
        <v>13</v>
      </c>
      <c r="G150" t="s">
        <v>525</v>
      </c>
    </row>
    <row r="151" spans="1:7" x14ac:dyDescent="0.3">
      <c r="A151">
        <v>0</v>
      </c>
      <c r="B151" t="s">
        <v>105</v>
      </c>
      <c r="C151" t="s">
        <v>113</v>
      </c>
      <c r="D151" t="s">
        <v>2</v>
      </c>
      <c r="E151" t="s">
        <v>113</v>
      </c>
      <c r="F151" t="s">
        <v>13</v>
      </c>
      <c r="G151" t="s">
        <v>525</v>
      </c>
    </row>
    <row r="152" spans="1:7" x14ac:dyDescent="0.3">
      <c r="A152">
        <v>0</v>
      </c>
      <c r="B152" t="s">
        <v>312</v>
      </c>
      <c r="C152" t="s">
        <v>348</v>
      </c>
      <c r="D152" t="s">
        <v>2</v>
      </c>
      <c r="E152" t="s">
        <v>348</v>
      </c>
      <c r="F152" t="s">
        <v>13</v>
      </c>
      <c r="G152" t="s">
        <v>525</v>
      </c>
    </row>
    <row r="153" spans="1:7" x14ac:dyDescent="0.3">
      <c r="A153">
        <v>0</v>
      </c>
      <c r="B153" t="s">
        <v>105</v>
      </c>
      <c r="C153" t="s">
        <v>469</v>
      </c>
      <c r="D153" t="s">
        <v>2</v>
      </c>
      <c r="E153" t="s">
        <v>469</v>
      </c>
      <c r="F153" t="s">
        <v>13</v>
      </c>
      <c r="G153" t="s">
        <v>525</v>
      </c>
    </row>
    <row r="154" spans="1:7" x14ac:dyDescent="0.3">
      <c r="A154">
        <v>0</v>
      </c>
      <c r="B154" t="s">
        <v>314</v>
      </c>
      <c r="C154" t="s">
        <v>481</v>
      </c>
      <c r="D154" t="s">
        <v>2</v>
      </c>
      <c r="E154" t="s">
        <v>481</v>
      </c>
      <c r="F154" t="s">
        <v>13</v>
      </c>
      <c r="G154" t="s">
        <v>525</v>
      </c>
    </row>
    <row r="155" spans="1:7" x14ac:dyDescent="0.3">
      <c r="A155">
        <v>0</v>
      </c>
      <c r="B155" t="s">
        <v>312</v>
      </c>
      <c r="C155" t="s">
        <v>398</v>
      </c>
      <c r="D155" t="s">
        <v>2</v>
      </c>
      <c r="E155" t="s">
        <v>398</v>
      </c>
      <c r="F155" t="s">
        <v>13</v>
      </c>
      <c r="G155" t="s">
        <v>525</v>
      </c>
    </row>
    <row r="156" spans="1:7" x14ac:dyDescent="0.3">
      <c r="A156">
        <v>0</v>
      </c>
      <c r="B156" t="s">
        <v>314</v>
      </c>
      <c r="C156" t="s">
        <v>342</v>
      </c>
      <c r="D156" t="s">
        <v>2</v>
      </c>
      <c r="E156" t="s">
        <v>342</v>
      </c>
      <c r="F156" t="s">
        <v>13</v>
      </c>
      <c r="G156" t="s">
        <v>525</v>
      </c>
    </row>
    <row r="157" spans="1:7" x14ac:dyDescent="0.3">
      <c r="A157">
        <v>0</v>
      </c>
      <c r="B157" t="s">
        <v>312</v>
      </c>
      <c r="C157" t="s">
        <v>322</v>
      </c>
      <c r="D157" t="s">
        <v>2</v>
      </c>
      <c r="E157" t="s">
        <v>322</v>
      </c>
      <c r="F157" t="s">
        <v>13</v>
      </c>
      <c r="G157" t="s">
        <v>525</v>
      </c>
    </row>
    <row r="158" spans="1:7" x14ac:dyDescent="0.3">
      <c r="A158">
        <v>0</v>
      </c>
      <c r="B158" t="s">
        <v>314</v>
      </c>
      <c r="C158" t="s">
        <v>409</v>
      </c>
      <c r="D158" t="s">
        <v>2</v>
      </c>
      <c r="E158" t="s">
        <v>409</v>
      </c>
      <c r="F158" t="s">
        <v>13</v>
      </c>
      <c r="G158" t="s">
        <v>525</v>
      </c>
    </row>
    <row r="159" spans="1:7" x14ac:dyDescent="0.3">
      <c r="A159">
        <v>0</v>
      </c>
      <c r="B159" t="s">
        <v>314</v>
      </c>
      <c r="C159" t="s">
        <v>480</v>
      </c>
      <c r="D159" t="s">
        <v>2</v>
      </c>
      <c r="E159" t="s">
        <v>480</v>
      </c>
      <c r="F159" t="s">
        <v>13</v>
      </c>
      <c r="G159" t="s">
        <v>525</v>
      </c>
    </row>
    <row r="160" spans="1:7" x14ac:dyDescent="0.3">
      <c r="A160">
        <v>0</v>
      </c>
      <c r="B160" t="s">
        <v>105</v>
      </c>
      <c r="C160" t="s">
        <v>121</v>
      </c>
      <c r="D160" t="s">
        <v>2</v>
      </c>
      <c r="E160" t="s">
        <v>121</v>
      </c>
      <c r="F160" t="s">
        <v>13</v>
      </c>
      <c r="G160" t="s">
        <v>525</v>
      </c>
    </row>
    <row r="161" spans="1:7" x14ac:dyDescent="0.3">
      <c r="A161">
        <v>0</v>
      </c>
      <c r="B161" t="s">
        <v>312</v>
      </c>
      <c r="C161" t="s">
        <v>359</v>
      </c>
      <c r="D161" t="s">
        <v>2</v>
      </c>
      <c r="E161" t="s">
        <v>359</v>
      </c>
      <c r="F161" t="s">
        <v>13</v>
      </c>
      <c r="G161" t="s">
        <v>525</v>
      </c>
    </row>
    <row r="162" spans="1:7" x14ac:dyDescent="0.3">
      <c r="A162">
        <v>0</v>
      </c>
      <c r="B162" t="s">
        <v>319</v>
      </c>
      <c r="C162" t="s">
        <v>468</v>
      </c>
      <c r="D162" t="s">
        <v>2</v>
      </c>
      <c r="E162" t="s">
        <v>468</v>
      </c>
      <c r="F162" t="s">
        <v>13</v>
      </c>
      <c r="G162" t="s">
        <v>525</v>
      </c>
    </row>
    <row r="163" spans="1:7" x14ac:dyDescent="0.3">
      <c r="A163">
        <v>0</v>
      </c>
      <c r="B163" t="s">
        <v>319</v>
      </c>
      <c r="C163" t="s">
        <v>458</v>
      </c>
      <c r="D163" t="s">
        <v>2</v>
      </c>
      <c r="E163" t="s">
        <v>458</v>
      </c>
      <c r="F163" t="s">
        <v>13</v>
      </c>
      <c r="G163" t="s">
        <v>525</v>
      </c>
    </row>
    <row r="164" spans="1:7" x14ac:dyDescent="0.3">
      <c r="A164">
        <v>0</v>
      </c>
      <c r="B164" t="s">
        <v>312</v>
      </c>
      <c r="C164" t="s">
        <v>370</v>
      </c>
      <c r="D164" t="s">
        <v>2</v>
      </c>
      <c r="E164" t="s">
        <v>370</v>
      </c>
      <c r="F164" t="s">
        <v>13</v>
      </c>
      <c r="G164" t="s">
        <v>525</v>
      </c>
    </row>
    <row r="165" spans="1:7" x14ac:dyDescent="0.3">
      <c r="A165">
        <v>0</v>
      </c>
      <c r="B165" t="s">
        <v>57</v>
      </c>
      <c r="C165" t="s">
        <v>114</v>
      </c>
      <c r="D165" t="s">
        <v>2</v>
      </c>
      <c r="E165" t="s">
        <v>114</v>
      </c>
      <c r="F165" t="s">
        <v>13</v>
      </c>
      <c r="G165" t="s">
        <v>525</v>
      </c>
    </row>
    <row r="166" spans="1:7" x14ac:dyDescent="0.3">
      <c r="A166">
        <v>0</v>
      </c>
      <c r="B166" t="s">
        <v>319</v>
      </c>
      <c r="C166" t="s">
        <v>404</v>
      </c>
      <c r="D166" t="s">
        <v>2</v>
      </c>
      <c r="E166" t="s">
        <v>404</v>
      </c>
      <c r="F166" t="s">
        <v>13</v>
      </c>
      <c r="G166" t="s">
        <v>525</v>
      </c>
    </row>
    <row r="167" spans="1:7" x14ac:dyDescent="0.3">
      <c r="A167">
        <v>0</v>
      </c>
      <c r="B167" t="s">
        <v>312</v>
      </c>
      <c r="C167" t="s">
        <v>369</v>
      </c>
      <c r="D167" t="s">
        <v>2</v>
      </c>
      <c r="E167" t="s">
        <v>369</v>
      </c>
      <c r="F167" t="s">
        <v>13</v>
      </c>
      <c r="G167" t="s">
        <v>525</v>
      </c>
    </row>
    <row r="168" spans="1:7" x14ac:dyDescent="0.3">
      <c r="A168">
        <v>0</v>
      </c>
      <c r="B168" t="s">
        <v>57</v>
      </c>
      <c r="C168" t="s">
        <v>122</v>
      </c>
      <c r="D168" t="s">
        <v>2</v>
      </c>
      <c r="E168" t="s">
        <v>122</v>
      </c>
      <c r="F168" t="s">
        <v>13</v>
      </c>
      <c r="G168" t="s">
        <v>525</v>
      </c>
    </row>
    <row r="169" spans="1:7" x14ac:dyDescent="0.3">
      <c r="A169">
        <v>0</v>
      </c>
      <c r="B169" t="s">
        <v>319</v>
      </c>
      <c r="C169" t="s">
        <v>390</v>
      </c>
      <c r="D169" t="s">
        <v>2</v>
      </c>
      <c r="E169" t="s">
        <v>390</v>
      </c>
      <c r="F169" t="s">
        <v>13</v>
      </c>
      <c r="G169" t="s">
        <v>525</v>
      </c>
    </row>
    <row r="170" spans="1:7" x14ac:dyDescent="0.3">
      <c r="A170">
        <v>0</v>
      </c>
      <c r="B170" t="s">
        <v>312</v>
      </c>
      <c r="C170" t="s">
        <v>492</v>
      </c>
      <c r="D170" t="s">
        <v>2</v>
      </c>
      <c r="E170" t="s">
        <v>492</v>
      </c>
      <c r="F170" t="s">
        <v>13</v>
      </c>
      <c r="G170" t="s">
        <v>525</v>
      </c>
    </row>
    <row r="171" spans="1:7" x14ac:dyDescent="0.3">
      <c r="A171">
        <v>0</v>
      </c>
      <c r="B171" t="s">
        <v>312</v>
      </c>
      <c r="C171" t="s">
        <v>345</v>
      </c>
      <c r="D171" t="s">
        <v>2</v>
      </c>
      <c r="E171" t="s">
        <v>345</v>
      </c>
      <c r="F171" t="s">
        <v>13</v>
      </c>
      <c r="G171" t="s">
        <v>525</v>
      </c>
    </row>
    <row r="172" spans="1:7" x14ac:dyDescent="0.3">
      <c r="A172">
        <v>0</v>
      </c>
      <c r="B172" t="s">
        <v>314</v>
      </c>
      <c r="C172" t="s">
        <v>374</v>
      </c>
      <c r="D172" t="s">
        <v>2</v>
      </c>
      <c r="E172" t="s">
        <v>374</v>
      </c>
      <c r="F172" t="s">
        <v>13</v>
      </c>
      <c r="G172" t="s">
        <v>525</v>
      </c>
    </row>
    <row r="173" spans="1:7" x14ac:dyDescent="0.3">
      <c r="A173">
        <v>0</v>
      </c>
      <c r="B173" t="s">
        <v>105</v>
      </c>
      <c r="C173" t="s">
        <v>124</v>
      </c>
      <c r="D173" t="s">
        <v>2</v>
      </c>
      <c r="E173" t="s">
        <v>124</v>
      </c>
      <c r="F173" t="s">
        <v>13</v>
      </c>
      <c r="G173" t="s">
        <v>525</v>
      </c>
    </row>
    <row r="174" spans="1:7" x14ac:dyDescent="0.3">
      <c r="A174">
        <v>0</v>
      </c>
      <c r="B174" t="s">
        <v>312</v>
      </c>
      <c r="C174" t="s">
        <v>440</v>
      </c>
      <c r="D174" t="s">
        <v>2</v>
      </c>
      <c r="E174" t="s">
        <v>440</v>
      </c>
      <c r="F174" t="s">
        <v>13</v>
      </c>
      <c r="G174" t="s">
        <v>525</v>
      </c>
    </row>
    <row r="175" spans="1:7" x14ac:dyDescent="0.3">
      <c r="A175">
        <v>0</v>
      </c>
      <c r="B175" t="s">
        <v>312</v>
      </c>
      <c r="C175" t="s">
        <v>316</v>
      </c>
      <c r="D175" t="s">
        <v>2</v>
      </c>
      <c r="E175" t="s">
        <v>316</v>
      </c>
      <c r="F175" t="s">
        <v>13</v>
      </c>
      <c r="G175" t="s">
        <v>525</v>
      </c>
    </row>
    <row r="176" spans="1:7" x14ac:dyDescent="0.3">
      <c r="A176">
        <v>0</v>
      </c>
      <c r="B176" t="s">
        <v>312</v>
      </c>
      <c r="C176" t="s">
        <v>427</v>
      </c>
      <c r="D176" t="s">
        <v>2</v>
      </c>
      <c r="E176" t="s">
        <v>427</v>
      </c>
      <c r="F176" t="s">
        <v>13</v>
      </c>
      <c r="G176" t="s">
        <v>525</v>
      </c>
    </row>
    <row r="177" spans="1:7" x14ac:dyDescent="0.3">
      <c r="A177">
        <v>0</v>
      </c>
      <c r="B177" t="s">
        <v>312</v>
      </c>
      <c r="C177" t="s">
        <v>332</v>
      </c>
      <c r="D177" t="s">
        <v>2</v>
      </c>
      <c r="E177" t="s">
        <v>332</v>
      </c>
      <c r="F177" t="s">
        <v>13</v>
      </c>
      <c r="G177" t="s">
        <v>525</v>
      </c>
    </row>
    <row r="178" spans="1:7" x14ac:dyDescent="0.3">
      <c r="A178">
        <v>0</v>
      </c>
      <c r="B178" t="s">
        <v>312</v>
      </c>
      <c r="C178" t="s">
        <v>336</v>
      </c>
      <c r="D178" t="s">
        <v>2</v>
      </c>
      <c r="E178" t="s">
        <v>336</v>
      </c>
      <c r="F178" t="s">
        <v>13</v>
      </c>
      <c r="G178" t="s">
        <v>525</v>
      </c>
    </row>
    <row r="179" spans="1:7" x14ac:dyDescent="0.3">
      <c r="A179">
        <v>0</v>
      </c>
      <c r="B179" t="s">
        <v>314</v>
      </c>
      <c r="C179" t="s">
        <v>393</v>
      </c>
      <c r="D179" t="s">
        <v>2</v>
      </c>
      <c r="E179" t="s">
        <v>393</v>
      </c>
      <c r="F179" t="s">
        <v>13</v>
      </c>
      <c r="G179" t="s">
        <v>525</v>
      </c>
    </row>
    <row r="180" spans="1:7" x14ac:dyDescent="0.3">
      <c r="A180">
        <v>0</v>
      </c>
      <c r="B180" t="s">
        <v>312</v>
      </c>
      <c r="C180" t="s">
        <v>339</v>
      </c>
      <c r="D180" t="s">
        <v>2</v>
      </c>
      <c r="E180" t="s">
        <v>339</v>
      </c>
      <c r="F180" t="s">
        <v>13</v>
      </c>
      <c r="G180" t="s">
        <v>525</v>
      </c>
    </row>
    <row r="181" spans="1:7" x14ac:dyDescent="0.3">
      <c r="A181">
        <v>0</v>
      </c>
      <c r="B181" t="s">
        <v>312</v>
      </c>
      <c r="C181" t="s">
        <v>400</v>
      </c>
      <c r="D181" t="s">
        <v>2</v>
      </c>
      <c r="E181" t="s">
        <v>400</v>
      </c>
      <c r="F181" t="s">
        <v>13</v>
      </c>
      <c r="G181" t="s">
        <v>525</v>
      </c>
    </row>
    <row r="182" spans="1:7" x14ac:dyDescent="0.3">
      <c r="A182">
        <v>0</v>
      </c>
      <c r="B182" t="s">
        <v>312</v>
      </c>
      <c r="C182" t="s">
        <v>380</v>
      </c>
      <c r="D182" t="s">
        <v>2</v>
      </c>
      <c r="E182" t="s">
        <v>380</v>
      </c>
      <c r="F182" t="s">
        <v>13</v>
      </c>
      <c r="G182" t="s">
        <v>525</v>
      </c>
    </row>
    <row r="183" spans="1:7" x14ac:dyDescent="0.3">
      <c r="A183">
        <v>0</v>
      </c>
      <c r="B183" t="s">
        <v>312</v>
      </c>
      <c r="C183" t="s">
        <v>442</v>
      </c>
      <c r="D183" t="s">
        <v>2</v>
      </c>
      <c r="E183" t="s">
        <v>442</v>
      </c>
      <c r="F183" t="s">
        <v>13</v>
      </c>
      <c r="G183" t="s">
        <v>525</v>
      </c>
    </row>
    <row r="184" spans="1:7" x14ac:dyDescent="0.3">
      <c r="A184">
        <v>0</v>
      </c>
      <c r="B184" t="s">
        <v>57</v>
      </c>
      <c r="C184" t="s">
        <v>470</v>
      </c>
      <c r="D184" t="s">
        <v>2</v>
      </c>
      <c r="E184" t="s">
        <v>470</v>
      </c>
      <c r="F184" t="s">
        <v>13</v>
      </c>
      <c r="G184" t="s">
        <v>525</v>
      </c>
    </row>
    <row r="185" spans="1:7" x14ac:dyDescent="0.3">
      <c r="A185">
        <v>0</v>
      </c>
      <c r="B185" t="s">
        <v>319</v>
      </c>
      <c r="C185" t="s">
        <v>463</v>
      </c>
      <c r="D185" t="s">
        <v>2</v>
      </c>
      <c r="E185" t="s">
        <v>463</v>
      </c>
      <c r="F185" t="s">
        <v>13</v>
      </c>
      <c r="G185" t="s">
        <v>525</v>
      </c>
    </row>
    <row r="186" spans="1:7" x14ac:dyDescent="0.3">
      <c r="A186">
        <v>0</v>
      </c>
      <c r="B186" t="s">
        <v>314</v>
      </c>
      <c r="C186" t="s">
        <v>343</v>
      </c>
      <c r="D186" t="s">
        <v>2</v>
      </c>
      <c r="E186" t="s">
        <v>343</v>
      </c>
      <c r="F186" t="s">
        <v>13</v>
      </c>
      <c r="G186" t="s">
        <v>525</v>
      </c>
    </row>
    <row r="187" spans="1:7" x14ac:dyDescent="0.3">
      <c r="A187">
        <v>0</v>
      </c>
      <c r="B187" t="s">
        <v>312</v>
      </c>
      <c r="C187" t="s">
        <v>371</v>
      </c>
      <c r="D187" t="s">
        <v>2</v>
      </c>
      <c r="E187" t="s">
        <v>371</v>
      </c>
      <c r="F187" t="s">
        <v>13</v>
      </c>
      <c r="G187" t="s">
        <v>525</v>
      </c>
    </row>
    <row r="188" spans="1:7" x14ac:dyDescent="0.3">
      <c r="A188">
        <v>0</v>
      </c>
      <c r="B188" t="s">
        <v>312</v>
      </c>
      <c r="C188" t="s">
        <v>366</v>
      </c>
      <c r="D188" t="s">
        <v>2</v>
      </c>
      <c r="E188" t="s">
        <v>366</v>
      </c>
      <c r="F188" t="s">
        <v>13</v>
      </c>
      <c r="G188" t="s">
        <v>525</v>
      </c>
    </row>
    <row r="189" spans="1:7" x14ac:dyDescent="0.3">
      <c r="A189">
        <v>0</v>
      </c>
      <c r="B189" t="s">
        <v>312</v>
      </c>
      <c r="C189" t="s">
        <v>384</v>
      </c>
      <c r="D189" t="s">
        <v>2</v>
      </c>
      <c r="E189" t="s">
        <v>384</v>
      </c>
      <c r="F189" t="s">
        <v>13</v>
      </c>
      <c r="G189" t="s">
        <v>525</v>
      </c>
    </row>
    <row r="190" spans="1:7" x14ac:dyDescent="0.3">
      <c r="A190">
        <v>0</v>
      </c>
      <c r="B190" t="s">
        <v>319</v>
      </c>
      <c r="C190" t="s">
        <v>464</v>
      </c>
      <c r="D190" t="s">
        <v>2</v>
      </c>
      <c r="E190" t="s">
        <v>464</v>
      </c>
      <c r="F190" t="s">
        <v>13</v>
      </c>
      <c r="G190" t="s">
        <v>525</v>
      </c>
    </row>
    <row r="191" spans="1:7" x14ac:dyDescent="0.3">
      <c r="A191">
        <v>0</v>
      </c>
      <c r="B191" t="s">
        <v>312</v>
      </c>
      <c r="C191" t="s">
        <v>323</v>
      </c>
      <c r="D191" t="s">
        <v>2</v>
      </c>
      <c r="E191" t="s">
        <v>323</v>
      </c>
      <c r="F191" t="s">
        <v>13</v>
      </c>
      <c r="G191" t="s">
        <v>525</v>
      </c>
    </row>
    <row r="192" spans="1:7" x14ac:dyDescent="0.3">
      <c r="A192">
        <v>0</v>
      </c>
      <c r="B192" t="s">
        <v>314</v>
      </c>
      <c r="C192" t="s">
        <v>414</v>
      </c>
      <c r="D192" t="s">
        <v>2</v>
      </c>
      <c r="E192" t="s">
        <v>414</v>
      </c>
      <c r="F192" t="s">
        <v>13</v>
      </c>
      <c r="G192" t="s">
        <v>525</v>
      </c>
    </row>
    <row r="193" spans="1:7" x14ac:dyDescent="0.3">
      <c r="A193">
        <v>0</v>
      </c>
      <c r="B193" t="s">
        <v>312</v>
      </c>
      <c r="C193" t="s">
        <v>261</v>
      </c>
      <c r="D193" t="s">
        <v>2</v>
      </c>
      <c r="E193" t="s">
        <v>261</v>
      </c>
      <c r="F193" t="s">
        <v>13</v>
      </c>
      <c r="G193" t="s">
        <v>525</v>
      </c>
    </row>
    <row r="194" spans="1:7" x14ac:dyDescent="0.3">
      <c r="A194">
        <v>0</v>
      </c>
      <c r="B194" t="s">
        <v>319</v>
      </c>
      <c r="C194" t="s">
        <v>364</v>
      </c>
      <c r="D194" t="s">
        <v>2</v>
      </c>
      <c r="E194" t="s">
        <v>364</v>
      </c>
      <c r="F194" t="s">
        <v>13</v>
      </c>
      <c r="G194" t="s">
        <v>525</v>
      </c>
    </row>
    <row r="195" spans="1:7" x14ac:dyDescent="0.3">
      <c r="A195">
        <v>0</v>
      </c>
      <c r="B195" t="s">
        <v>312</v>
      </c>
      <c r="C195" t="s">
        <v>373</v>
      </c>
      <c r="D195" t="s">
        <v>2</v>
      </c>
      <c r="E195" t="s">
        <v>373</v>
      </c>
      <c r="F195" t="s">
        <v>13</v>
      </c>
      <c r="G195" t="s">
        <v>525</v>
      </c>
    </row>
    <row r="196" spans="1:7" x14ac:dyDescent="0.3">
      <c r="A196">
        <v>0</v>
      </c>
      <c r="B196" t="s">
        <v>312</v>
      </c>
      <c r="C196" t="s">
        <v>482</v>
      </c>
      <c r="D196" t="s">
        <v>2</v>
      </c>
      <c r="E196" t="s">
        <v>482</v>
      </c>
      <c r="F196" t="s">
        <v>13</v>
      </c>
      <c r="G196" t="s">
        <v>525</v>
      </c>
    </row>
    <row r="197" spans="1:7" x14ac:dyDescent="0.3">
      <c r="A197">
        <v>0</v>
      </c>
      <c r="B197" t="s">
        <v>312</v>
      </c>
      <c r="C197" t="s">
        <v>412</v>
      </c>
      <c r="D197" t="s">
        <v>2</v>
      </c>
      <c r="E197" t="s">
        <v>412</v>
      </c>
      <c r="F197" t="s">
        <v>13</v>
      </c>
      <c r="G197" t="s">
        <v>525</v>
      </c>
    </row>
    <row r="198" spans="1:7" x14ac:dyDescent="0.3">
      <c r="A198">
        <v>0</v>
      </c>
      <c r="B198" t="s">
        <v>312</v>
      </c>
      <c r="C198" t="s">
        <v>434</v>
      </c>
      <c r="D198" t="s">
        <v>2</v>
      </c>
      <c r="E198" t="s">
        <v>434</v>
      </c>
      <c r="F198" t="s">
        <v>13</v>
      </c>
      <c r="G198" t="s">
        <v>525</v>
      </c>
    </row>
    <row r="199" spans="1:7" x14ac:dyDescent="0.3">
      <c r="A199">
        <v>0</v>
      </c>
      <c r="B199" t="s">
        <v>314</v>
      </c>
      <c r="C199" t="s">
        <v>443</v>
      </c>
      <c r="D199" t="s">
        <v>2</v>
      </c>
      <c r="E199" t="s">
        <v>443</v>
      </c>
      <c r="F199" t="s">
        <v>13</v>
      </c>
      <c r="G199" t="s">
        <v>525</v>
      </c>
    </row>
    <row r="200" spans="1:7" x14ac:dyDescent="0.3">
      <c r="A200">
        <v>0</v>
      </c>
      <c r="B200" t="s">
        <v>319</v>
      </c>
      <c r="C200" t="s">
        <v>430</v>
      </c>
      <c r="D200" t="s">
        <v>2</v>
      </c>
      <c r="E200" t="s">
        <v>430</v>
      </c>
      <c r="F200" t="s">
        <v>13</v>
      </c>
      <c r="G200" t="s">
        <v>525</v>
      </c>
    </row>
    <row r="201" spans="1:7" x14ac:dyDescent="0.3">
      <c r="A201">
        <v>0</v>
      </c>
      <c r="B201" t="s">
        <v>314</v>
      </c>
      <c r="C201" t="s">
        <v>408</v>
      </c>
      <c r="D201" t="s">
        <v>2</v>
      </c>
      <c r="E201" t="s">
        <v>408</v>
      </c>
      <c r="F201" t="s">
        <v>13</v>
      </c>
      <c r="G201" t="s">
        <v>525</v>
      </c>
    </row>
    <row r="202" spans="1:7" x14ac:dyDescent="0.3">
      <c r="A202">
        <v>0</v>
      </c>
      <c r="B202" t="s">
        <v>312</v>
      </c>
      <c r="C202" t="s">
        <v>138</v>
      </c>
      <c r="D202" t="s">
        <v>2</v>
      </c>
      <c r="E202" t="s">
        <v>138</v>
      </c>
      <c r="F202" t="s">
        <v>13</v>
      </c>
      <c r="G202" t="s">
        <v>525</v>
      </c>
    </row>
    <row r="203" spans="1:7" x14ac:dyDescent="0.3">
      <c r="A203">
        <v>0</v>
      </c>
      <c r="B203" t="s">
        <v>312</v>
      </c>
      <c r="C203" t="s">
        <v>275</v>
      </c>
      <c r="D203" t="s">
        <v>2</v>
      </c>
      <c r="E203" t="s">
        <v>275</v>
      </c>
      <c r="F203" t="s">
        <v>13</v>
      </c>
      <c r="G203" t="s">
        <v>525</v>
      </c>
    </row>
    <row r="204" spans="1:7" x14ac:dyDescent="0.3">
      <c r="A204">
        <v>0</v>
      </c>
      <c r="B204" t="s">
        <v>312</v>
      </c>
      <c r="C204" t="s">
        <v>337</v>
      </c>
      <c r="D204" t="s">
        <v>2</v>
      </c>
      <c r="E204" t="s">
        <v>337</v>
      </c>
      <c r="F204" t="s">
        <v>13</v>
      </c>
      <c r="G204" t="s">
        <v>525</v>
      </c>
    </row>
    <row r="205" spans="1:7" x14ac:dyDescent="0.3">
      <c r="A205">
        <v>0</v>
      </c>
      <c r="B205" t="s">
        <v>312</v>
      </c>
      <c r="C205" t="s">
        <v>331</v>
      </c>
      <c r="D205" t="s">
        <v>2</v>
      </c>
      <c r="E205" t="s">
        <v>331</v>
      </c>
      <c r="F205" t="s">
        <v>13</v>
      </c>
      <c r="G205" t="s">
        <v>525</v>
      </c>
    </row>
    <row r="206" spans="1:7" x14ac:dyDescent="0.3">
      <c r="A206">
        <v>0</v>
      </c>
      <c r="B206" t="s">
        <v>312</v>
      </c>
      <c r="C206" t="s">
        <v>452</v>
      </c>
      <c r="D206" t="s">
        <v>2</v>
      </c>
      <c r="E206" t="s">
        <v>452</v>
      </c>
      <c r="F206" t="s">
        <v>13</v>
      </c>
      <c r="G206" t="s">
        <v>525</v>
      </c>
    </row>
    <row r="207" spans="1:7" x14ac:dyDescent="0.3">
      <c r="A207">
        <v>0</v>
      </c>
      <c r="B207" t="s">
        <v>319</v>
      </c>
      <c r="C207" t="s">
        <v>477</v>
      </c>
      <c r="D207" t="s">
        <v>2</v>
      </c>
      <c r="E207" t="s">
        <v>477</v>
      </c>
      <c r="F207" t="s">
        <v>13</v>
      </c>
      <c r="G207" t="s">
        <v>525</v>
      </c>
    </row>
    <row r="208" spans="1:7" x14ac:dyDescent="0.3">
      <c r="A208">
        <v>0</v>
      </c>
      <c r="B208" t="s">
        <v>312</v>
      </c>
      <c r="C208" t="s">
        <v>446</v>
      </c>
      <c r="D208" t="s">
        <v>2</v>
      </c>
      <c r="E208" t="s">
        <v>446</v>
      </c>
      <c r="F208" t="s">
        <v>13</v>
      </c>
      <c r="G208" t="s">
        <v>525</v>
      </c>
    </row>
    <row r="209" spans="1:7" x14ac:dyDescent="0.3">
      <c r="A209">
        <v>0</v>
      </c>
      <c r="B209" t="s">
        <v>319</v>
      </c>
      <c r="C209" t="s">
        <v>491</v>
      </c>
      <c r="D209" t="s">
        <v>2</v>
      </c>
      <c r="E209" t="s">
        <v>491</v>
      </c>
      <c r="F209" t="s">
        <v>13</v>
      </c>
      <c r="G209" t="s">
        <v>525</v>
      </c>
    </row>
    <row r="210" spans="1:7" x14ac:dyDescent="0.3">
      <c r="A210">
        <v>0</v>
      </c>
      <c r="B210" t="s">
        <v>312</v>
      </c>
      <c r="C210" t="s">
        <v>326</v>
      </c>
      <c r="D210" t="s">
        <v>2</v>
      </c>
      <c r="E210" t="s">
        <v>326</v>
      </c>
      <c r="F210" t="s">
        <v>13</v>
      </c>
      <c r="G210" t="s">
        <v>525</v>
      </c>
    </row>
    <row r="211" spans="1:7" x14ac:dyDescent="0.3">
      <c r="A211">
        <v>0</v>
      </c>
      <c r="B211" t="s">
        <v>319</v>
      </c>
      <c r="C211" t="s">
        <v>415</v>
      </c>
      <c r="D211" t="s">
        <v>2</v>
      </c>
      <c r="E211" t="s">
        <v>415</v>
      </c>
      <c r="F211" t="s">
        <v>13</v>
      </c>
      <c r="G211" t="s">
        <v>525</v>
      </c>
    </row>
    <row r="212" spans="1:7" x14ac:dyDescent="0.3">
      <c r="A212">
        <v>0</v>
      </c>
      <c r="B212" t="s">
        <v>314</v>
      </c>
      <c r="C212" t="s">
        <v>451</v>
      </c>
      <c r="D212" t="s">
        <v>2</v>
      </c>
      <c r="E212" t="s">
        <v>451</v>
      </c>
      <c r="F212" t="s">
        <v>13</v>
      </c>
      <c r="G212" t="s">
        <v>525</v>
      </c>
    </row>
    <row r="213" spans="1:7" x14ac:dyDescent="0.3">
      <c r="A213">
        <v>0</v>
      </c>
      <c r="B213" t="s">
        <v>314</v>
      </c>
      <c r="C213" t="s">
        <v>448</v>
      </c>
      <c r="D213" t="s">
        <v>2</v>
      </c>
      <c r="E213" t="s">
        <v>448</v>
      </c>
      <c r="F213" t="s">
        <v>13</v>
      </c>
      <c r="G213" t="s">
        <v>525</v>
      </c>
    </row>
    <row r="214" spans="1:7" x14ac:dyDescent="0.3">
      <c r="A214">
        <v>0</v>
      </c>
      <c r="B214" t="s">
        <v>312</v>
      </c>
      <c r="C214" t="s">
        <v>423</v>
      </c>
      <c r="D214" t="s">
        <v>2</v>
      </c>
      <c r="E214" t="s">
        <v>423</v>
      </c>
      <c r="F214" t="s">
        <v>13</v>
      </c>
      <c r="G214" t="s">
        <v>525</v>
      </c>
    </row>
    <row r="215" spans="1:7" x14ac:dyDescent="0.3">
      <c r="A215">
        <v>0</v>
      </c>
      <c r="B215" t="s">
        <v>319</v>
      </c>
      <c r="C215" t="s">
        <v>361</v>
      </c>
      <c r="D215" t="s">
        <v>2</v>
      </c>
      <c r="E215" t="s">
        <v>361</v>
      </c>
      <c r="F215" t="s">
        <v>13</v>
      </c>
      <c r="G215" t="s">
        <v>525</v>
      </c>
    </row>
    <row r="216" spans="1:7" x14ac:dyDescent="0.3">
      <c r="A216">
        <v>0</v>
      </c>
      <c r="B216" t="s">
        <v>314</v>
      </c>
      <c r="C216" t="s">
        <v>467</v>
      </c>
      <c r="D216" t="s">
        <v>2</v>
      </c>
      <c r="E216" t="s">
        <v>467</v>
      </c>
      <c r="F216" t="s">
        <v>13</v>
      </c>
      <c r="G216" t="s">
        <v>525</v>
      </c>
    </row>
    <row r="217" spans="1:7" x14ac:dyDescent="0.3">
      <c r="A217">
        <v>0</v>
      </c>
      <c r="B217" t="s">
        <v>319</v>
      </c>
      <c r="C217" t="s">
        <v>420</v>
      </c>
      <c r="D217" t="s">
        <v>2</v>
      </c>
      <c r="E217" t="s">
        <v>420</v>
      </c>
      <c r="F217" t="s">
        <v>13</v>
      </c>
      <c r="G217" t="s">
        <v>525</v>
      </c>
    </row>
    <row r="218" spans="1:7" x14ac:dyDescent="0.3">
      <c r="A218">
        <v>0</v>
      </c>
      <c r="B218" t="s">
        <v>314</v>
      </c>
      <c r="C218" t="s">
        <v>487</v>
      </c>
      <c r="D218" t="s">
        <v>2</v>
      </c>
      <c r="E218" t="s">
        <v>487</v>
      </c>
      <c r="F218" t="s">
        <v>13</v>
      </c>
      <c r="G218" t="s">
        <v>525</v>
      </c>
    </row>
    <row r="219" spans="1:7" x14ac:dyDescent="0.3">
      <c r="A219">
        <v>0</v>
      </c>
      <c r="B219" t="s">
        <v>312</v>
      </c>
      <c r="C219" t="s">
        <v>149</v>
      </c>
      <c r="D219" t="s">
        <v>2</v>
      </c>
      <c r="E219" t="s">
        <v>149</v>
      </c>
      <c r="F219" t="s">
        <v>13</v>
      </c>
      <c r="G219" t="s">
        <v>525</v>
      </c>
    </row>
    <row r="220" spans="1:7" x14ac:dyDescent="0.3">
      <c r="A220">
        <v>0</v>
      </c>
      <c r="B220" t="s">
        <v>314</v>
      </c>
      <c r="C220" t="s">
        <v>377</v>
      </c>
      <c r="D220" t="s">
        <v>2</v>
      </c>
      <c r="E220" t="s">
        <v>377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403</v>
      </c>
      <c r="D221" t="s">
        <v>2</v>
      </c>
      <c r="E221" t="s">
        <v>403</v>
      </c>
      <c r="F221" t="s">
        <v>13</v>
      </c>
      <c r="G221" t="s">
        <v>525</v>
      </c>
    </row>
    <row r="222" spans="1:7" x14ac:dyDescent="0.3">
      <c r="A222">
        <v>0</v>
      </c>
      <c r="B222" t="s">
        <v>312</v>
      </c>
      <c r="C222" t="s">
        <v>387</v>
      </c>
      <c r="D222" t="s">
        <v>2</v>
      </c>
      <c r="E222" t="s">
        <v>387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431</v>
      </c>
      <c r="D223" t="s">
        <v>2</v>
      </c>
      <c r="E223" t="s">
        <v>431</v>
      </c>
      <c r="F223" t="s">
        <v>13</v>
      </c>
      <c r="G223" t="s">
        <v>525</v>
      </c>
    </row>
    <row r="224" spans="1:7" x14ac:dyDescent="0.3">
      <c r="A224">
        <v>0</v>
      </c>
      <c r="B224" t="s">
        <v>319</v>
      </c>
      <c r="C224" t="s">
        <v>459</v>
      </c>
      <c r="D224" t="s">
        <v>2</v>
      </c>
      <c r="E224" t="s">
        <v>459</v>
      </c>
      <c r="F224" t="s">
        <v>13</v>
      </c>
      <c r="G224" t="s">
        <v>525</v>
      </c>
    </row>
    <row r="225" spans="1:7" x14ac:dyDescent="0.3">
      <c r="A225">
        <v>0</v>
      </c>
      <c r="B225" t="s">
        <v>314</v>
      </c>
      <c r="C225" t="s">
        <v>376</v>
      </c>
      <c r="D225" t="s">
        <v>2</v>
      </c>
      <c r="E225" t="s">
        <v>376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379</v>
      </c>
      <c r="D226" t="s">
        <v>2</v>
      </c>
      <c r="E226" t="s">
        <v>379</v>
      </c>
      <c r="F226" t="s">
        <v>13</v>
      </c>
      <c r="G226" t="s">
        <v>525</v>
      </c>
    </row>
    <row r="227" spans="1:7" x14ac:dyDescent="0.3">
      <c r="A227">
        <v>0</v>
      </c>
      <c r="B227" t="s">
        <v>314</v>
      </c>
      <c r="C227" t="s">
        <v>445</v>
      </c>
      <c r="D227" t="s">
        <v>2</v>
      </c>
      <c r="E227" t="s">
        <v>445</v>
      </c>
      <c r="F227" t="s">
        <v>13</v>
      </c>
      <c r="G227" t="s">
        <v>525</v>
      </c>
    </row>
    <row r="228" spans="1:7" x14ac:dyDescent="0.3">
      <c r="A228">
        <v>0</v>
      </c>
      <c r="B228" t="s">
        <v>319</v>
      </c>
      <c r="C228" t="s">
        <v>460</v>
      </c>
      <c r="D228" t="s">
        <v>2</v>
      </c>
      <c r="E228" t="s">
        <v>460</v>
      </c>
      <c r="F228" t="s">
        <v>13</v>
      </c>
      <c r="G228" t="s">
        <v>525</v>
      </c>
    </row>
    <row r="229" spans="1:7" x14ac:dyDescent="0.3">
      <c r="A229">
        <v>0</v>
      </c>
      <c r="B229" t="s">
        <v>314</v>
      </c>
      <c r="C229" t="s">
        <v>450</v>
      </c>
      <c r="D229" t="s">
        <v>2</v>
      </c>
      <c r="E229" t="s">
        <v>450</v>
      </c>
      <c r="F229" t="s">
        <v>13</v>
      </c>
      <c r="G229" t="s">
        <v>525</v>
      </c>
    </row>
    <row r="230" spans="1:7" x14ac:dyDescent="0.3">
      <c r="A230">
        <v>0</v>
      </c>
      <c r="B230" t="s">
        <v>312</v>
      </c>
      <c r="C230" t="s">
        <v>473</v>
      </c>
      <c r="D230" t="s">
        <v>2</v>
      </c>
      <c r="E230" t="s">
        <v>473</v>
      </c>
      <c r="F230" t="s">
        <v>13</v>
      </c>
      <c r="G230" t="s">
        <v>525</v>
      </c>
    </row>
    <row r="231" spans="1:7" x14ac:dyDescent="0.3">
      <c r="A231">
        <v>0</v>
      </c>
      <c r="B231" t="s">
        <v>314</v>
      </c>
      <c r="C231" t="s">
        <v>313</v>
      </c>
      <c r="D231" t="s">
        <v>2</v>
      </c>
      <c r="E231" t="s">
        <v>313</v>
      </c>
      <c r="F231" t="s">
        <v>13</v>
      </c>
      <c r="G231" t="s">
        <v>525</v>
      </c>
    </row>
    <row r="232" spans="1:7" x14ac:dyDescent="0.3">
      <c r="A232">
        <v>0</v>
      </c>
      <c r="B232" t="s">
        <v>312</v>
      </c>
      <c r="C232" t="s">
        <v>472</v>
      </c>
      <c r="D232" t="s">
        <v>2</v>
      </c>
      <c r="E232" t="s">
        <v>472</v>
      </c>
      <c r="F232" t="s">
        <v>13</v>
      </c>
      <c r="G232" t="s">
        <v>525</v>
      </c>
    </row>
    <row r="233" spans="1:7" x14ac:dyDescent="0.3">
      <c r="A233">
        <v>0</v>
      </c>
      <c r="B233" t="s">
        <v>312</v>
      </c>
      <c r="C233" t="s">
        <v>402</v>
      </c>
      <c r="D233" t="s">
        <v>2</v>
      </c>
      <c r="E233" t="s">
        <v>402</v>
      </c>
      <c r="F233" t="s">
        <v>13</v>
      </c>
      <c r="G233" t="s">
        <v>525</v>
      </c>
    </row>
    <row r="234" spans="1:7" x14ac:dyDescent="0.3">
      <c r="A234">
        <v>0</v>
      </c>
      <c r="B234" t="s">
        <v>314</v>
      </c>
      <c r="C234" t="s">
        <v>455</v>
      </c>
      <c r="D234" t="s">
        <v>2</v>
      </c>
      <c r="E234" t="s">
        <v>455</v>
      </c>
      <c r="F234" t="s">
        <v>13</v>
      </c>
      <c r="G234" t="s">
        <v>525</v>
      </c>
    </row>
    <row r="235" spans="1:7" x14ac:dyDescent="0.3">
      <c r="A235">
        <v>0</v>
      </c>
      <c r="B235" t="s">
        <v>312</v>
      </c>
      <c r="C235" t="s">
        <v>411</v>
      </c>
      <c r="D235" t="s">
        <v>2</v>
      </c>
      <c r="E235" t="s">
        <v>411</v>
      </c>
      <c r="F235" t="s">
        <v>13</v>
      </c>
      <c r="G235" t="s">
        <v>525</v>
      </c>
    </row>
    <row r="236" spans="1:7" x14ac:dyDescent="0.3">
      <c r="A236">
        <v>0</v>
      </c>
      <c r="B236" t="s">
        <v>312</v>
      </c>
      <c r="C236" t="s">
        <v>488</v>
      </c>
      <c r="D236" t="s">
        <v>2</v>
      </c>
      <c r="E236" t="s">
        <v>488</v>
      </c>
      <c r="F236" t="s">
        <v>13</v>
      </c>
      <c r="G236" t="s">
        <v>525</v>
      </c>
    </row>
    <row r="237" spans="1:7" x14ac:dyDescent="0.3">
      <c r="A237">
        <v>0</v>
      </c>
      <c r="B237" t="s">
        <v>319</v>
      </c>
      <c r="C237" t="s">
        <v>462</v>
      </c>
      <c r="D237" t="s">
        <v>2</v>
      </c>
      <c r="E237" t="s">
        <v>462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246</v>
      </c>
      <c r="D238" t="s">
        <v>2</v>
      </c>
      <c r="E238" t="s">
        <v>246</v>
      </c>
      <c r="F238" t="s">
        <v>13</v>
      </c>
      <c r="G238" t="s">
        <v>525</v>
      </c>
    </row>
    <row r="239" spans="1:7" x14ac:dyDescent="0.3">
      <c r="A239">
        <v>0</v>
      </c>
      <c r="B239" t="s">
        <v>312</v>
      </c>
      <c r="C239" t="s">
        <v>357</v>
      </c>
      <c r="D239" t="s">
        <v>2</v>
      </c>
      <c r="E239" t="s">
        <v>357</v>
      </c>
      <c r="F239" t="s">
        <v>13</v>
      </c>
      <c r="G239" t="s">
        <v>525</v>
      </c>
    </row>
    <row r="240" spans="1:7" x14ac:dyDescent="0.3">
      <c r="A240">
        <v>0</v>
      </c>
      <c r="B240" t="s">
        <v>314</v>
      </c>
      <c r="C240" t="s">
        <v>341</v>
      </c>
      <c r="D240" t="s">
        <v>2</v>
      </c>
      <c r="E240" t="s">
        <v>341</v>
      </c>
      <c r="F240" t="s">
        <v>13</v>
      </c>
      <c r="G240" t="s">
        <v>525</v>
      </c>
    </row>
    <row r="241" spans="1:7" x14ac:dyDescent="0.3">
      <c r="A241">
        <v>0</v>
      </c>
      <c r="B241" t="s">
        <v>319</v>
      </c>
      <c r="C241" t="s">
        <v>466</v>
      </c>
      <c r="D241" t="s">
        <v>2</v>
      </c>
      <c r="E241" t="s">
        <v>466</v>
      </c>
      <c r="F241" t="s">
        <v>13</v>
      </c>
      <c r="G241" t="s">
        <v>525</v>
      </c>
    </row>
    <row r="242" spans="1:7" x14ac:dyDescent="0.3">
      <c r="A242">
        <v>0</v>
      </c>
      <c r="B242" t="s">
        <v>319</v>
      </c>
      <c r="C242" t="s">
        <v>362</v>
      </c>
      <c r="D242" t="s">
        <v>2</v>
      </c>
      <c r="E242" t="s">
        <v>362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433</v>
      </c>
      <c r="D243" t="s">
        <v>2</v>
      </c>
      <c r="E243" t="s">
        <v>433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397</v>
      </c>
      <c r="D244" t="s">
        <v>2</v>
      </c>
      <c r="E244" t="s">
        <v>397</v>
      </c>
      <c r="F244" t="s">
        <v>13</v>
      </c>
      <c r="G244" t="s">
        <v>525</v>
      </c>
    </row>
    <row r="245" spans="1:7" x14ac:dyDescent="0.3">
      <c r="A245">
        <v>0</v>
      </c>
      <c r="B245" t="s">
        <v>319</v>
      </c>
      <c r="C245" t="s">
        <v>378</v>
      </c>
      <c r="D245" t="s">
        <v>2</v>
      </c>
      <c r="E245" t="s">
        <v>378</v>
      </c>
      <c r="F245" t="s">
        <v>13</v>
      </c>
      <c r="G245" t="s">
        <v>525</v>
      </c>
    </row>
    <row r="246" spans="1:7" x14ac:dyDescent="0.3">
      <c r="A246">
        <v>0</v>
      </c>
      <c r="B246" t="s">
        <v>105</v>
      </c>
      <c r="C246" t="s">
        <v>117</v>
      </c>
      <c r="D246" t="s">
        <v>2</v>
      </c>
      <c r="E246" t="s">
        <v>117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476</v>
      </c>
      <c r="D247" t="s">
        <v>2</v>
      </c>
      <c r="E247" t="s">
        <v>476</v>
      </c>
      <c r="F247" t="s">
        <v>13</v>
      </c>
      <c r="G247" t="s">
        <v>525</v>
      </c>
    </row>
    <row r="248" spans="1:7" x14ac:dyDescent="0.3">
      <c r="A248">
        <v>0</v>
      </c>
      <c r="B248" t="s">
        <v>319</v>
      </c>
      <c r="C248" t="s">
        <v>478</v>
      </c>
      <c r="D248" t="s">
        <v>2</v>
      </c>
      <c r="E248" t="s">
        <v>478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367</v>
      </c>
      <c r="D249" t="s">
        <v>2</v>
      </c>
      <c r="E249" t="s">
        <v>367</v>
      </c>
      <c r="F249" t="s">
        <v>13</v>
      </c>
      <c r="G249" t="s">
        <v>525</v>
      </c>
    </row>
    <row r="250" spans="1:7" x14ac:dyDescent="0.3">
      <c r="A250">
        <v>0</v>
      </c>
      <c r="B250" t="s">
        <v>312</v>
      </c>
      <c r="C250" t="s">
        <v>346</v>
      </c>
      <c r="D250" t="s">
        <v>2</v>
      </c>
      <c r="E250" t="s">
        <v>346</v>
      </c>
      <c r="F250" t="s">
        <v>13</v>
      </c>
      <c r="G250" t="s">
        <v>525</v>
      </c>
    </row>
    <row r="251" spans="1:7" x14ac:dyDescent="0.3">
      <c r="A251">
        <v>0</v>
      </c>
      <c r="B251" t="s">
        <v>105</v>
      </c>
      <c r="C251" t="s">
        <v>119</v>
      </c>
      <c r="D251" t="s">
        <v>2</v>
      </c>
      <c r="E251" t="s">
        <v>119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385</v>
      </c>
      <c r="D252" t="s">
        <v>2</v>
      </c>
      <c r="E252" t="s">
        <v>385</v>
      </c>
      <c r="F252" t="s">
        <v>13</v>
      </c>
      <c r="G252" t="s">
        <v>525</v>
      </c>
    </row>
    <row r="253" spans="1:7" x14ac:dyDescent="0.3">
      <c r="A253">
        <v>0</v>
      </c>
      <c r="B253" t="s">
        <v>57</v>
      </c>
      <c r="C253" t="s">
        <v>120</v>
      </c>
      <c r="D253" t="s">
        <v>2</v>
      </c>
      <c r="E253" t="s">
        <v>120</v>
      </c>
      <c r="F253" t="s">
        <v>13</v>
      </c>
      <c r="G253" t="s">
        <v>525</v>
      </c>
    </row>
    <row r="254" spans="1:7" x14ac:dyDescent="0.3">
      <c r="A254">
        <v>0</v>
      </c>
      <c r="B254" t="s">
        <v>312</v>
      </c>
      <c r="C254" t="s">
        <v>324</v>
      </c>
      <c r="D254" t="s">
        <v>2</v>
      </c>
      <c r="E254" t="s">
        <v>324</v>
      </c>
      <c r="F254" t="s">
        <v>13</v>
      </c>
      <c r="G254" t="s">
        <v>525</v>
      </c>
    </row>
    <row r="255" spans="1:7" x14ac:dyDescent="0.3">
      <c r="A255">
        <v>0</v>
      </c>
      <c r="B255" t="s">
        <v>312</v>
      </c>
      <c r="C255" t="s">
        <v>327</v>
      </c>
      <c r="D255" t="s">
        <v>2</v>
      </c>
      <c r="E255" t="s">
        <v>327</v>
      </c>
      <c r="F255" t="s">
        <v>13</v>
      </c>
      <c r="G255" t="s">
        <v>525</v>
      </c>
    </row>
    <row r="256" spans="1:7" x14ac:dyDescent="0.3">
      <c r="A256">
        <v>0</v>
      </c>
      <c r="B256" t="s">
        <v>314</v>
      </c>
      <c r="C256" t="s">
        <v>441</v>
      </c>
      <c r="D256" t="s">
        <v>2</v>
      </c>
      <c r="E256" t="s">
        <v>441</v>
      </c>
      <c r="F256" t="s">
        <v>13</v>
      </c>
      <c r="G256" t="s">
        <v>525</v>
      </c>
    </row>
    <row r="257" spans="1:7" x14ac:dyDescent="0.3">
      <c r="A257">
        <v>0</v>
      </c>
      <c r="B257" t="s">
        <v>105</v>
      </c>
      <c r="C257" t="s">
        <v>115</v>
      </c>
      <c r="D257" t="s">
        <v>2</v>
      </c>
      <c r="E257" t="s">
        <v>115</v>
      </c>
      <c r="F257" t="s">
        <v>13</v>
      </c>
      <c r="G257" t="s">
        <v>525</v>
      </c>
    </row>
    <row r="258" spans="1:7" x14ac:dyDescent="0.3">
      <c r="A258">
        <v>0</v>
      </c>
      <c r="B258" t="s">
        <v>312</v>
      </c>
      <c r="C258" t="s">
        <v>484</v>
      </c>
      <c r="D258" t="s">
        <v>2</v>
      </c>
      <c r="E258" t="s">
        <v>484</v>
      </c>
      <c r="F258" t="s">
        <v>13</v>
      </c>
      <c r="G258" t="s">
        <v>525</v>
      </c>
    </row>
    <row r="259" spans="1:7" x14ac:dyDescent="0.3">
      <c r="A259">
        <v>0</v>
      </c>
      <c r="B259" t="s">
        <v>312</v>
      </c>
      <c r="C259" t="s">
        <v>311</v>
      </c>
      <c r="D259" t="s">
        <v>2</v>
      </c>
      <c r="E259" t="s">
        <v>311</v>
      </c>
      <c r="F259" t="s">
        <v>13</v>
      </c>
      <c r="G259" t="s">
        <v>525</v>
      </c>
    </row>
    <row r="260" spans="1:7" x14ac:dyDescent="0.3">
      <c r="A260">
        <v>0</v>
      </c>
      <c r="B260" t="s">
        <v>312</v>
      </c>
      <c r="C260" t="s">
        <v>365</v>
      </c>
      <c r="D260" t="s">
        <v>2</v>
      </c>
      <c r="E260" t="s">
        <v>365</v>
      </c>
      <c r="F260" t="s">
        <v>13</v>
      </c>
      <c r="G260" t="s">
        <v>525</v>
      </c>
    </row>
    <row r="261" spans="1:7" x14ac:dyDescent="0.3">
      <c r="A261">
        <v>0</v>
      </c>
      <c r="B261" t="s">
        <v>314</v>
      </c>
      <c r="C261" t="s">
        <v>350</v>
      </c>
      <c r="D261" t="s">
        <v>2</v>
      </c>
      <c r="E261" t="s">
        <v>350</v>
      </c>
      <c r="F261" t="s">
        <v>13</v>
      </c>
      <c r="G261" t="s">
        <v>525</v>
      </c>
    </row>
    <row r="262" spans="1:7" x14ac:dyDescent="0.3">
      <c r="A262">
        <v>0</v>
      </c>
      <c r="B262" t="s">
        <v>105</v>
      </c>
      <c r="C262" t="s">
        <v>123</v>
      </c>
      <c r="D262" t="s">
        <v>2</v>
      </c>
      <c r="E262" t="s">
        <v>123</v>
      </c>
      <c r="F262" t="s">
        <v>13</v>
      </c>
      <c r="G262" t="s">
        <v>525</v>
      </c>
    </row>
    <row r="263" spans="1:7" x14ac:dyDescent="0.3">
      <c r="A263">
        <v>0</v>
      </c>
      <c r="B263" t="s">
        <v>312</v>
      </c>
      <c r="C263" t="s">
        <v>396</v>
      </c>
      <c r="D263" t="s">
        <v>2</v>
      </c>
      <c r="E263" t="s">
        <v>396</v>
      </c>
      <c r="F263" t="s">
        <v>13</v>
      </c>
      <c r="G263" t="s">
        <v>525</v>
      </c>
    </row>
    <row r="264" spans="1:7" x14ac:dyDescent="0.3">
      <c r="A264">
        <v>0</v>
      </c>
      <c r="B264" t="s">
        <v>312</v>
      </c>
      <c r="C264" t="s">
        <v>428</v>
      </c>
      <c r="D264" t="s">
        <v>2</v>
      </c>
      <c r="E264" t="s">
        <v>428</v>
      </c>
      <c r="F264" t="s">
        <v>13</v>
      </c>
      <c r="G264" t="s">
        <v>525</v>
      </c>
    </row>
    <row r="265" spans="1:7" x14ac:dyDescent="0.3">
      <c r="A265">
        <v>0</v>
      </c>
      <c r="B265" t="s">
        <v>312</v>
      </c>
      <c r="C265" t="s">
        <v>383</v>
      </c>
      <c r="D265" t="s">
        <v>2</v>
      </c>
      <c r="E265" t="s">
        <v>383</v>
      </c>
      <c r="F265" t="s">
        <v>13</v>
      </c>
      <c r="G265" t="s">
        <v>525</v>
      </c>
    </row>
    <row r="266" spans="1:7" x14ac:dyDescent="0.3">
      <c r="A266">
        <v>0</v>
      </c>
      <c r="B266" t="s">
        <v>312</v>
      </c>
      <c r="C266" t="s">
        <v>426</v>
      </c>
      <c r="D266" t="s">
        <v>2</v>
      </c>
      <c r="E266" t="s">
        <v>426</v>
      </c>
      <c r="F266" t="s">
        <v>13</v>
      </c>
      <c r="G266" t="s">
        <v>525</v>
      </c>
    </row>
    <row r="267" spans="1:7" x14ac:dyDescent="0.3">
      <c r="A267">
        <v>0</v>
      </c>
      <c r="B267" t="s">
        <v>312</v>
      </c>
      <c r="C267" t="s">
        <v>437</v>
      </c>
      <c r="D267" t="s">
        <v>2</v>
      </c>
      <c r="E267" t="s">
        <v>437</v>
      </c>
      <c r="F267" t="s">
        <v>13</v>
      </c>
      <c r="G267" t="s">
        <v>525</v>
      </c>
    </row>
    <row r="268" spans="1:7" x14ac:dyDescent="0.3">
      <c r="A268">
        <v>0</v>
      </c>
      <c r="B268" t="s">
        <v>312</v>
      </c>
      <c r="C268" t="s">
        <v>454</v>
      </c>
      <c r="D268" t="s">
        <v>2</v>
      </c>
      <c r="E268" t="s">
        <v>454</v>
      </c>
      <c r="F268" t="s">
        <v>13</v>
      </c>
      <c r="G268" t="s">
        <v>525</v>
      </c>
    </row>
    <row r="269" spans="1:7" x14ac:dyDescent="0.3">
      <c r="A269">
        <v>0</v>
      </c>
      <c r="B269" t="s">
        <v>312</v>
      </c>
      <c r="C269" t="s">
        <v>425</v>
      </c>
      <c r="D269" t="s">
        <v>2</v>
      </c>
      <c r="E269" t="s">
        <v>425</v>
      </c>
      <c r="F269" t="s">
        <v>13</v>
      </c>
      <c r="G269" t="s">
        <v>525</v>
      </c>
    </row>
    <row r="270" spans="1:7" x14ac:dyDescent="0.3">
      <c r="A270">
        <v>0</v>
      </c>
      <c r="B270" t="s">
        <v>312</v>
      </c>
      <c r="C270" t="s">
        <v>344</v>
      </c>
      <c r="D270" t="s">
        <v>2</v>
      </c>
      <c r="E270" t="s">
        <v>344</v>
      </c>
      <c r="F270" t="s">
        <v>13</v>
      </c>
      <c r="G270" t="s">
        <v>525</v>
      </c>
    </row>
    <row r="271" spans="1:7" x14ac:dyDescent="0.3">
      <c r="A271">
        <v>0</v>
      </c>
      <c r="B271" t="s">
        <v>312</v>
      </c>
      <c r="C271" t="s">
        <v>407</v>
      </c>
      <c r="D271" t="s">
        <v>2</v>
      </c>
      <c r="E271" t="s">
        <v>407</v>
      </c>
      <c r="F271" t="s">
        <v>13</v>
      </c>
      <c r="G271" t="s">
        <v>525</v>
      </c>
    </row>
    <row r="272" spans="1:7" x14ac:dyDescent="0.3">
      <c r="A272">
        <v>0</v>
      </c>
      <c r="B272" t="s">
        <v>314</v>
      </c>
      <c r="C272" t="s">
        <v>413</v>
      </c>
      <c r="D272" t="s">
        <v>2</v>
      </c>
      <c r="E272" t="s">
        <v>413</v>
      </c>
      <c r="F272" t="s">
        <v>13</v>
      </c>
      <c r="G272" t="s">
        <v>525</v>
      </c>
    </row>
    <row r="273" spans="1:7" x14ac:dyDescent="0.3">
      <c r="A273">
        <v>0</v>
      </c>
      <c r="B273" t="s">
        <v>312</v>
      </c>
      <c r="C273" t="s">
        <v>392</v>
      </c>
      <c r="D273" t="s">
        <v>2</v>
      </c>
      <c r="E273" t="s">
        <v>392</v>
      </c>
      <c r="F273" t="s">
        <v>13</v>
      </c>
      <c r="G273" t="s">
        <v>525</v>
      </c>
    </row>
    <row r="274" spans="1:7" x14ac:dyDescent="0.3">
      <c r="A274">
        <v>0</v>
      </c>
      <c r="B274" t="s">
        <v>319</v>
      </c>
      <c r="C274" t="s">
        <v>422</v>
      </c>
      <c r="D274" t="s">
        <v>2</v>
      </c>
      <c r="E274" t="s">
        <v>422</v>
      </c>
      <c r="F274" t="s">
        <v>13</v>
      </c>
      <c r="G274" t="s">
        <v>525</v>
      </c>
    </row>
    <row r="275" spans="1:7" x14ac:dyDescent="0.3">
      <c r="A275">
        <v>0</v>
      </c>
      <c r="B275" t="s">
        <v>314</v>
      </c>
      <c r="C275" t="s">
        <v>495</v>
      </c>
      <c r="D275" t="s">
        <v>494</v>
      </c>
      <c r="E275" t="s">
        <v>495</v>
      </c>
      <c r="F275" t="s">
        <v>13</v>
      </c>
      <c r="G275" t="s">
        <v>525</v>
      </c>
    </row>
    <row r="276" spans="1:7" x14ac:dyDescent="0.3">
      <c r="A276">
        <v>0</v>
      </c>
      <c r="B276" t="s">
        <v>314</v>
      </c>
      <c r="C276" t="s">
        <v>497</v>
      </c>
      <c r="D276" t="s">
        <v>494</v>
      </c>
      <c r="E276" t="s">
        <v>497</v>
      </c>
      <c r="F276" t="s">
        <v>13</v>
      </c>
      <c r="G276" t="s">
        <v>525</v>
      </c>
    </row>
    <row r="277" spans="1:7" x14ac:dyDescent="0.3">
      <c r="A277">
        <v>0</v>
      </c>
      <c r="B277" t="s">
        <v>314</v>
      </c>
      <c r="C277" t="s">
        <v>496</v>
      </c>
      <c r="D277" t="s">
        <v>494</v>
      </c>
      <c r="E277" t="s">
        <v>496</v>
      </c>
      <c r="F277" t="s">
        <v>13</v>
      </c>
      <c r="G277" t="s">
        <v>525</v>
      </c>
    </row>
    <row r="278" spans="1:7" x14ac:dyDescent="0.3">
      <c r="A278">
        <v>0</v>
      </c>
      <c r="B278" t="s">
        <v>312</v>
      </c>
      <c r="C278" t="s">
        <v>513</v>
      </c>
      <c r="D278" t="s">
        <v>498</v>
      </c>
      <c r="E278" t="s">
        <v>513</v>
      </c>
      <c r="F278" t="s">
        <v>13</v>
      </c>
      <c r="G278" t="s">
        <v>525</v>
      </c>
    </row>
    <row r="279" spans="1:7" x14ac:dyDescent="0.3">
      <c r="A279">
        <v>0</v>
      </c>
      <c r="B279" t="s">
        <v>312</v>
      </c>
      <c r="C279" t="s">
        <v>515</v>
      </c>
      <c r="D279" t="s">
        <v>498</v>
      </c>
      <c r="E279" t="s">
        <v>515</v>
      </c>
      <c r="F279" t="s">
        <v>13</v>
      </c>
      <c r="G279" t="s">
        <v>525</v>
      </c>
    </row>
    <row r="280" spans="1:7" x14ac:dyDescent="0.3">
      <c r="A280">
        <v>0</v>
      </c>
      <c r="B280" t="s">
        <v>312</v>
      </c>
      <c r="C280" t="s">
        <v>509</v>
      </c>
      <c r="D280" t="s">
        <v>498</v>
      </c>
      <c r="E280" t="s">
        <v>509</v>
      </c>
      <c r="F280" t="s">
        <v>13</v>
      </c>
      <c r="G280" t="s">
        <v>525</v>
      </c>
    </row>
    <row r="281" spans="1:7" x14ac:dyDescent="0.3">
      <c r="A281">
        <v>0</v>
      </c>
      <c r="B281" t="s">
        <v>312</v>
      </c>
      <c r="C281" t="s">
        <v>502</v>
      </c>
      <c r="D281" t="s">
        <v>498</v>
      </c>
      <c r="E281" t="s">
        <v>502</v>
      </c>
      <c r="F281" t="s">
        <v>13</v>
      </c>
      <c r="G281" t="s">
        <v>525</v>
      </c>
    </row>
    <row r="282" spans="1:7" x14ac:dyDescent="0.3">
      <c r="A282">
        <v>0</v>
      </c>
      <c r="B282" t="s">
        <v>312</v>
      </c>
      <c r="C282" t="s">
        <v>500</v>
      </c>
      <c r="D282" t="s">
        <v>498</v>
      </c>
      <c r="E282" t="s">
        <v>500</v>
      </c>
      <c r="F282" t="s">
        <v>13</v>
      </c>
      <c r="G282" t="s">
        <v>525</v>
      </c>
    </row>
    <row r="283" spans="1:7" x14ac:dyDescent="0.3">
      <c r="A283">
        <v>0</v>
      </c>
      <c r="B283" t="s">
        <v>507</v>
      </c>
      <c r="C283" t="s">
        <v>506</v>
      </c>
      <c r="D283" t="s">
        <v>498</v>
      </c>
      <c r="E283" t="s">
        <v>506</v>
      </c>
      <c r="F283" t="s">
        <v>13</v>
      </c>
      <c r="G283" t="s">
        <v>525</v>
      </c>
    </row>
    <row r="284" spans="1:7" x14ac:dyDescent="0.3">
      <c r="A284">
        <v>0</v>
      </c>
      <c r="B284" t="s">
        <v>312</v>
      </c>
      <c r="C284" t="s">
        <v>514</v>
      </c>
      <c r="D284" t="s">
        <v>498</v>
      </c>
      <c r="E284" t="s">
        <v>514</v>
      </c>
      <c r="F284" t="s">
        <v>13</v>
      </c>
      <c r="G284" t="s">
        <v>525</v>
      </c>
    </row>
    <row r="285" spans="1:7" x14ac:dyDescent="0.3">
      <c r="A285">
        <v>0</v>
      </c>
      <c r="B285" t="s">
        <v>312</v>
      </c>
      <c r="C285" t="s">
        <v>499</v>
      </c>
      <c r="D285" t="s">
        <v>498</v>
      </c>
      <c r="E285" t="s">
        <v>499</v>
      </c>
      <c r="F285" t="s">
        <v>13</v>
      </c>
      <c r="G285" t="s">
        <v>525</v>
      </c>
    </row>
    <row r="286" spans="1:7" x14ac:dyDescent="0.3">
      <c r="A286">
        <v>0</v>
      </c>
      <c r="B286" t="s">
        <v>312</v>
      </c>
      <c r="C286" t="s">
        <v>508</v>
      </c>
      <c r="D286" t="s">
        <v>498</v>
      </c>
      <c r="E286" t="s">
        <v>508</v>
      </c>
      <c r="F286" t="s">
        <v>13</v>
      </c>
      <c r="G286" t="s">
        <v>525</v>
      </c>
    </row>
    <row r="287" spans="1:7" x14ac:dyDescent="0.3">
      <c r="A287">
        <v>0</v>
      </c>
      <c r="B287" t="s">
        <v>312</v>
      </c>
      <c r="C287" t="s">
        <v>519</v>
      </c>
      <c r="D287" t="s">
        <v>498</v>
      </c>
      <c r="E287" t="s">
        <v>519</v>
      </c>
      <c r="F287" t="s">
        <v>13</v>
      </c>
      <c r="G287" t="s">
        <v>525</v>
      </c>
    </row>
    <row r="288" spans="1:7" x14ac:dyDescent="0.3">
      <c r="A288">
        <v>0</v>
      </c>
      <c r="B288" t="s">
        <v>312</v>
      </c>
      <c r="C288" t="s">
        <v>510</v>
      </c>
      <c r="D288" t="s">
        <v>498</v>
      </c>
      <c r="E288" t="s">
        <v>510</v>
      </c>
      <c r="F288" t="s">
        <v>13</v>
      </c>
      <c r="G288" t="s">
        <v>525</v>
      </c>
    </row>
    <row r="289" spans="1:7" x14ac:dyDescent="0.3">
      <c r="A289">
        <v>0</v>
      </c>
      <c r="B289" t="s">
        <v>312</v>
      </c>
      <c r="C289" t="s">
        <v>521</v>
      </c>
      <c r="D289" t="s">
        <v>498</v>
      </c>
      <c r="E289" t="s">
        <v>521</v>
      </c>
      <c r="F289" t="s">
        <v>13</v>
      </c>
      <c r="G289" t="s">
        <v>525</v>
      </c>
    </row>
    <row r="290" spans="1:7" x14ac:dyDescent="0.3">
      <c r="A290">
        <v>0</v>
      </c>
      <c r="B290" t="s">
        <v>312</v>
      </c>
      <c r="C290" t="s">
        <v>501</v>
      </c>
      <c r="D290" t="s">
        <v>498</v>
      </c>
      <c r="E290" t="s">
        <v>501</v>
      </c>
      <c r="F290" t="s">
        <v>13</v>
      </c>
      <c r="G290" t="s">
        <v>525</v>
      </c>
    </row>
    <row r="291" spans="1:7" x14ac:dyDescent="0.3">
      <c r="A291">
        <v>0</v>
      </c>
      <c r="B291" t="s">
        <v>312</v>
      </c>
      <c r="C291" t="s">
        <v>504</v>
      </c>
      <c r="D291" t="s">
        <v>498</v>
      </c>
      <c r="E291" t="s">
        <v>504</v>
      </c>
      <c r="F291" t="s">
        <v>13</v>
      </c>
      <c r="G291" t="s">
        <v>525</v>
      </c>
    </row>
    <row r="292" spans="1:7" x14ac:dyDescent="0.3">
      <c r="A292">
        <v>0</v>
      </c>
      <c r="B292" t="s">
        <v>312</v>
      </c>
      <c r="C292" t="s">
        <v>520</v>
      </c>
      <c r="D292" t="s">
        <v>498</v>
      </c>
      <c r="E292" t="s">
        <v>520</v>
      </c>
      <c r="F292" t="s">
        <v>13</v>
      </c>
      <c r="G292" t="s">
        <v>525</v>
      </c>
    </row>
    <row r="293" spans="1:7" x14ac:dyDescent="0.3">
      <c r="A293">
        <v>0</v>
      </c>
      <c r="B293" t="s">
        <v>312</v>
      </c>
      <c r="C293" t="s">
        <v>523</v>
      </c>
      <c r="D293" t="s">
        <v>498</v>
      </c>
      <c r="E293" t="s">
        <v>523</v>
      </c>
      <c r="F293" t="s">
        <v>13</v>
      </c>
      <c r="G293" t="s">
        <v>525</v>
      </c>
    </row>
    <row r="294" spans="1:7" x14ac:dyDescent="0.3">
      <c r="A294">
        <v>0</v>
      </c>
      <c r="B294" t="s">
        <v>312</v>
      </c>
      <c r="C294" t="s">
        <v>503</v>
      </c>
      <c r="D294" t="s">
        <v>498</v>
      </c>
      <c r="E294" t="s">
        <v>503</v>
      </c>
      <c r="F294" t="s">
        <v>13</v>
      </c>
      <c r="G294" t="s">
        <v>525</v>
      </c>
    </row>
    <row r="295" spans="1:7" x14ac:dyDescent="0.3">
      <c r="A295">
        <v>0</v>
      </c>
      <c r="B295" t="s">
        <v>312</v>
      </c>
      <c r="C295" t="s">
        <v>512</v>
      </c>
      <c r="D295" t="s">
        <v>498</v>
      </c>
      <c r="E295" t="s">
        <v>512</v>
      </c>
      <c r="F295" t="s">
        <v>13</v>
      </c>
      <c r="G295" t="s">
        <v>525</v>
      </c>
    </row>
    <row r="296" spans="1:7" x14ac:dyDescent="0.3">
      <c r="A296">
        <v>0</v>
      </c>
      <c r="B296" t="s">
        <v>312</v>
      </c>
      <c r="C296" t="s">
        <v>505</v>
      </c>
      <c r="D296" t="s">
        <v>498</v>
      </c>
      <c r="E296" t="s">
        <v>505</v>
      </c>
      <c r="F296" t="s">
        <v>13</v>
      </c>
      <c r="G296" t="s">
        <v>525</v>
      </c>
    </row>
    <row r="297" spans="1:7" x14ac:dyDescent="0.3">
      <c r="A297">
        <v>0</v>
      </c>
      <c r="B297" t="s">
        <v>312</v>
      </c>
      <c r="C297" t="s">
        <v>518</v>
      </c>
      <c r="D297" t="s">
        <v>498</v>
      </c>
      <c r="E297" t="s">
        <v>518</v>
      </c>
      <c r="F297" t="s">
        <v>13</v>
      </c>
      <c r="G297" t="s">
        <v>525</v>
      </c>
    </row>
    <row r="298" spans="1:7" x14ac:dyDescent="0.3">
      <c r="A298">
        <v>0</v>
      </c>
      <c r="B298" t="s">
        <v>312</v>
      </c>
      <c r="C298" t="s">
        <v>522</v>
      </c>
      <c r="D298" t="s">
        <v>498</v>
      </c>
      <c r="E298" t="s">
        <v>522</v>
      </c>
      <c r="F298" t="s">
        <v>13</v>
      </c>
      <c r="G298" t="s">
        <v>525</v>
      </c>
    </row>
    <row r="299" spans="1:7" x14ac:dyDescent="0.3">
      <c r="A299">
        <v>0</v>
      </c>
      <c r="B299" t="s">
        <v>312</v>
      </c>
      <c r="C299" t="s">
        <v>516</v>
      </c>
      <c r="D299" t="s">
        <v>498</v>
      </c>
      <c r="E299" t="s">
        <v>516</v>
      </c>
      <c r="F299" t="s">
        <v>13</v>
      </c>
      <c r="G299" t="s">
        <v>525</v>
      </c>
    </row>
    <row r="300" spans="1:7" x14ac:dyDescent="0.3">
      <c r="A300">
        <v>0</v>
      </c>
      <c r="B300" t="s">
        <v>312</v>
      </c>
      <c r="C300" t="s">
        <v>517</v>
      </c>
      <c r="D300" t="s">
        <v>498</v>
      </c>
      <c r="E300" t="s">
        <v>517</v>
      </c>
      <c r="F300" t="s">
        <v>13</v>
      </c>
      <c r="G300" t="s">
        <v>525</v>
      </c>
    </row>
    <row r="301" spans="1:7" x14ac:dyDescent="0.3">
      <c r="A301">
        <v>0</v>
      </c>
      <c r="B301" t="s">
        <v>16</v>
      </c>
      <c r="C301" s="2" t="s">
        <v>22</v>
      </c>
      <c r="D301" t="s">
        <v>2</v>
      </c>
      <c r="E301" s="2" t="s">
        <v>22</v>
      </c>
      <c r="F301" t="s">
        <v>13</v>
      </c>
      <c r="G301" t="s">
        <v>525</v>
      </c>
    </row>
    <row r="302" spans="1:7" x14ac:dyDescent="0.3">
      <c r="A302">
        <v>0</v>
      </c>
      <c r="B302" t="s">
        <v>16</v>
      </c>
      <c r="C302" s="2" t="s">
        <v>49</v>
      </c>
      <c r="D302" t="s">
        <v>2</v>
      </c>
      <c r="E302" s="2" t="s">
        <v>49</v>
      </c>
      <c r="F302" t="s">
        <v>13</v>
      </c>
      <c r="G302" t="s">
        <v>525</v>
      </c>
    </row>
    <row r="303" spans="1:7" x14ac:dyDescent="0.3">
      <c r="A303">
        <v>0</v>
      </c>
      <c r="B303" t="s">
        <v>312</v>
      </c>
      <c r="C303" s="2" t="s">
        <v>55</v>
      </c>
      <c r="D303" t="s">
        <v>2</v>
      </c>
      <c r="E303" s="2" t="s">
        <v>55</v>
      </c>
      <c r="F303" t="s">
        <v>13</v>
      </c>
      <c r="G303" t="s">
        <v>525</v>
      </c>
    </row>
    <row r="304" spans="1:7" x14ac:dyDescent="0.3">
      <c r="A304">
        <v>0</v>
      </c>
      <c r="B304" t="s">
        <v>312</v>
      </c>
      <c r="C304" t="s">
        <v>59</v>
      </c>
      <c r="D304" t="s">
        <v>2</v>
      </c>
      <c r="E304" t="s">
        <v>59</v>
      </c>
      <c r="F304" t="s">
        <v>13</v>
      </c>
      <c r="G304" t="s">
        <v>525</v>
      </c>
    </row>
    <row r="305" spans="1:7" x14ac:dyDescent="0.3">
      <c r="A305">
        <v>0</v>
      </c>
      <c r="B305" t="s">
        <v>16</v>
      </c>
      <c r="C305" s="2" t="s">
        <v>61</v>
      </c>
      <c r="D305" t="s">
        <v>2</v>
      </c>
      <c r="E305" s="2" t="s">
        <v>61</v>
      </c>
      <c r="F305" t="s">
        <v>13</v>
      </c>
      <c r="G305" t="s">
        <v>525</v>
      </c>
    </row>
    <row r="306" spans="1:7" x14ac:dyDescent="0.3">
      <c r="A306">
        <v>0</v>
      </c>
      <c r="B306" t="s">
        <v>312</v>
      </c>
      <c r="C306" s="2" t="s">
        <v>67</v>
      </c>
      <c r="D306" t="s">
        <v>2</v>
      </c>
      <c r="E306" s="2" t="s">
        <v>67</v>
      </c>
      <c r="F306" t="s">
        <v>13</v>
      </c>
      <c r="G306" t="s">
        <v>525</v>
      </c>
    </row>
    <row r="307" spans="1:7" x14ac:dyDescent="0.3">
      <c r="A307">
        <v>0</v>
      </c>
      <c r="B307" t="s">
        <v>312</v>
      </c>
      <c r="C307" t="s">
        <v>73</v>
      </c>
      <c r="D307" t="s">
        <v>2</v>
      </c>
      <c r="E307" t="s">
        <v>73</v>
      </c>
      <c r="F307" t="s">
        <v>13</v>
      </c>
      <c r="G307" t="s">
        <v>525</v>
      </c>
    </row>
    <row r="308" spans="1:7" x14ac:dyDescent="0.3">
      <c r="A308">
        <v>0</v>
      </c>
      <c r="B308" t="s">
        <v>312</v>
      </c>
      <c r="C308" t="s">
        <v>79</v>
      </c>
      <c r="D308" t="s">
        <v>2</v>
      </c>
      <c r="E308" t="s">
        <v>79</v>
      </c>
      <c r="F308" t="s">
        <v>13</v>
      </c>
      <c r="G308" t="s">
        <v>525</v>
      </c>
    </row>
    <row r="309" spans="1:7" x14ac:dyDescent="0.3">
      <c r="A309">
        <v>0</v>
      </c>
      <c r="B309" t="s">
        <v>312</v>
      </c>
      <c r="C309" t="s">
        <v>82</v>
      </c>
      <c r="D309" t="s">
        <v>2</v>
      </c>
      <c r="E309" t="s">
        <v>82</v>
      </c>
      <c r="F309" t="s">
        <v>13</v>
      </c>
      <c r="G309" t="s">
        <v>525</v>
      </c>
    </row>
    <row r="310" spans="1:7" x14ac:dyDescent="0.3">
      <c r="A310">
        <v>0</v>
      </c>
      <c r="B310" t="s">
        <v>312</v>
      </c>
      <c r="C310" t="s">
        <v>85</v>
      </c>
      <c r="D310" t="s">
        <v>2</v>
      </c>
      <c r="E310" t="s">
        <v>85</v>
      </c>
      <c r="F310" t="s">
        <v>13</v>
      </c>
      <c r="G310" t="s">
        <v>525</v>
      </c>
    </row>
    <row r="311" spans="1:7" x14ac:dyDescent="0.3">
      <c r="A311">
        <v>0</v>
      </c>
      <c r="B311" t="s">
        <v>312</v>
      </c>
      <c r="C311" t="s">
        <v>88</v>
      </c>
      <c r="D311" t="s">
        <v>2</v>
      </c>
      <c r="E311" t="s">
        <v>88</v>
      </c>
      <c r="F311" t="s">
        <v>13</v>
      </c>
      <c r="G311" t="s">
        <v>525</v>
      </c>
    </row>
    <row r="312" spans="1:7" x14ac:dyDescent="0.3">
      <c r="A312">
        <v>0</v>
      </c>
      <c r="B312" t="s">
        <v>312</v>
      </c>
      <c r="C312" t="s">
        <v>91</v>
      </c>
      <c r="D312" t="s">
        <v>2</v>
      </c>
      <c r="E312" t="s">
        <v>91</v>
      </c>
      <c r="F312" t="s">
        <v>13</v>
      </c>
      <c r="G312" t="s">
        <v>525</v>
      </c>
    </row>
    <row r="313" spans="1:7" x14ac:dyDescent="0.3">
      <c r="A313">
        <v>0</v>
      </c>
      <c r="B313" t="s">
        <v>312</v>
      </c>
      <c r="C313" t="s">
        <v>94</v>
      </c>
      <c r="D313" t="s">
        <v>2</v>
      </c>
      <c r="E313" t="s">
        <v>94</v>
      </c>
      <c r="F313" t="s">
        <v>13</v>
      </c>
      <c r="G313" t="s">
        <v>525</v>
      </c>
    </row>
    <row r="314" spans="1:7" x14ac:dyDescent="0.3">
      <c r="A314">
        <v>0</v>
      </c>
      <c r="B314" t="s">
        <v>312</v>
      </c>
      <c r="C314" t="s">
        <v>97</v>
      </c>
      <c r="D314" t="s">
        <v>2</v>
      </c>
      <c r="E314" t="s">
        <v>97</v>
      </c>
      <c r="F314" t="s">
        <v>13</v>
      </c>
      <c r="G314" t="s">
        <v>525</v>
      </c>
    </row>
    <row r="315" spans="1:7" x14ac:dyDescent="0.3">
      <c r="A315">
        <v>0</v>
      </c>
      <c r="B315" t="s">
        <v>312</v>
      </c>
      <c r="C315" t="s">
        <v>100</v>
      </c>
      <c r="D315" t="s">
        <v>2</v>
      </c>
      <c r="E315" t="s">
        <v>100</v>
      </c>
      <c r="F315" t="s">
        <v>13</v>
      </c>
      <c r="G315" t="s">
        <v>525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315"/>
  <sheetViews>
    <sheetView topLeftCell="A227" workbookViewId="0">
      <selection activeCell="C240" sqref="C240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50.149466825925401</v>
      </c>
      <c r="B2" t="s">
        <v>16</v>
      </c>
      <c r="C2" t="s">
        <v>22</v>
      </c>
      <c r="D2" t="s">
        <v>2</v>
      </c>
      <c r="E2" t="s">
        <v>22</v>
      </c>
      <c r="F2" s="4" t="s">
        <v>13</v>
      </c>
      <c r="G2" t="s">
        <v>525</v>
      </c>
      <c r="H2" t="s">
        <v>529</v>
      </c>
    </row>
    <row r="3" spans="1:9" x14ac:dyDescent="0.3">
      <c r="A3">
        <v>19.763336680167665</v>
      </c>
      <c r="B3" t="s">
        <v>57</v>
      </c>
      <c r="C3" t="s">
        <v>559</v>
      </c>
      <c r="D3" t="s">
        <v>2</v>
      </c>
      <c r="E3" s="2" t="s">
        <v>315</v>
      </c>
      <c r="F3" t="s">
        <v>13</v>
      </c>
      <c r="G3" t="s">
        <v>525</v>
      </c>
      <c r="H3" t="s">
        <v>529</v>
      </c>
    </row>
    <row r="4" spans="1:9" x14ac:dyDescent="0.3">
      <c r="A4" s="5">
        <v>2.4210087433205389E-3</v>
      </c>
      <c r="B4" t="s">
        <v>57</v>
      </c>
      <c r="C4" t="s">
        <v>560</v>
      </c>
      <c r="D4" t="s">
        <v>2</v>
      </c>
      <c r="E4" t="s">
        <v>149</v>
      </c>
      <c r="F4" t="s">
        <v>13</v>
      </c>
      <c r="G4" t="s">
        <v>525</v>
      </c>
      <c r="H4" t="s">
        <v>530</v>
      </c>
    </row>
    <row r="5" spans="1:9" x14ac:dyDescent="0.3">
      <c r="A5" s="5">
        <v>0.31621338688268263</v>
      </c>
      <c r="B5" t="s">
        <v>57</v>
      </c>
      <c r="C5" t="s">
        <v>561</v>
      </c>
      <c r="D5" t="s">
        <v>2</v>
      </c>
      <c r="E5" t="s">
        <v>149</v>
      </c>
      <c r="F5" t="s">
        <v>13</v>
      </c>
      <c r="G5" t="s">
        <v>525</v>
      </c>
      <c r="H5" t="s">
        <v>532</v>
      </c>
    </row>
    <row r="6" spans="1:9" x14ac:dyDescent="0.3">
      <c r="A6" s="5">
        <v>3.0139088437255686E-3</v>
      </c>
      <c r="B6" t="s">
        <v>57</v>
      </c>
      <c r="C6" t="s">
        <v>562</v>
      </c>
      <c r="D6" t="s">
        <v>2</v>
      </c>
      <c r="E6" t="s">
        <v>149</v>
      </c>
      <c r="F6" t="s">
        <v>13</v>
      </c>
      <c r="G6" t="s">
        <v>525</v>
      </c>
      <c r="H6" t="s">
        <v>534</v>
      </c>
    </row>
    <row r="7" spans="1:9" x14ac:dyDescent="0.3">
      <c r="A7">
        <v>5.4349175870461073</v>
      </c>
      <c r="B7" t="s">
        <v>57</v>
      </c>
      <c r="C7" t="s">
        <v>563</v>
      </c>
      <c r="D7" t="s">
        <v>2</v>
      </c>
      <c r="E7" t="s">
        <v>149</v>
      </c>
      <c r="F7" t="s">
        <v>13</v>
      </c>
      <c r="G7" t="s">
        <v>525</v>
      </c>
      <c r="H7" t="s">
        <v>546</v>
      </c>
    </row>
    <row r="8" spans="1:9" x14ac:dyDescent="0.3">
      <c r="A8">
        <v>19.763336680167665</v>
      </c>
      <c r="B8" t="s">
        <v>57</v>
      </c>
      <c r="C8" t="s">
        <v>564</v>
      </c>
      <c r="D8" t="s">
        <v>2</v>
      </c>
      <c r="E8" s="2" t="s">
        <v>352</v>
      </c>
      <c r="F8" t="s">
        <v>13</v>
      </c>
      <c r="G8" t="s">
        <v>525</v>
      </c>
      <c r="H8" t="s">
        <v>538</v>
      </c>
    </row>
    <row r="9" spans="1:9" x14ac:dyDescent="0.3">
      <c r="A9">
        <v>2.9874811260718563</v>
      </c>
      <c r="B9" t="s">
        <v>57</v>
      </c>
      <c r="C9" t="s">
        <v>565</v>
      </c>
      <c r="D9" t="s">
        <v>2</v>
      </c>
      <c r="E9" t="s">
        <v>369</v>
      </c>
      <c r="F9" t="s">
        <v>13</v>
      </c>
      <c r="G9" t="s">
        <v>525</v>
      </c>
      <c r="H9" t="s">
        <v>530</v>
      </c>
    </row>
    <row r="10" spans="1:9" x14ac:dyDescent="0.3">
      <c r="A10" s="6">
        <v>0.83994180890712578</v>
      </c>
      <c r="B10" s="7" t="s">
        <v>57</v>
      </c>
      <c r="C10" s="7" t="s">
        <v>566</v>
      </c>
      <c r="D10" s="7" t="s">
        <v>2</v>
      </c>
      <c r="E10" s="8" t="s">
        <v>352</v>
      </c>
      <c r="F10" s="7" t="s">
        <v>13</v>
      </c>
      <c r="G10" s="7" t="s">
        <v>525</v>
      </c>
      <c r="H10" s="9" t="s">
        <v>534</v>
      </c>
    </row>
    <row r="11" spans="1:9" x14ac:dyDescent="0.3">
      <c r="A11" s="10">
        <v>2.7174587935230536</v>
      </c>
      <c r="B11" t="s">
        <v>57</v>
      </c>
      <c r="C11" t="s">
        <v>567</v>
      </c>
      <c r="D11" t="s">
        <v>2</v>
      </c>
      <c r="E11" t="s">
        <v>369</v>
      </c>
      <c r="F11" t="s">
        <v>13</v>
      </c>
      <c r="G11" t="s">
        <v>525</v>
      </c>
      <c r="H11" s="11" t="s">
        <v>534</v>
      </c>
    </row>
    <row r="12" spans="1:9" x14ac:dyDescent="0.3">
      <c r="A12" s="12">
        <v>7.1395794882231192</v>
      </c>
      <c r="B12" s="7" t="s">
        <v>57</v>
      </c>
      <c r="C12" s="7" t="s">
        <v>568</v>
      </c>
      <c r="D12" s="7" t="s">
        <v>2</v>
      </c>
      <c r="E12" s="7" t="s">
        <v>412</v>
      </c>
      <c r="F12" s="7" t="s">
        <v>13</v>
      </c>
      <c r="G12" s="7" t="s">
        <v>525</v>
      </c>
      <c r="H12" s="9" t="s">
        <v>546</v>
      </c>
    </row>
    <row r="13" spans="1:9" x14ac:dyDescent="0.3">
      <c r="A13" s="13">
        <v>16.0191725461099</v>
      </c>
      <c r="B13" t="s">
        <v>57</v>
      </c>
      <c r="C13" t="s">
        <v>540</v>
      </c>
      <c r="D13" t="s">
        <v>2</v>
      </c>
      <c r="E13" t="s">
        <v>345</v>
      </c>
      <c r="F13" t="s">
        <v>13</v>
      </c>
      <c r="G13" t="s">
        <v>525</v>
      </c>
      <c r="H13" s="11" t="s">
        <v>538</v>
      </c>
    </row>
    <row r="14" spans="1:9" x14ac:dyDescent="0.3">
      <c r="A14" s="13">
        <v>2.9000226161061029</v>
      </c>
      <c r="B14" t="s">
        <v>57</v>
      </c>
      <c r="C14" t="s">
        <v>560</v>
      </c>
      <c r="D14" t="s">
        <v>2</v>
      </c>
      <c r="E14" t="s">
        <v>431</v>
      </c>
      <c r="F14" t="s">
        <v>13</v>
      </c>
      <c r="G14" t="s">
        <v>525</v>
      </c>
      <c r="H14" s="11" t="s">
        <v>539</v>
      </c>
    </row>
    <row r="15" spans="1:9" x14ac:dyDescent="0.3">
      <c r="A15" s="13">
        <v>65.181460704860982</v>
      </c>
      <c r="B15" t="s">
        <v>57</v>
      </c>
      <c r="C15" t="s">
        <v>569</v>
      </c>
      <c r="D15" t="s">
        <v>2</v>
      </c>
      <c r="E15" t="s">
        <v>333</v>
      </c>
      <c r="F15" t="s">
        <v>13</v>
      </c>
      <c r="G15" t="s">
        <v>525</v>
      </c>
      <c r="H15" s="11" t="s">
        <v>541</v>
      </c>
    </row>
    <row r="16" spans="1:9" x14ac:dyDescent="0.3">
      <c r="A16" s="13">
        <v>2.9000226161061029</v>
      </c>
      <c r="B16" t="s">
        <v>57</v>
      </c>
      <c r="C16" t="s">
        <v>570</v>
      </c>
      <c r="D16" t="s">
        <v>2</v>
      </c>
      <c r="E16" t="s">
        <v>355</v>
      </c>
      <c r="F16" t="s">
        <v>13</v>
      </c>
      <c r="G16" t="s">
        <v>525</v>
      </c>
      <c r="H16" s="11" t="s">
        <v>553</v>
      </c>
    </row>
    <row r="17" spans="1:8" x14ac:dyDescent="0.3">
      <c r="A17" s="13">
        <v>58.000452322122058</v>
      </c>
      <c r="B17" t="s">
        <v>57</v>
      </c>
      <c r="C17" t="s">
        <v>571</v>
      </c>
      <c r="D17" t="s">
        <v>2</v>
      </c>
      <c r="E17" t="s">
        <v>387</v>
      </c>
      <c r="F17" t="s">
        <v>13</v>
      </c>
      <c r="G17" t="s">
        <v>525</v>
      </c>
      <c r="H17" s="11" t="s">
        <v>554</v>
      </c>
    </row>
    <row r="18" spans="1:8" x14ac:dyDescent="0.3">
      <c r="A18" s="13">
        <v>5.5238526021068628</v>
      </c>
      <c r="B18" t="s">
        <v>57</v>
      </c>
      <c r="C18" t="s">
        <v>572</v>
      </c>
      <c r="D18" t="s">
        <v>2</v>
      </c>
      <c r="E18" t="s">
        <v>322</v>
      </c>
      <c r="F18" t="s">
        <v>13</v>
      </c>
      <c r="G18" t="s">
        <v>525</v>
      </c>
      <c r="H18" s="11" t="s">
        <v>550</v>
      </c>
    </row>
    <row r="19" spans="1:8" x14ac:dyDescent="0.3">
      <c r="A19" s="13">
        <v>16.0191725461099</v>
      </c>
      <c r="B19" t="s">
        <v>57</v>
      </c>
      <c r="C19" t="s">
        <v>564</v>
      </c>
      <c r="D19" t="s">
        <v>2</v>
      </c>
      <c r="E19" s="2" t="s">
        <v>352</v>
      </c>
      <c r="F19" t="s">
        <v>13</v>
      </c>
      <c r="G19" t="s">
        <v>525</v>
      </c>
      <c r="H19" s="11" t="s">
        <v>555</v>
      </c>
    </row>
    <row r="20" spans="1:8" x14ac:dyDescent="0.3">
      <c r="A20" s="6">
        <v>0.22095410408427449</v>
      </c>
      <c r="B20" s="7" t="s">
        <v>57</v>
      </c>
      <c r="C20" s="7" t="s">
        <v>559</v>
      </c>
      <c r="D20" s="7" t="s">
        <v>2</v>
      </c>
      <c r="E20" s="8" t="s">
        <v>315</v>
      </c>
      <c r="F20" s="7" t="s">
        <v>13</v>
      </c>
      <c r="G20" s="7" t="s">
        <v>525</v>
      </c>
      <c r="H20" s="9" t="s">
        <v>554</v>
      </c>
    </row>
    <row r="21" spans="1:8" x14ac:dyDescent="0.3">
      <c r="A21" s="10">
        <v>9.0867375304657896E-2</v>
      </c>
      <c r="B21" t="s">
        <v>57</v>
      </c>
      <c r="C21" t="s">
        <v>573</v>
      </c>
      <c r="D21" t="s">
        <v>2</v>
      </c>
      <c r="E21" t="s">
        <v>352</v>
      </c>
      <c r="F21" t="s">
        <v>13</v>
      </c>
      <c r="G21" t="s">
        <v>525</v>
      </c>
      <c r="H21" s="11" t="s">
        <v>550</v>
      </c>
    </row>
    <row r="22" spans="1:8" x14ac:dyDescent="0.3">
      <c r="A22" s="10">
        <v>0.17521660453882967</v>
      </c>
      <c r="B22" t="s">
        <v>57</v>
      </c>
      <c r="C22" t="s">
        <v>574</v>
      </c>
      <c r="D22" t="s">
        <v>2</v>
      </c>
      <c r="E22" t="s">
        <v>352</v>
      </c>
      <c r="F22" t="s">
        <v>13</v>
      </c>
      <c r="G22" t="s">
        <v>525</v>
      </c>
      <c r="H22" s="11" t="s">
        <v>555</v>
      </c>
    </row>
    <row r="23" spans="1:8" x14ac:dyDescent="0.3">
      <c r="A23" s="10">
        <v>1.3809631505267156E-2</v>
      </c>
      <c r="B23" t="s">
        <v>57</v>
      </c>
      <c r="C23" t="s">
        <v>575</v>
      </c>
      <c r="D23" t="s">
        <v>2</v>
      </c>
      <c r="E23" t="s">
        <v>352</v>
      </c>
      <c r="F23" t="s">
        <v>13</v>
      </c>
      <c r="G23" t="s">
        <v>525</v>
      </c>
      <c r="H23" s="11" t="s">
        <v>556</v>
      </c>
    </row>
    <row r="24" spans="1:8" x14ac:dyDescent="0.3">
      <c r="A24" s="10">
        <v>0.13809631505267156</v>
      </c>
      <c r="B24" t="s">
        <v>57</v>
      </c>
      <c r="C24" t="s">
        <v>576</v>
      </c>
      <c r="D24" t="s">
        <v>2</v>
      </c>
      <c r="E24" t="s">
        <v>352</v>
      </c>
      <c r="F24" t="s">
        <v>13</v>
      </c>
      <c r="G24" t="s">
        <v>525</v>
      </c>
      <c r="H24" s="11" t="s">
        <v>557</v>
      </c>
    </row>
    <row r="25" spans="1:8" x14ac:dyDescent="0.3">
      <c r="A25" s="10">
        <v>7.1395794882231192</v>
      </c>
      <c r="B25" t="s">
        <v>57</v>
      </c>
      <c r="C25" t="s">
        <v>568</v>
      </c>
      <c r="D25" t="s">
        <v>2</v>
      </c>
      <c r="E25" t="s">
        <v>412</v>
      </c>
      <c r="F25" t="s">
        <v>13</v>
      </c>
      <c r="G25" t="s">
        <v>525</v>
      </c>
      <c r="H25" s="11" t="s">
        <v>558</v>
      </c>
    </row>
    <row r="26" spans="1:8" x14ac:dyDescent="0.3">
      <c r="A26" s="10">
        <v>1.1876283094529754</v>
      </c>
      <c r="B26" t="s">
        <v>57</v>
      </c>
      <c r="C26" t="s">
        <v>540</v>
      </c>
      <c r="D26" t="s">
        <v>2</v>
      </c>
      <c r="E26" t="s">
        <v>345</v>
      </c>
      <c r="F26" t="s">
        <v>13</v>
      </c>
      <c r="G26" t="s">
        <v>525</v>
      </c>
      <c r="H26" s="11" t="s">
        <v>577</v>
      </c>
    </row>
    <row r="27" spans="1:8" x14ac:dyDescent="0.3">
      <c r="A27" s="10">
        <v>8.285778903160293E-2</v>
      </c>
      <c r="B27" t="s">
        <v>57</v>
      </c>
      <c r="C27" t="s">
        <v>578</v>
      </c>
      <c r="D27" t="s">
        <v>2</v>
      </c>
      <c r="E27" t="s">
        <v>371</v>
      </c>
      <c r="F27" t="s">
        <v>13</v>
      </c>
      <c r="G27" t="s">
        <v>525</v>
      </c>
      <c r="H27" s="11" t="s">
        <v>579</v>
      </c>
    </row>
    <row r="28" spans="1:8" x14ac:dyDescent="0.3">
      <c r="A28" s="10">
        <v>1.7952520956847302</v>
      </c>
      <c r="B28" t="s">
        <v>57</v>
      </c>
      <c r="C28" t="s">
        <v>580</v>
      </c>
      <c r="D28" t="s">
        <v>2</v>
      </c>
      <c r="E28" t="s">
        <v>352</v>
      </c>
      <c r="F28" t="s">
        <v>13</v>
      </c>
      <c r="G28" t="s">
        <v>525</v>
      </c>
      <c r="H28" s="11" t="s">
        <v>581</v>
      </c>
    </row>
    <row r="29" spans="1:8" x14ac:dyDescent="0.3">
      <c r="A29" s="10">
        <v>5.523852602106863E-4</v>
      </c>
      <c r="B29" t="s">
        <v>57</v>
      </c>
      <c r="C29" t="s">
        <v>582</v>
      </c>
      <c r="D29" t="s">
        <v>2</v>
      </c>
      <c r="E29" t="s">
        <v>352</v>
      </c>
      <c r="F29" t="s">
        <v>13</v>
      </c>
      <c r="G29" t="s">
        <v>525</v>
      </c>
      <c r="H29" s="11" t="s">
        <v>583</v>
      </c>
    </row>
    <row r="30" spans="1:8" x14ac:dyDescent="0.3">
      <c r="A30" s="10">
        <v>2.7619263010534314E-3</v>
      </c>
      <c r="B30" t="s">
        <v>57</v>
      </c>
      <c r="C30" t="s">
        <v>571</v>
      </c>
      <c r="D30" t="s">
        <v>2</v>
      </c>
      <c r="E30" t="s">
        <v>387</v>
      </c>
      <c r="F30" t="s">
        <v>13</v>
      </c>
      <c r="G30" t="s">
        <v>525</v>
      </c>
      <c r="H30" s="11" t="s">
        <v>584</v>
      </c>
    </row>
    <row r="31" spans="1:8" x14ac:dyDescent="0.3">
      <c r="A31" s="10">
        <v>8.2857789031602937E-3</v>
      </c>
      <c r="B31" t="s">
        <v>57</v>
      </c>
      <c r="C31" t="s">
        <v>585</v>
      </c>
      <c r="D31" t="s">
        <v>2</v>
      </c>
      <c r="E31" t="s">
        <v>352</v>
      </c>
      <c r="F31" t="s">
        <v>13</v>
      </c>
      <c r="G31" t="s">
        <v>525</v>
      </c>
      <c r="H31" s="11" t="s">
        <v>586</v>
      </c>
    </row>
    <row r="32" spans="1:8" x14ac:dyDescent="0.3">
      <c r="A32" s="10">
        <v>3.3143115612641174</v>
      </c>
      <c r="B32" t="s">
        <v>57</v>
      </c>
      <c r="C32" t="s">
        <v>572</v>
      </c>
      <c r="D32" t="s">
        <v>2</v>
      </c>
      <c r="E32" t="s">
        <v>322</v>
      </c>
      <c r="F32" t="s">
        <v>13</v>
      </c>
      <c r="G32" t="s">
        <v>525</v>
      </c>
      <c r="H32" s="11" t="s">
        <v>587</v>
      </c>
    </row>
    <row r="33" spans="1:8" x14ac:dyDescent="0.3">
      <c r="A33" s="10">
        <v>0.27619263010534312</v>
      </c>
      <c r="B33" t="s">
        <v>57</v>
      </c>
      <c r="C33" t="s">
        <v>588</v>
      </c>
      <c r="D33" t="s">
        <v>2</v>
      </c>
      <c r="E33" t="s">
        <v>352</v>
      </c>
      <c r="F33" t="s">
        <v>13</v>
      </c>
      <c r="G33" t="s">
        <v>525</v>
      </c>
      <c r="H33" s="11" t="s">
        <v>589</v>
      </c>
    </row>
    <row r="34" spans="1:8" x14ac:dyDescent="0.3">
      <c r="A34" s="10">
        <v>8.2857789031602928E-4</v>
      </c>
      <c r="B34" t="s">
        <v>57</v>
      </c>
      <c r="C34" t="s">
        <v>590</v>
      </c>
      <c r="D34" t="s">
        <v>2</v>
      </c>
      <c r="E34" t="s">
        <v>352</v>
      </c>
      <c r="F34" t="s">
        <v>13</v>
      </c>
      <c r="G34" t="s">
        <v>525</v>
      </c>
      <c r="H34" s="11" t="s">
        <v>591</v>
      </c>
    </row>
    <row r="35" spans="1:8" x14ac:dyDescent="0.3">
      <c r="A35" s="14">
        <v>5.523852602106863E-4</v>
      </c>
      <c r="B35" s="15" t="s">
        <v>57</v>
      </c>
      <c r="C35" s="15" t="s">
        <v>592</v>
      </c>
      <c r="D35" s="15" t="s">
        <v>2</v>
      </c>
      <c r="E35" s="15" t="s">
        <v>352</v>
      </c>
      <c r="F35" s="15" t="s">
        <v>13</v>
      </c>
      <c r="G35" s="15" t="s">
        <v>525</v>
      </c>
      <c r="H35" s="16" t="s">
        <v>593</v>
      </c>
    </row>
    <row r="36" spans="1:8" x14ac:dyDescent="0.3">
      <c r="A36" s="12">
        <v>19.763336680167665</v>
      </c>
      <c r="B36" s="7" t="s">
        <v>57</v>
      </c>
      <c r="C36" s="7" t="s">
        <v>559</v>
      </c>
      <c r="D36" s="7" t="s">
        <v>2</v>
      </c>
      <c r="E36" s="8" t="s">
        <v>315</v>
      </c>
      <c r="F36" s="7" t="s">
        <v>13</v>
      </c>
      <c r="G36" s="7" t="s">
        <v>525</v>
      </c>
      <c r="H36" s="9" t="s">
        <v>589</v>
      </c>
    </row>
    <row r="37" spans="1:8" x14ac:dyDescent="0.3">
      <c r="A37" s="10">
        <v>2.4210087433205389E-3</v>
      </c>
      <c r="B37" t="s">
        <v>57</v>
      </c>
      <c r="C37" t="s">
        <v>560</v>
      </c>
      <c r="D37" t="s">
        <v>2</v>
      </c>
      <c r="E37" t="s">
        <v>431</v>
      </c>
      <c r="F37" t="s">
        <v>13</v>
      </c>
      <c r="G37" t="s">
        <v>525</v>
      </c>
      <c r="H37" s="11" t="s">
        <v>591</v>
      </c>
    </row>
    <row r="38" spans="1:8" x14ac:dyDescent="0.3">
      <c r="A38" s="10">
        <v>0.31621338688268263</v>
      </c>
      <c r="B38" t="s">
        <v>57</v>
      </c>
      <c r="C38" t="s">
        <v>561</v>
      </c>
      <c r="D38" t="s">
        <v>2</v>
      </c>
      <c r="E38" t="s">
        <v>476</v>
      </c>
      <c r="F38" t="s">
        <v>13</v>
      </c>
      <c r="G38" t="s">
        <v>525</v>
      </c>
      <c r="H38" s="11" t="s">
        <v>593</v>
      </c>
    </row>
    <row r="39" spans="1:8" x14ac:dyDescent="0.3">
      <c r="A39" s="10">
        <v>3.0139088437255686E-3</v>
      </c>
      <c r="B39" t="s">
        <v>57</v>
      </c>
      <c r="C39" t="s">
        <v>562</v>
      </c>
      <c r="D39" t="s">
        <v>2</v>
      </c>
      <c r="E39" t="s">
        <v>431</v>
      </c>
      <c r="F39" t="s">
        <v>13</v>
      </c>
      <c r="G39" t="s">
        <v>525</v>
      </c>
      <c r="H39" s="11" t="s">
        <v>594</v>
      </c>
    </row>
    <row r="40" spans="1:8" x14ac:dyDescent="0.3">
      <c r="A40" s="13">
        <v>5.4349175870461073</v>
      </c>
      <c r="B40" t="s">
        <v>57</v>
      </c>
      <c r="C40" t="s">
        <v>563</v>
      </c>
      <c r="D40" t="s">
        <v>2</v>
      </c>
      <c r="E40" t="s">
        <v>149</v>
      </c>
      <c r="F40" t="s">
        <v>13</v>
      </c>
      <c r="G40" t="s">
        <v>525</v>
      </c>
      <c r="H40" s="11" t="s">
        <v>595</v>
      </c>
    </row>
    <row r="41" spans="1:8" x14ac:dyDescent="0.3">
      <c r="A41" s="17">
        <v>19.763336680167665</v>
      </c>
      <c r="B41" s="15" t="s">
        <v>57</v>
      </c>
      <c r="C41" s="15" t="s">
        <v>564</v>
      </c>
      <c r="D41" s="15" t="s">
        <v>2</v>
      </c>
      <c r="E41" s="15" t="s">
        <v>352</v>
      </c>
      <c r="F41" s="15" t="s">
        <v>13</v>
      </c>
      <c r="G41" s="15" t="s">
        <v>525</v>
      </c>
      <c r="H41" s="16" t="s">
        <v>596</v>
      </c>
    </row>
    <row r="42" spans="1:8" x14ac:dyDescent="0.3">
      <c r="A42" s="6">
        <v>4.1305373661550417</v>
      </c>
      <c r="B42" s="7" t="s">
        <v>57</v>
      </c>
      <c r="C42" s="7" t="s">
        <v>559</v>
      </c>
      <c r="D42" s="7" t="s">
        <v>2</v>
      </c>
      <c r="E42" s="8" t="s">
        <v>315</v>
      </c>
      <c r="F42" s="7" t="s">
        <v>13</v>
      </c>
      <c r="G42" s="7" t="s">
        <v>525</v>
      </c>
      <c r="H42" s="9" t="s">
        <v>593</v>
      </c>
    </row>
    <row r="43" spans="1:8" x14ac:dyDescent="0.3">
      <c r="A43" s="10">
        <v>0.22727837182192814</v>
      </c>
      <c r="B43" t="s">
        <v>57</v>
      </c>
      <c r="C43" t="s">
        <v>597</v>
      </c>
      <c r="D43" t="s">
        <v>2</v>
      </c>
      <c r="E43" s="2" t="s">
        <v>352</v>
      </c>
      <c r="F43" t="s">
        <v>13</v>
      </c>
      <c r="G43" t="s">
        <v>525</v>
      </c>
      <c r="H43" s="11" t="s">
        <v>594</v>
      </c>
    </row>
    <row r="44" spans="1:8" x14ac:dyDescent="0.3">
      <c r="A44" s="10">
        <v>4.2392357178959639</v>
      </c>
      <c r="B44" t="s">
        <v>57</v>
      </c>
      <c r="C44" t="s">
        <v>598</v>
      </c>
      <c r="D44" t="s">
        <v>2</v>
      </c>
      <c r="E44" t="s">
        <v>418</v>
      </c>
      <c r="F44" t="s">
        <v>13</v>
      </c>
      <c r="G44" t="s">
        <v>525</v>
      </c>
      <c r="H44" s="11" t="s">
        <v>595</v>
      </c>
    </row>
    <row r="45" spans="1:8" x14ac:dyDescent="0.3">
      <c r="A45" s="10">
        <v>2.7915713060736826</v>
      </c>
      <c r="B45" t="s">
        <v>57</v>
      </c>
      <c r="C45" t="s">
        <v>566</v>
      </c>
      <c r="D45" t="s">
        <v>2</v>
      </c>
      <c r="E45" s="2" t="s">
        <v>352</v>
      </c>
      <c r="F45" t="s">
        <v>13</v>
      </c>
      <c r="G45" t="s">
        <v>525</v>
      </c>
      <c r="H45" s="11" t="s">
        <v>596</v>
      </c>
    </row>
    <row r="46" spans="1:8" x14ac:dyDescent="0.3">
      <c r="A46" s="10">
        <v>0.24704170850209581</v>
      </c>
      <c r="B46" t="s">
        <v>16</v>
      </c>
      <c r="C46" t="s">
        <v>599</v>
      </c>
      <c r="D46" t="s">
        <v>2</v>
      </c>
      <c r="E46" t="s">
        <v>61</v>
      </c>
      <c r="F46" s="4" t="s">
        <v>13</v>
      </c>
      <c r="G46" t="s">
        <v>525</v>
      </c>
      <c r="H46" s="11" t="s">
        <v>600</v>
      </c>
    </row>
    <row r="47" spans="1:8" x14ac:dyDescent="0.3">
      <c r="A47" s="10">
        <v>3.9378448335234066E-2</v>
      </c>
      <c r="B47" t="s">
        <v>57</v>
      </c>
      <c r="C47" t="s">
        <v>601</v>
      </c>
      <c r="D47" t="s">
        <v>2</v>
      </c>
      <c r="E47" t="s">
        <v>431</v>
      </c>
      <c r="F47" t="s">
        <v>13</v>
      </c>
      <c r="G47" t="s">
        <v>525</v>
      </c>
      <c r="H47" s="11" t="s">
        <v>602</v>
      </c>
    </row>
    <row r="48" spans="1:8" x14ac:dyDescent="0.3">
      <c r="A48" s="10">
        <v>4.1305373661550417</v>
      </c>
      <c r="B48" t="s">
        <v>57</v>
      </c>
      <c r="C48" t="s">
        <v>603</v>
      </c>
      <c r="D48" t="s">
        <v>2</v>
      </c>
      <c r="E48" s="2" t="s">
        <v>315</v>
      </c>
      <c r="F48" t="s">
        <v>13</v>
      </c>
      <c r="G48" t="s">
        <v>525</v>
      </c>
      <c r="H48" s="11" t="s">
        <v>604</v>
      </c>
    </row>
    <row r="49" spans="1:9" x14ac:dyDescent="0.3">
      <c r="A49" s="10">
        <v>466.90882906896104</v>
      </c>
      <c r="B49" t="s">
        <v>57</v>
      </c>
      <c r="C49" t="s">
        <v>605</v>
      </c>
      <c r="D49" t="s">
        <v>2</v>
      </c>
      <c r="E49" t="s">
        <v>322</v>
      </c>
      <c r="F49" t="s">
        <v>13</v>
      </c>
      <c r="G49" t="s">
        <v>525</v>
      </c>
      <c r="H49" s="11" t="s">
        <v>606</v>
      </c>
    </row>
    <row r="50" spans="1:9" x14ac:dyDescent="0.3">
      <c r="A50" s="10">
        <v>4.1305373661550417</v>
      </c>
      <c r="B50" t="s">
        <v>57</v>
      </c>
      <c r="C50" t="s">
        <v>605</v>
      </c>
      <c r="D50" t="s">
        <v>2</v>
      </c>
      <c r="E50" t="s">
        <v>322</v>
      </c>
      <c r="F50" t="s">
        <v>13</v>
      </c>
      <c r="G50" t="s">
        <v>525</v>
      </c>
      <c r="H50" s="11" t="s">
        <v>607</v>
      </c>
    </row>
    <row r="51" spans="1:9" x14ac:dyDescent="0.3">
      <c r="A51" s="10">
        <v>4.1305373661550417</v>
      </c>
      <c r="B51" t="s">
        <v>57</v>
      </c>
      <c r="C51" t="s">
        <v>608</v>
      </c>
      <c r="D51" t="s">
        <v>2</v>
      </c>
      <c r="E51" t="s">
        <v>322</v>
      </c>
      <c r="F51" t="s">
        <v>13</v>
      </c>
      <c r="G51" t="s">
        <v>525</v>
      </c>
      <c r="H51" s="11" t="s">
        <v>609</v>
      </c>
    </row>
    <row r="52" spans="1:9" x14ac:dyDescent="0.3">
      <c r="A52" s="14">
        <v>466.90882906896104</v>
      </c>
      <c r="B52" s="15" t="s">
        <v>57</v>
      </c>
      <c r="C52" s="15" t="s">
        <v>610</v>
      </c>
      <c r="D52" s="15" t="s">
        <v>2</v>
      </c>
      <c r="E52" s="15" t="s">
        <v>322</v>
      </c>
      <c r="F52" s="15" t="s">
        <v>13</v>
      </c>
      <c r="G52" s="15" t="s">
        <v>525</v>
      </c>
      <c r="H52" s="16" t="s">
        <v>611</v>
      </c>
    </row>
    <row r="53" spans="1:9" x14ac:dyDescent="0.3">
      <c r="A53" s="10">
        <v>0</v>
      </c>
      <c r="B53" s="7" t="s">
        <v>57</v>
      </c>
      <c r="C53" s="7" t="s">
        <v>612</v>
      </c>
      <c r="D53" s="7" t="s">
        <v>2</v>
      </c>
      <c r="E53" s="7" t="s">
        <v>412</v>
      </c>
      <c r="F53" s="7" t="s">
        <v>13</v>
      </c>
      <c r="G53" s="7" t="s">
        <v>525</v>
      </c>
      <c r="H53" s="9" t="s">
        <v>607</v>
      </c>
    </row>
    <row r="54" spans="1:9" x14ac:dyDescent="0.3">
      <c r="A54" s="10">
        <v>0</v>
      </c>
      <c r="B54" t="s">
        <v>57</v>
      </c>
      <c r="C54" t="s">
        <v>605</v>
      </c>
      <c r="D54" t="s">
        <v>2</v>
      </c>
      <c r="E54" t="s">
        <v>322</v>
      </c>
      <c r="F54" t="s">
        <v>13</v>
      </c>
      <c r="G54" t="s">
        <v>525</v>
      </c>
      <c r="H54" s="11" t="s">
        <v>609</v>
      </c>
    </row>
    <row r="55" spans="1:9" x14ac:dyDescent="0.3">
      <c r="A55" s="10">
        <v>0</v>
      </c>
      <c r="B55" t="s">
        <v>57</v>
      </c>
      <c r="C55" t="s">
        <v>613</v>
      </c>
      <c r="D55" t="s">
        <v>2</v>
      </c>
      <c r="E55" t="s">
        <v>322</v>
      </c>
      <c r="F55" t="s">
        <v>13</v>
      </c>
      <c r="G55" t="s">
        <v>525</v>
      </c>
      <c r="H55" s="11" t="s">
        <v>611</v>
      </c>
    </row>
    <row r="56" spans="1:9" x14ac:dyDescent="0.3">
      <c r="A56" s="10">
        <v>0</v>
      </c>
      <c r="B56" t="s">
        <v>57</v>
      </c>
      <c r="C56" t="s">
        <v>614</v>
      </c>
      <c r="D56" t="s">
        <v>2</v>
      </c>
      <c r="E56" t="s">
        <v>322</v>
      </c>
      <c r="F56" t="s">
        <v>13</v>
      </c>
      <c r="G56" t="s">
        <v>525</v>
      </c>
      <c r="H56" s="11" t="s">
        <v>615</v>
      </c>
    </row>
    <row r="57" spans="1:9" x14ac:dyDescent="0.3">
      <c r="A57" s="10">
        <v>0</v>
      </c>
      <c r="B57" s="15" t="s">
        <v>57</v>
      </c>
      <c r="C57" s="15" t="s">
        <v>616</v>
      </c>
      <c r="D57" s="15" t="s">
        <v>2</v>
      </c>
      <c r="E57" s="15" t="s">
        <v>355</v>
      </c>
      <c r="F57" s="15" t="s">
        <v>13</v>
      </c>
      <c r="G57" s="15" t="s">
        <v>525</v>
      </c>
      <c r="H57" s="16" t="s">
        <v>617</v>
      </c>
    </row>
    <row r="58" spans="1:9" x14ac:dyDescent="0.3">
      <c r="A58" s="10">
        <v>0</v>
      </c>
      <c r="B58" t="s">
        <v>314</v>
      </c>
      <c r="C58" t="s">
        <v>495</v>
      </c>
      <c r="D58" t="s">
        <v>494</v>
      </c>
      <c r="E58" t="s">
        <v>495</v>
      </c>
      <c r="F58" t="s">
        <v>13</v>
      </c>
      <c r="G58" t="s">
        <v>525</v>
      </c>
      <c r="H58" t="s">
        <v>618</v>
      </c>
      <c r="I58">
        <v>1.2333333333333332E-2</v>
      </c>
    </row>
    <row r="59" spans="1:9" x14ac:dyDescent="0.3">
      <c r="A59" s="10">
        <v>0</v>
      </c>
      <c r="B59" t="s">
        <v>314</v>
      </c>
      <c r="C59" t="s">
        <v>496</v>
      </c>
      <c r="D59" t="s">
        <v>494</v>
      </c>
      <c r="E59" t="s">
        <v>496</v>
      </c>
      <c r="F59" t="s">
        <v>13</v>
      </c>
      <c r="G59" t="s">
        <v>525</v>
      </c>
      <c r="H59" t="s">
        <v>618</v>
      </c>
      <c r="I59">
        <v>5.3600148159008293E-3</v>
      </c>
    </row>
    <row r="60" spans="1:9" x14ac:dyDescent="0.3">
      <c r="A60" s="5">
        <v>0</v>
      </c>
      <c r="B60" t="s">
        <v>314</v>
      </c>
      <c r="C60" t="s">
        <v>497</v>
      </c>
      <c r="D60" t="s">
        <v>494</v>
      </c>
      <c r="E60" t="s">
        <v>497</v>
      </c>
      <c r="F60" t="s">
        <v>13</v>
      </c>
      <c r="G60" t="s">
        <v>525</v>
      </c>
      <c r="H60" t="s">
        <v>618</v>
      </c>
      <c r="I60">
        <v>8.2633561745137751E-2</v>
      </c>
    </row>
    <row r="61" spans="1:9" x14ac:dyDescent="0.3">
      <c r="A61">
        <v>4.1111111111111101E-4</v>
      </c>
      <c r="B61" t="s">
        <v>507</v>
      </c>
      <c r="C61" t="s">
        <v>506</v>
      </c>
      <c r="D61" t="s">
        <v>498</v>
      </c>
      <c r="E61" t="s">
        <v>506</v>
      </c>
      <c r="F61" t="s">
        <v>13</v>
      </c>
      <c r="G61" t="s">
        <v>525</v>
      </c>
      <c r="H61" t="s">
        <v>618</v>
      </c>
    </row>
    <row r="62" spans="1:9" x14ac:dyDescent="0.3">
      <c r="A62">
        <v>9.5190111120027545</v>
      </c>
      <c r="B62" t="s">
        <v>57</v>
      </c>
      <c r="C62" t="s">
        <v>535</v>
      </c>
      <c r="D62" t="s">
        <v>498</v>
      </c>
      <c r="E62" t="s">
        <v>502</v>
      </c>
      <c r="F62" t="s">
        <v>13</v>
      </c>
      <c r="G62" t="s">
        <v>525</v>
      </c>
      <c r="H62" t="s">
        <v>769</v>
      </c>
    </row>
    <row r="63" spans="1:9" x14ac:dyDescent="0.3">
      <c r="A63">
        <v>1.2846168842108982E-3</v>
      </c>
      <c r="B63" t="s">
        <v>57</v>
      </c>
      <c r="C63" t="s">
        <v>500</v>
      </c>
      <c r="D63" t="s">
        <v>498</v>
      </c>
      <c r="E63" t="s">
        <v>500</v>
      </c>
      <c r="F63" t="s">
        <v>13</v>
      </c>
      <c r="G63" t="s">
        <v>525</v>
      </c>
      <c r="H63" t="s">
        <v>769</v>
      </c>
    </row>
    <row r="64" spans="1:9" x14ac:dyDescent="0.3">
      <c r="A64">
        <v>7.7077013052653895E-5</v>
      </c>
      <c r="B64" t="s">
        <v>57</v>
      </c>
      <c r="C64" t="s">
        <v>511</v>
      </c>
      <c r="D64" t="s">
        <v>498</v>
      </c>
      <c r="E64" t="s">
        <v>511</v>
      </c>
      <c r="F64" t="s">
        <v>13</v>
      </c>
      <c r="G64" t="s">
        <v>525</v>
      </c>
      <c r="H64" t="s">
        <v>769</v>
      </c>
    </row>
    <row r="65" spans="1:8" x14ac:dyDescent="0.3">
      <c r="A65">
        <v>8.658638953802507</v>
      </c>
      <c r="B65" t="s">
        <v>57</v>
      </c>
      <c r="C65" t="s">
        <v>535</v>
      </c>
      <c r="D65" t="s">
        <v>498</v>
      </c>
      <c r="E65" t="s">
        <v>502</v>
      </c>
      <c r="F65" t="s">
        <v>13</v>
      </c>
      <c r="G65" t="s">
        <v>525</v>
      </c>
      <c r="H65" t="s">
        <v>619</v>
      </c>
    </row>
    <row r="66" spans="1:8" x14ac:dyDescent="0.3">
      <c r="A66">
        <v>1.1685072812149132E-3</v>
      </c>
      <c r="B66" t="s">
        <v>57</v>
      </c>
      <c r="C66" t="s">
        <v>500</v>
      </c>
      <c r="D66" t="s">
        <v>498</v>
      </c>
      <c r="E66" t="s">
        <v>500</v>
      </c>
      <c r="F66" t="s">
        <v>13</v>
      </c>
      <c r="G66" t="s">
        <v>525</v>
      </c>
      <c r="H66" t="s">
        <v>619</v>
      </c>
    </row>
    <row r="67" spans="1:8" x14ac:dyDescent="0.3">
      <c r="A67">
        <v>7.0110436872894798E-5</v>
      </c>
      <c r="B67" t="s">
        <v>57</v>
      </c>
      <c r="C67" t="s">
        <v>511</v>
      </c>
      <c r="D67" t="s">
        <v>498</v>
      </c>
      <c r="E67" t="s">
        <v>511</v>
      </c>
      <c r="F67" t="s">
        <v>13</v>
      </c>
      <c r="G67" t="s">
        <v>525</v>
      </c>
      <c r="H67" t="s">
        <v>619</v>
      </c>
    </row>
    <row r="68" spans="1:8" x14ac:dyDescent="0.3">
      <c r="A68">
        <f>$A$2*'[1]PV prod APAC'!I27</f>
        <v>1.1781534128328185E-5</v>
      </c>
      <c r="B68" t="s">
        <v>314</v>
      </c>
      <c r="C68" t="s">
        <v>620</v>
      </c>
      <c r="D68" t="s">
        <v>2</v>
      </c>
      <c r="E68" s="2" t="s">
        <v>455</v>
      </c>
      <c r="F68" t="s">
        <v>13</v>
      </c>
      <c r="G68" t="s">
        <v>525</v>
      </c>
      <c r="H68" t="s">
        <v>621</v>
      </c>
    </row>
    <row r="69" spans="1:8" x14ac:dyDescent="0.3">
      <c r="A69">
        <f>$A$2*'[1]PV prod APAC'!I28</f>
        <v>2.1254337369571803E-5</v>
      </c>
      <c r="B69" s="2" t="s">
        <v>314</v>
      </c>
      <c r="C69" t="s">
        <v>622</v>
      </c>
      <c r="D69" t="s">
        <v>2</v>
      </c>
      <c r="E69" s="2" t="s">
        <v>409</v>
      </c>
      <c r="F69" t="s">
        <v>13</v>
      </c>
      <c r="G69" t="s">
        <v>525</v>
      </c>
      <c r="H69" t="s">
        <v>621</v>
      </c>
    </row>
    <row r="70" spans="1:8" x14ac:dyDescent="0.3">
      <c r="A70">
        <f>$A$2*'[1]PV prod APAC'!I29</f>
        <v>2.2169590014544573E-4</v>
      </c>
      <c r="B70" s="2" t="s">
        <v>314</v>
      </c>
      <c r="C70" t="s">
        <v>623</v>
      </c>
      <c r="D70" t="s">
        <v>2</v>
      </c>
      <c r="E70" s="2" t="s">
        <v>443</v>
      </c>
      <c r="F70" t="s">
        <v>13</v>
      </c>
      <c r="G70" t="s">
        <v>525</v>
      </c>
      <c r="H70" t="s">
        <v>621</v>
      </c>
    </row>
    <row r="71" spans="1:8" x14ac:dyDescent="0.3">
      <c r="A71">
        <f>A2</f>
        <v>50.149466825925401</v>
      </c>
      <c r="B71" s="2" t="s">
        <v>16</v>
      </c>
      <c r="C71" t="s">
        <v>624</v>
      </c>
      <c r="D71" t="s">
        <v>2</v>
      </c>
      <c r="E71" s="2" t="s">
        <v>765</v>
      </c>
      <c r="F71" t="s">
        <v>13</v>
      </c>
      <c r="G71" t="s">
        <v>525</v>
      </c>
      <c r="H71" t="s">
        <v>529</v>
      </c>
    </row>
    <row r="72" spans="1:8" x14ac:dyDescent="0.3">
      <c r="A72">
        <v>0</v>
      </c>
      <c r="B72" t="s">
        <v>312</v>
      </c>
      <c r="C72" t="s">
        <v>483</v>
      </c>
      <c r="D72" t="s">
        <v>2</v>
      </c>
      <c r="E72" t="s">
        <v>483</v>
      </c>
      <c r="F72" t="s">
        <v>13</v>
      </c>
      <c r="G72" t="s">
        <v>525</v>
      </c>
    </row>
    <row r="73" spans="1:8" x14ac:dyDescent="0.3">
      <c r="A73">
        <v>0</v>
      </c>
      <c r="B73" t="s">
        <v>105</v>
      </c>
      <c r="C73" t="s">
        <v>125</v>
      </c>
      <c r="D73" t="s">
        <v>2</v>
      </c>
      <c r="E73" t="s">
        <v>125</v>
      </c>
      <c r="F73" t="s">
        <v>13</v>
      </c>
      <c r="G73" t="s">
        <v>525</v>
      </c>
    </row>
    <row r="74" spans="1:8" x14ac:dyDescent="0.3">
      <c r="A74">
        <v>0</v>
      </c>
      <c r="B74" t="s">
        <v>319</v>
      </c>
      <c r="C74" t="s">
        <v>461</v>
      </c>
      <c r="D74" t="s">
        <v>2</v>
      </c>
      <c r="E74" t="s">
        <v>461</v>
      </c>
      <c r="F74" t="s">
        <v>13</v>
      </c>
      <c r="G74" t="s">
        <v>525</v>
      </c>
    </row>
    <row r="75" spans="1:8" x14ac:dyDescent="0.3">
      <c r="A75">
        <v>0</v>
      </c>
      <c r="B75" t="s">
        <v>314</v>
      </c>
      <c r="C75" t="s">
        <v>395</v>
      </c>
      <c r="D75" t="s">
        <v>2</v>
      </c>
      <c r="E75" t="s">
        <v>395</v>
      </c>
      <c r="F75" t="s">
        <v>13</v>
      </c>
      <c r="G75" t="s">
        <v>525</v>
      </c>
    </row>
    <row r="76" spans="1:8" x14ac:dyDescent="0.3">
      <c r="A76">
        <v>0</v>
      </c>
      <c r="B76" t="s">
        <v>312</v>
      </c>
      <c r="C76" t="s">
        <v>399</v>
      </c>
      <c r="D76" t="s">
        <v>2</v>
      </c>
      <c r="E76" t="s">
        <v>399</v>
      </c>
      <c r="F76" t="s">
        <v>13</v>
      </c>
      <c r="G76" t="s">
        <v>525</v>
      </c>
    </row>
    <row r="77" spans="1:8" x14ac:dyDescent="0.3">
      <c r="A77">
        <v>0</v>
      </c>
      <c r="B77" t="s">
        <v>314</v>
      </c>
      <c r="C77" t="s">
        <v>432</v>
      </c>
      <c r="D77" t="s">
        <v>2</v>
      </c>
      <c r="E77" t="s">
        <v>432</v>
      </c>
      <c r="F77" t="s">
        <v>13</v>
      </c>
      <c r="G77" t="s">
        <v>525</v>
      </c>
    </row>
    <row r="78" spans="1:8" x14ac:dyDescent="0.3">
      <c r="A78">
        <v>0</v>
      </c>
      <c r="B78" t="s">
        <v>312</v>
      </c>
      <c r="C78" t="s">
        <v>325</v>
      </c>
      <c r="D78" t="s">
        <v>2</v>
      </c>
      <c r="E78" t="s">
        <v>325</v>
      </c>
      <c r="F78" t="s">
        <v>13</v>
      </c>
      <c r="G78" t="s">
        <v>525</v>
      </c>
    </row>
    <row r="79" spans="1:8" x14ac:dyDescent="0.3">
      <c r="A79">
        <v>0</v>
      </c>
      <c r="B79" t="s">
        <v>314</v>
      </c>
      <c r="C79" t="s">
        <v>372</v>
      </c>
      <c r="D79" t="s">
        <v>2</v>
      </c>
      <c r="E79" t="s">
        <v>372</v>
      </c>
      <c r="F79" t="s">
        <v>13</v>
      </c>
      <c r="G79" t="s">
        <v>525</v>
      </c>
    </row>
    <row r="80" spans="1:8" x14ac:dyDescent="0.3">
      <c r="A80">
        <v>0</v>
      </c>
      <c r="B80" t="s">
        <v>314</v>
      </c>
      <c r="C80" t="s">
        <v>260</v>
      </c>
      <c r="D80" t="s">
        <v>2</v>
      </c>
      <c r="E80" t="s">
        <v>260</v>
      </c>
      <c r="F80" t="s">
        <v>13</v>
      </c>
      <c r="G80" t="s">
        <v>525</v>
      </c>
    </row>
    <row r="81" spans="1:7" x14ac:dyDescent="0.3">
      <c r="A81">
        <v>0</v>
      </c>
      <c r="B81" t="s">
        <v>312</v>
      </c>
      <c r="C81" t="s">
        <v>330</v>
      </c>
      <c r="D81" t="s">
        <v>2</v>
      </c>
      <c r="E81" t="s">
        <v>330</v>
      </c>
      <c r="F81" t="s">
        <v>13</v>
      </c>
      <c r="G81" t="s">
        <v>525</v>
      </c>
    </row>
    <row r="82" spans="1:7" x14ac:dyDescent="0.3">
      <c r="A82">
        <v>0</v>
      </c>
      <c r="B82" t="s">
        <v>105</v>
      </c>
      <c r="C82" t="s">
        <v>401</v>
      </c>
      <c r="D82" t="s">
        <v>2</v>
      </c>
      <c r="E82" t="s">
        <v>401</v>
      </c>
      <c r="F82" t="s">
        <v>13</v>
      </c>
      <c r="G82" t="s">
        <v>525</v>
      </c>
    </row>
    <row r="83" spans="1:7" x14ac:dyDescent="0.3">
      <c r="A83">
        <v>0</v>
      </c>
      <c r="B83" t="s">
        <v>312</v>
      </c>
      <c r="C83" t="s">
        <v>416</v>
      </c>
      <c r="D83" t="s">
        <v>2</v>
      </c>
      <c r="E83" t="s">
        <v>416</v>
      </c>
      <c r="F83" t="s">
        <v>13</v>
      </c>
      <c r="G83" t="s">
        <v>525</v>
      </c>
    </row>
    <row r="84" spans="1:7" x14ac:dyDescent="0.3">
      <c r="A84">
        <v>0</v>
      </c>
      <c r="B84" t="s">
        <v>319</v>
      </c>
      <c r="C84" t="s">
        <v>375</v>
      </c>
      <c r="D84" t="s">
        <v>2</v>
      </c>
      <c r="E84" t="s">
        <v>375</v>
      </c>
      <c r="F84" t="s">
        <v>13</v>
      </c>
      <c r="G84" t="s">
        <v>525</v>
      </c>
    </row>
    <row r="85" spans="1:7" x14ac:dyDescent="0.3">
      <c r="A85">
        <v>0</v>
      </c>
      <c r="B85" t="s">
        <v>312</v>
      </c>
      <c r="C85" t="s">
        <v>333</v>
      </c>
      <c r="D85" t="s">
        <v>2</v>
      </c>
      <c r="E85" t="s">
        <v>333</v>
      </c>
      <c r="F85" t="s">
        <v>13</v>
      </c>
      <c r="G85" t="s">
        <v>525</v>
      </c>
    </row>
    <row r="86" spans="1:7" x14ac:dyDescent="0.3">
      <c r="A86">
        <v>0</v>
      </c>
      <c r="B86" t="s">
        <v>57</v>
      </c>
      <c r="C86" t="s">
        <v>118</v>
      </c>
      <c r="D86" t="s">
        <v>2</v>
      </c>
      <c r="E86" t="s">
        <v>118</v>
      </c>
      <c r="F86" t="s">
        <v>13</v>
      </c>
      <c r="G86" t="s">
        <v>525</v>
      </c>
    </row>
    <row r="87" spans="1:7" x14ac:dyDescent="0.3">
      <c r="A87">
        <v>0</v>
      </c>
      <c r="B87" t="s">
        <v>312</v>
      </c>
      <c r="C87" t="s">
        <v>406</v>
      </c>
      <c r="D87" t="s">
        <v>2</v>
      </c>
      <c r="E87" t="s">
        <v>406</v>
      </c>
      <c r="F87" t="s">
        <v>13</v>
      </c>
      <c r="G87" t="s">
        <v>525</v>
      </c>
    </row>
    <row r="88" spans="1:7" x14ac:dyDescent="0.3">
      <c r="A88">
        <v>0</v>
      </c>
      <c r="B88" t="s">
        <v>312</v>
      </c>
      <c r="C88" t="s">
        <v>315</v>
      </c>
      <c r="D88" t="s">
        <v>2</v>
      </c>
      <c r="E88" t="s">
        <v>315</v>
      </c>
      <c r="F88" t="s">
        <v>13</v>
      </c>
      <c r="G88" t="s">
        <v>525</v>
      </c>
    </row>
    <row r="89" spans="1:7" x14ac:dyDescent="0.3">
      <c r="A89">
        <v>0</v>
      </c>
      <c r="B89" t="s">
        <v>312</v>
      </c>
      <c r="C89" t="s">
        <v>358</v>
      </c>
      <c r="D89" t="s">
        <v>2</v>
      </c>
      <c r="E89" t="s">
        <v>358</v>
      </c>
      <c r="F89" t="s">
        <v>13</v>
      </c>
      <c r="G89" t="s">
        <v>525</v>
      </c>
    </row>
    <row r="90" spans="1:7" x14ac:dyDescent="0.3">
      <c r="A90">
        <v>0</v>
      </c>
      <c r="B90" t="s">
        <v>314</v>
      </c>
      <c r="C90" t="s">
        <v>444</v>
      </c>
      <c r="D90" t="s">
        <v>2</v>
      </c>
      <c r="E90" t="s">
        <v>444</v>
      </c>
      <c r="F90" t="s">
        <v>13</v>
      </c>
      <c r="G90" t="s">
        <v>525</v>
      </c>
    </row>
    <row r="91" spans="1:7" x14ac:dyDescent="0.3">
      <c r="A91">
        <v>0</v>
      </c>
      <c r="B91" t="s">
        <v>312</v>
      </c>
      <c r="C91" t="s">
        <v>439</v>
      </c>
      <c r="D91" t="s">
        <v>2</v>
      </c>
      <c r="E91" t="s">
        <v>439</v>
      </c>
      <c r="F91" t="s">
        <v>13</v>
      </c>
      <c r="G91" t="s">
        <v>525</v>
      </c>
    </row>
    <row r="92" spans="1:7" x14ac:dyDescent="0.3">
      <c r="A92">
        <v>0</v>
      </c>
      <c r="B92" t="s">
        <v>312</v>
      </c>
      <c r="C92" t="s">
        <v>381</v>
      </c>
      <c r="D92" t="s">
        <v>2</v>
      </c>
      <c r="E92" t="s">
        <v>381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418</v>
      </c>
      <c r="D93" t="s">
        <v>2</v>
      </c>
      <c r="E93" t="s">
        <v>418</v>
      </c>
      <c r="F93" t="s">
        <v>13</v>
      </c>
      <c r="G93" t="s">
        <v>525</v>
      </c>
    </row>
    <row r="94" spans="1:7" x14ac:dyDescent="0.3">
      <c r="A94">
        <v>0</v>
      </c>
      <c r="B94" t="s">
        <v>314</v>
      </c>
      <c r="C94" t="s">
        <v>465</v>
      </c>
      <c r="D94" t="s">
        <v>2</v>
      </c>
      <c r="E94" t="s">
        <v>465</v>
      </c>
      <c r="F94" t="s">
        <v>13</v>
      </c>
      <c r="G94" t="s">
        <v>525</v>
      </c>
    </row>
    <row r="95" spans="1:7" x14ac:dyDescent="0.3">
      <c r="A95">
        <v>0</v>
      </c>
      <c r="B95" t="s">
        <v>105</v>
      </c>
      <c r="C95" t="s">
        <v>103</v>
      </c>
      <c r="D95" t="s">
        <v>2</v>
      </c>
      <c r="E95" t="s">
        <v>103</v>
      </c>
      <c r="F95" t="s">
        <v>13</v>
      </c>
      <c r="G95" t="s">
        <v>525</v>
      </c>
    </row>
    <row r="96" spans="1:7" x14ac:dyDescent="0.3">
      <c r="A96">
        <v>0</v>
      </c>
      <c r="B96" t="s">
        <v>312</v>
      </c>
      <c r="C96" t="s">
        <v>320</v>
      </c>
      <c r="D96" t="s">
        <v>2</v>
      </c>
      <c r="E96" t="s">
        <v>320</v>
      </c>
      <c r="F96" t="s">
        <v>13</v>
      </c>
      <c r="G96" t="s">
        <v>525</v>
      </c>
    </row>
    <row r="97" spans="1:7" x14ac:dyDescent="0.3">
      <c r="A97">
        <v>0</v>
      </c>
      <c r="B97" t="s">
        <v>312</v>
      </c>
      <c r="C97" t="s">
        <v>334</v>
      </c>
      <c r="D97" t="s">
        <v>2</v>
      </c>
      <c r="E97" t="s">
        <v>334</v>
      </c>
      <c r="F97" t="s">
        <v>13</v>
      </c>
      <c r="G97" t="s">
        <v>525</v>
      </c>
    </row>
    <row r="98" spans="1:7" x14ac:dyDescent="0.3">
      <c r="A98">
        <v>0</v>
      </c>
      <c r="B98" t="s">
        <v>312</v>
      </c>
      <c r="C98" t="s">
        <v>435</v>
      </c>
      <c r="D98" t="s">
        <v>2</v>
      </c>
      <c r="E98" t="s">
        <v>435</v>
      </c>
      <c r="F98" t="s">
        <v>13</v>
      </c>
      <c r="G98" t="s">
        <v>525</v>
      </c>
    </row>
    <row r="99" spans="1:7" x14ac:dyDescent="0.3">
      <c r="A99">
        <v>0</v>
      </c>
      <c r="B99" t="s">
        <v>319</v>
      </c>
      <c r="C99" t="s">
        <v>456</v>
      </c>
      <c r="D99" t="s">
        <v>2</v>
      </c>
      <c r="E99" t="s">
        <v>456</v>
      </c>
      <c r="F99" t="s">
        <v>13</v>
      </c>
      <c r="G99" t="s">
        <v>525</v>
      </c>
    </row>
    <row r="100" spans="1:7" x14ac:dyDescent="0.3">
      <c r="A100">
        <v>0</v>
      </c>
      <c r="B100" t="s">
        <v>312</v>
      </c>
      <c r="C100" t="s">
        <v>474</v>
      </c>
      <c r="D100" t="s">
        <v>2</v>
      </c>
      <c r="E100" t="s">
        <v>474</v>
      </c>
      <c r="F100" t="s">
        <v>13</v>
      </c>
      <c r="G100" t="s">
        <v>525</v>
      </c>
    </row>
    <row r="101" spans="1:7" x14ac:dyDescent="0.3">
      <c r="A101">
        <v>0</v>
      </c>
      <c r="B101" t="s">
        <v>319</v>
      </c>
      <c r="C101" t="s">
        <v>318</v>
      </c>
      <c r="D101" t="s">
        <v>2</v>
      </c>
      <c r="E101" t="s">
        <v>318</v>
      </c>
      <c r="F101" t="s">
        <v>13</v>
      </c>
      <c r="G101" t="s">
        <v>525</v>
      </c>
    </row>
    <row r="102" spans="1:7" x14ac:dyDescent="0.3">
      <c r="A102">
        <v>0</v>
      </c>
      <c r="B102" t="s">
        <v>314</v>
      </c>
      <c r="C102" t="s">
        <v>475</v>
      </c>
      <c r="D102" t="s">
        <v>2</v>
      </c>
      <c r="E102" t="s">
        <v>475</v>
      </c>
      <c r="F102" t="s">
        <v>13</v>
      </c>
      <c r="G102" t="s">
        <v>525</v>
      </c>
    </row>
    <row r="103" spans="1:7" x14ac:dyDescent="0.3">
      <c r="A103">
        <v>0</v>
      </c>
      <c r="B103" t="s">
        <v>314</v>
      </c>
      <c r="C103" t="s">
        <v>449</v>
      </c>
      <c r="D103" t="s">
        <v>2</v>
      </c>
      <c r="E103" t="s">
        <v>449</v>
      </c>
      <c r="F103" t="s">
        <v>13</v>
      </c>
      <c r="G103" t="s">
        <v>525</v>
      </c>
    </row>
    <row r="104" spans="1:7" x14ac:dyDescent="0.3">
      <c r="A104">
        <v>0</v>
      </c>
      <c r="B104" t="s">
        <v>314</v>
      </c>
      <c r="C104" t="s">
        <v>176</v>
      </c>
      <c r="D104" t="s">
        <v>2</v>
      </c>
      <c r="E104" t="s">
        <v>176</v>
      </c>
      <c r="F104" t="s">
        <v>13</v>
      </c>
      <c r="G104" t="s">
        <v>525</v>
      </c>
    </row>
    <row r="105" spans="1:7" x14ac:dyDescent="0.3">
      <c r="A105">
        <v>0</v>
      </c>
      <c r="B105" t="s">
        <v>312</v>
      </c>
      <c r="C105" t="s">
        <v>388</v>
      </c>
      <c r="D105" t="s">
        <v>2</v>
      </c>
      <c r="E105" t="s">
        <v>388</v>
      </c>
      <c r="F105" t="s">
        <v>13</v>
      </c>
      <c r="G105" t="s">
        <v>525</v>
      </c>
    </row>
    <row r="106" spans="1:7" x14ac:dyDescent="0.3">
      <c r="A106">
        <v>0</v>
      </c>
      <c r="B106" t="s">
        <v>319</v>
      </c>
      <c r="C106" t="s">
        <v>429</v>
      </c>
      <c r="D106" t="s">
        <v>2</v>
      </c>
      <c r="E106" t="s">
        <v>429</v>
      </c>
      <c r="F106" t="s">
        <v>13</v>
      </c>
      <c r="G106" t="s">
        <v>525</v>
      </c>
    </row>
    <row r="107" spans="1:7" x14ac:dyDescent="0.3">
      <c r="A107">
        <v>0</v>
      </c>
      <c r="B107" t="s">
        <v>312</v>
      </c>
      <c r="C107" t="s">
        <v>272</v>
      </c>
      <c r="D107" t="s">
        <v>2</v>
      </c>
      <c r="E107" t="s">
        <v>272</v>
      </c>
      <c r="F107" t="s">
        <v>13</v>
      </c>
      <c r="G107" t="s">
        <v>525</v>
      </c>
    </row>
    <row r="108" spans="1:7" x14ac:dyDescent="0.3">
      <c r="A108">
        <v>0</v>
      </c>
      <c r="B108" t="s">
        <v>312</v>
      </c>
      <c r="C108" t="s">
        <v>410</v>
      </c>
      <c r="D108" t="s">
        <v>2</v>
      </c>
      <c r="E108" t="s">
        <v>410</v>
      </c>
      <c r="F108" t="s">
        <v>13</v>
      </c>
      <c r="G108" t="s">
        <v>525</v>
      </c>
    </row>
    <row r="109" spans="1:7" x14ac:dyDescent="0.3">
      <c r="A109">
        <v>0</v>
      </c>
      <c r="B109" t="s">
        <v>319</v>
      </c>
      <c r="C109" t="s">
        <v>363</v>
      </c>
      <c r="D109" t="s">
        <v>2</v>
      </c>
      <c r="E109" t="s">
        <v>363</v>
      </c>
      <c r="F109" t="s">
        <v>13</v>
      </c>
      <c r="G109" t="s">
        <v>525</v>
      </c>
    </row>
    <row r="110" spans="1:7" x14ac:dyDescent="0.3">
      <c r="A110">
        <v>0</v>
      </c>
      <c r="B110" t="s">
        <v>312</v>
      </c>
      <c r="C110" t="s">
        <v>382</v>
      </c>
      <c r="D110" t="s">
        <v>2</v>
      </c>
      <c r="E110" t="s">
        <v>382</v>
      </c>
      <c r="F110" t="s">
        <v>13</v>
      </c>
      <c r="G110" t="s">
        <v>525</v>
      </c>
    </row>
    <row r="111" spans="1:7" x14ac:dyDescent="0.3">
      <c r="A111">
        <v>0</v>
      </c>
      <c r="B111" t="s">
        <v>312</v>
      </c>
      <c r="C111" t="s">
        <v>424</v>
      </c>
      <c r="D111" t="s">
        <v>2</v>
      </c>
      <c r="E111" t="s">
        <v>424</v>
      </c>
      <c r="F111" t="s">
        <v>13</v>
      </c>
      <c r="G111" t="s">
        <v>525</v>
      </c>
    </row>
    <row r="112" spans="1:7" x14ac:dyDescent="0.3">
      <c r="A112">
        <v>0</v>
      </c>
      <c r="B112" t="s">
        <v>314</v>
      </c>
      <c r="C112" t="s">
        <v>351</v>
      </c>
      <c r="D112" t="s">
        <v>2</v>
      </c>
      <c r="E112" t="s">
        <v>351</v>
      </c>
      <c r="F112" t="s">
        <v>13</v>
      </c>
      <c r="G112" t="s">
        <v>525</v>
      </c>
    </row>
    <row r="113" spans="1:7" x14ac:dyDescent="0.3">
      <c r="A113">
        <v>0</v>
      </c>
      <c r="B113" t="s">
        <v>312</v>
      </c>
      <c r="C113" t="s">
        <v>347</v>
      </c>
      <c r="D113" t="s">
        <v>2</v>
      </c>
      <c r="E113" t="s">
        <v>347</v>
      </c>
      <c r="F113" t="s">
        <v>13</v>
      </c>
      <c r="G113" t="s">
        <v>525</v>
      </c>
    </row>
    <row r="114" spans="1:7" x14ac:dyDescent="0.3">
      <c r="A114">
        <v>0</v>
      </c>
      <c r="B114" t="s">
        <v>314</v>
      </c>
      <c r="C114" t="s">
        <v>453</v>
      </c>
      <c r="D114" t="s">
        <v>2</v>
      </c>
      <c r="E114" t="s">
        <v>453</v>
      </c>
      <c r="F114" t="s">
        <v>13</v>
      </c>
      <c r="G114" t="s">
        <v>525</v>
      </c>
    </row>
    <row r="115" spans="1:7" x14ac:dyDescent="0.3">
      <c r="A115">
        <v>0</v>
      </c>
      <c r="B115" t="s">
        <v>319</v>
      </c>
      <c r="C115" t="s">
        <v>457</v>
      </c>
      <c r="D115" t="s">
        <v>2</v>
      </c>
      <c r="E115" t="s">
        <v>457</v>
      </c>
      <c r="F115" t="s">
        <v>13</v>
      </c>
      <c r="G115" t="s">
        <v>525</v>
      </c>
    </row>
    <row r="116" spans="1:7" x14ac:dyDescent="0.3">
      <c r="A116">
        <v>0</v>
      </c>
      <c r="B116" t="s">
        <v>312</v>
      </c>
      <c r="C116" t="s">
        <v>485</v>
      </c>
      <c r="D116" t="s">
        <v>2</v>
      </c>
      <c r="E116" t="s">
        <v>485</v>
      </c>
      <c r="F116" t="s">
        <v>13</v>
      </c>
      <c r="G116" t="s">
        <v>525</v>
      </c>
    </row>
    <row r="117" spans="1:7" x14ac:dyDescent="0.3">
      <c r="A117">
        <v>0</v>
      </c>
      <c r="B117" t="s">
        <v>312</v>
      </c>
      <c r="C117" t="s">
        <v>355</v>
      </c>
      <c r="D117" t="s">
        <v>2</v>
      </c>
      <c r="E117" t="s">
        <v>355</v>
      </c>
      <c r="F117" t="s">
        <v>13</v>
      </c>
      <c r="G117" t="s">
        <v>525</v>
      </c>
    </row>
    <row r="118" spans="1:7" x14ac:dyDescent="0.3">
      <c r="A118">
        <v>0</v>
      </c>
      <c r="B118" t="s">
        <v>312</v>
      </c>
      <c r="C118" t="s">
        <v>338</v>
      </c>
      <c r="D118" t="s">
        <v>2</v>
      </c>
      <c r="E118" t="s">
        <v>338</v>
      </c>
      <c r="F118" t="s">
        <v>13</v>
      </c>
      <c r="G118" t="s">
        <v>525</v>
      </c>
    </row>
    <row r="119" spans="1:7" x14ac:dyDescent="0.3">
      <c r="A119">
        <v>0</v>
      </c>
      <c r="B119" t="s">
        <v>312</v>
      </c>
      <c r="C119" t="s">
        <v>394</v>
      </c>
      <c r="D119" t="s">
        <v>2</v>
      </c>
      <c r="E119" t="s">
        <v>394</v>
      </c>
      <c r="F119" t="s">
        <v>13</v>
      </c>
      <c r="G119" t="s">
        <v>525</v>
      </c>
    </row>
    <row r="120" spans="1:7" x14ac:dyDescent="0.3">
      <c r="A120">
        <v>0</v>
      </c>
      <c r="B120" t="s">
        <v>312</v>
      </c>
      <c r="C120" t="s">
        <v>438</v>
      </c>
      <c r="D120" t="s">
        <v>2</v>
      </c>
      <c r="E120" t="s">
        <v>438</v>
      </c>
      <c r="F120" t="s">
        <v>13</v>
      </c>
      <c r="G120" t="s">
        <v>525</v>
      </c>
    </row>
    <row r="121" spans="1:7" x14ac:dyDescent="0.3">
      <c r="A121">
        <v>0</v>
      </c>
      <c r="B121" t="s">
        <v>312</v>
      </c>
      <c r="C121" t="s">
        <v>486</v>
      </c>
      <c r="D121" t="s">
        <v>2</v>
      </c>
      <c r="E121" t="s">
        <v>486</v>
      </c>
      <c r="F121" t="s">
        <v>13</v>
      </c>
      <c r="G121" t="s">
        <v>525</v>
      </c>
    </row>
    <row r="122" spans="1:7" x14ac:dyDescent="0.3">
      <c r="A122">
        <v>0</v>
      </c>
      <c r="B122" t="s">
        <v>319</v>
      </c>
      <c r="C122" t="s">
        <v>419</v>
      </c>
      <c r="D122" t="s">
        <v>2</v>
      </c>
      <c r="E122" t="s">
        <v>419</v>
      </c>
      <c r="F122" t="s">
        <v>13</v>
      </c>
      <c r="G122" t="s">
        <v>525</v>
      </c>
    </row>
    <row r="123" spans="1:7" x14ac:dyDescent="0.3">
      <c r="A123">
        <v>0</v>
      </c>
      <c r="B123" t="s">
        <v>57</v>
      </c>
      <c r="C123" t="s">
        <v>353</v>
      </c>
      <c r="D123" t="s">
        <v>2</v>
      </c>
      <c r="E123" t="s">
        <v>353</v>
      </c>
      <c r="F123" t="s">
        <v>13</v>
      </c>
      <c r="G123" t="s">
        <v>525</v>
      </c>
    </row>
    <row r="124" spans="1:7" x14ac:dyDescent="0.3">
      <c r="A124">
        <v>0</v>
      </c>
      <c r="B124" t="s">
        <v>319</v>
      </c>
      <c r="C124" t="s">
        <v>489</v>
      </c>
      <c r="D124" t="s">
        <v>2</v>
      </c>
      <c r="E124" t="s">
        <v>489</v>
      </c>
      <c r="F124" t="s">
        <v>13</v>
      </c>
      <c r="G124" t="s">
        <v>525</v>
      </c>
    </row>
    <row r="125" spans="1:7" x14ac:dyDescent="0.3">
      <c r="A125">
        <v>0</v>
      </c>
      <c r="B125" t="s">
        <v>312</v>
      </c>
      <c r="C125" t="s">
        <v>386</v>
      </c>
      <c r="D125" t="s">
        <v>2</v>
      </c>
      <c r="E125" t="s">
        <v>386</v>
      </c>
      <c r="F125" t="s">
        <v>13</v>
      </c>
      <c r="G125" t="s">
        <v>525</v>
      </c>
    </row>
    <row r="126" spans="1:7" x14ac:dyDescent="0.3">
      <c r="A126">
        <v>0</v>
      </c>
      <c r="B126" t="s">
        <v>319</v>
      </c>
      <c r="C126" t="s">
        <v>389</v>
      </c>
      <c r="D126" t="s">
        <v>2</v>
      </c>
      <c r="E126" t="s">
        <v>389</v>
      </c>
      <c r="F126" t="s">
        <v>13</v>
      </c>
      <c r="G126" t="s">
        <v>525</v>
      </c>
    </row>
    <row r="127" spans="1:7" x14ac:dyDescent="0.3">
      <c r="A127">
        <v>0</v>
      </c>
      <c r="B127" t="s">
        <v>312</v>
      </c>
      <c r="C127" t="s">
        <v>340</v>
      </c>
      <c r="D127" t="s">
        <v>2</v>
      </c>
      <c r="E127" t="s">
        <v>340</v>
      </c>
      <c r="F127" t="s">
        <v>13</v>
      </c>
      <c r="G127" t="s">
        <v>525</v>
      </c>
    </row>
    <row r="128" spans="1:7" x14ac:dyDescent="0.3">
      <c r="A128">
        <v>0</v>
      </c>
      <c r="B128" t="s">
        <v>312</v>
      </c>
      <c r="C128" t="s">
        <v>368</v>
      </c>
      <c r="D128" t="s">
        <v>2</v>
      </c>
      <c r="E128" t="s">
        <v>368</v>
      </c>
      <c r="F128" t="s">
        <v>13</v>
      </c>
      <c r="G128" t="s">
        <v>525</v>
      </c>
    </row>
    <row r="129" spans="1:7" x14ac:dyDescent="0.3">
      <c r="A129">
        <v>0</v>
      </c>
      <c r="B129" t="s">
        <v>312</v>
      </c>
      <c r="C129" t="s">
        <v>328</v>
      </c>
      <c r="D129" t="s">
        <v>2</v>
      </c>
      <c r="E129" t="s">
        <v>328</v>
      </c>
      <c r="F129" t="s">
        <v>13</v>
      </c>
      <c r="G129" t="s">
        <v>525</v>
      </c>
    </row>
    <row r="130" spans="1:7" x14ac:dyDescent="0.3">
      <c r="A130">
        <v>0</v>
      </c>
      <c r="B130" t="s">
        <v>312</v>
      </c>
      <c r="C130" t="s">
        <v>479</v>
      </c>
      <c r="D130" t="s">
        <v>2</v>
      </c>
      <c r="E130" t="s">
        <v>479</v>
      </c>
      <c r="F130" t="s">
        <v>13</v>
      </c>
      <c r="G130" t="s">
        <v>525</v>
      </c>
    </row>
    <row r="131" spans="1:7" x14ac:dyDescent="0.3">
      <c r="A131">
        <v>0</v>
      </c>
      <c r="B131" t="s">
        <v>57</v>
      </c>
      <c r="C131" t="s">
        <v>116</v>
      </c>
      <c r="D131" t="s">
        <v>2</v>
      </c>
      <c r="E131" t="s">
        <v>116</v>
      </c>
      <c r="F131" t="s">
        <v>13</v>
      </c>
      <c r="G131" t="s">
        <v>525</v>
      </c>
    </row>
    <row r="132" spans="1:7" x14ac:dyDescent="0.3">
      <c r="A132">
        <v>0</v>
      </c>
      <c r="B132" t="s">
        <v>312</v>
      </c>
      <c r="C132" t="s">
        <v>352</v>
      </c>
      <c r="D132" t="s">
        <v>2</v>
      </c>
      <c r="E132" t="s">
        <v>352</v>
      </c>
      <c r="F132" t="s">
        <v>13</v>
      </c>
      <c r="G132" t="s">
        <v>525</v>
      </c>
    </row>
    <row r="133" spans="1:7" x14ac:dyDescent="0.3">
      <c r="A133">
        <v>0</v>
      </c>
      <c r="B133" t="s">
        <v>312</v>
      </c>
      <c r="C133" t="s">
        <v>417</v>
      </c>
      <c r="D133" t="s">
        <v>2</v>
      </c>
      <c r="E133" t="s">
        <v>417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447</v>
      </c>
      <c r="D134" t="s">
        <v>2</v>
      </c>
      <c r="E134" t="s">
        <v>447</v>
      </c>
      <c r="F134" t="s">
        <v>13</v>
      </c>
      <c r="G134" t="s">
        <v>525</v>
      </c>
    </row>
    <row r="135" spans="1:7" x14ac:dyDescent="0.3">
      <c r="A135">
        <v>0</v>
      </c>
      <c r="B135" t="s">
        <v>319</v>
      </c>
      <c r="C135" t="s">
        <v>329</v>
      </c>
      <c r="D135" t="s">
        <v>2</v>
      </c>
      <c r="E135" t="s">
        <v>329</v>
      </c>
      <c r="F135" t="s">
        <v>13</v>
      </c>
      <c r="G135" t="s">
        <v>525</v>
      </c>
    </row>
    <row r="136" spans="1:7" x14ac:dyDescent="0.3">
      <c r="A136">
        <v>0</v>
      </c>
      <c r="B136" t="s">
        <v>312</v>
      </c>
      <c r="C136" t="s">
        <v>252</v>
      </c>
      <c r="D136" t="s">
        <v>2</v>
      </c>
      <c r="E136" t="s">
        <v>252</v>
      </c>
      <c r="F136" t="s">
        <v>13</v>
      </c>
      <c r="G136" t="s">
        <v>525</v>
      </c>
    </row>
    <row r="137" spans="1:7" x14ac:dyDescent="0.3">
      <c r="A137">
        <v>0</v>
      </c>
      <c r="B137" t="s">
        <v>312</v>
      </c>
      <c r="C137" t="s">
        <v>317</v>
      </c>
      <c r="D137" t="s">
        <v>2</v>
      </c>
      <c r="E137" t="s">
        <v>317</v>
      </c>
      <c r="F137" t="s">
        <v>13</v>
      </c>
      <c r="G137" t="s">
        <v>525</v>
      </c>
    </row>
    <row r="138" spans="1:7" x14ac:dyDescent="0.3">
      <c r="A138">
        <v>0</v>
      </c>
      <c r="B138" t="s">
        <v>312</v>
      </c>
      <c r="C138" t="s">
        <v>436</v>
      </c>
      <c r="D138" t="s">
        <v>2</v>
      </c>
      <c r="E138" t="s">
        <v>436</v>
      </c>
      <c r="F138" t="s">
        <v>13</v>
      </c>
      <c r="G138" t="s">
        <v>525</v>
      </c>
    </row>
    <row r="139" spans="1:7" x14ac:dyDescent="0.3">
      <c r="A139">
        <v>0</v>
      </c>
      <c r="B139" t="s">
        <v>319</v>
      </c>
      <c r="C139" t="s">
        <v>490</v>
      </c>
      <c r="D139" t="s">
        <v>2</v>
      </c>
      <c r="E139" t="s">
        <v>490</v>
      </c>
      <c r="F139" t="s">
        <v>13</v>
      </c>
      <c r="G139" t="s">
        <v>525</v>
      </c>
    </row>
    <row r="140" spans="1:7" x14ac:dyDescent="0.3">
      <c r="A140">
        <v>0</v>
      </c>
      <c r="B140" t="s">
        <v>312</v>
      </c>
      <c r="C140" t="s">
        <v>391</v>
      </c>
      <c r="D140" t="s">
        <v>2</v>
      </c>
      <c r="E140" t="s">
        <v>391</v>
      </c>
      <c r="F140" t="s">
        <v>13</v>
      </c>
      <c r="G140" t="s">
        <v>525</v>
      </c>
    </row>
    <row r="141" spans="1:7" x14ac:dyDescent="0.3">
      <c r="A141">
        <v>0</v>
      </c>
      <c r="B141" t="s">
        <v>312</v>
      </c>
      <c r="C141" t="s">
        <v>235</v>
      </c>
      <c r="D141" t="s">
        <v>2</v>
      </c>
      <c r="E141" t="s">
        <v>235</v>
      </c>
      <c r="F141" t="s">
        <v>13</v>
      </c>
      <c r="G141" t="s">
        <v>525</v>
      </c>
    </row>
    <row r="142" spans="1:7" x14ac:dyDescent="0.3">
      <c r="A142">
        <v>0</v>
      </c>
      <c r="B142" t="s">
        <v>312</v>
      </c>
      <c r="C142" t="s">
        <v>493</v>
      </c>
      <c r="D142" t="s">
        <v>2</v>
      </c>
      <c r="E142" t="s">
        <v>493</v>
      </c>
      <c r="F142" t="s">
        <v>13</v>
      </c>
      <c r="G142" t="s">
        <v>525</v>
      </c>
    </row>
    <row r="143" spans="1:7" x14ac:dyDescent="0.3">
      <c r="A143">
        <v>0</v>
      </c>
      <c r="B143" t="s">
        <v>312</v>
      </c>
      <c r="C143" t="s">
        <v>335</v>
      </c>
      <c r="D143" t="s">
        <v>2</v>
      </c>
      <c r="E143" t="s">
        <v>335</v>
      </c>
      <c r="F143" t="s">
        <v>13</v>
      </c>
      <c r="G143" t="s">
        <v>525</v>
      </c>
    </row>
    <row r="144" spans="1:7" x14ac:dyDescent="0.3">
      <c r="A144">
        <v>0</v>
      </c>
      <c r="B144" t="s">
        <v>312</v>
      </c>
      <c r="C144" t="s">
        <v>354</v>
      </c>
      <c r="D144" t="s">
        <v>2</v>
      </c>
      <c r="E144" t="s">
        <v>354</v>
      </c>
      <c r="F144" t="s">
        <v>13</v>
      </c>
      <c r="G144" t="s">
        <v>525</v>
      </c>
    </row>
    <row r="145" spans="1:7" x14ac:dyDescent="0.3">
      <c r="A145">
        <v>0</v>
      </c>
      <c r="B145" t="s">
        <v>319</v>
      </c>
      <c r="C145" t="s">
        <v>360</v>
      </c>
      <c r="D145" t="s">
        <v>2</v>
      </c>
      <c r="E145" t="s">
        <v>360</v>
      </c>
      <c r="F145" t="s">
        <v>13</v>
      </c>
      <c r="G145" t="s">
        <v>525</v>
      </c>
    </row>
    <row r="146" spans="1:7" x14ac:dyDescent="0.3">
      <c r="A146">
        <v>0</v>
      </c>
      <c r="B146" t="s">
        <v>314</v>
      </c>
      <c r="C146" t="s">
        <v>356</v>
      </c>
      <c r="D146" t="s">
        <v>2</v>
      </c>
      <c r="E146" t="s">
        <v>356</v>
      </c>
      <c r="F146" t="s">
        <v>13</v>
      </c>
      <c r="G146" t="s">
        <v>525</v>
      </c>
    </row>
    <row r="147" spans="1:7" x14ac:dyDescent="0.3">
      <c r="A147">
        <v>0</v>
      </c>
      <c r="B147" t="s">
        <v>312</v>
      </c>
      <c r="C147" t="s">
        <v>405</v>
      </c>
      <c r="D147" t="s">
        <v>2</v>
      </c>
      <c r="E147" t="s">
        <v>405</v>
      </c>
      <c r="F147" t="s">
        <v>13</v>
      </c>
      <c r="G147" t="s">
        <v>525</v>
      </c>
    </row>
    <row r="148" spans="1:7" x14ac:dyDescent="0.3">
      <c r="A148">
        <v>0</v>
      </c>
      <c r="B148" t="s">
        <v>312</v>
      </c>
      <c r="C148" t="s">
        <v>471</v>
      </c>
      <c r="D148" t="s">
        <v>2</v>
      </c>
      <c r="E148" t="s">
        <v>471</v>
      </c>
      <c r="F148" t="s">
        <v>13</v>
      </c>
      <c r="G148" t="s">
        <v>525</v>
      </c>
    </row>
    <row r="149" spans="1:7" x14ac:dyDescent="0.3">
      <c r="A149">
        <v>0</v>
      </c>
      <c r="B149" t="s">
        <v>319</v>
      </c>
      <c r="C149" t="s">
        <v>421</v>
      </c>
      <c r="D149" t="s">
        <v>2</v>
      </c>
      <c r="E149" t="s">
        <v>421</v>
      </c>
      <c r="F149" t="s">
        <v>13</v>
      </c>
      <c r="G149" t="s">
        <v>525</v>
      </c>
    </row>
    <row r="150" spans="1:7" x14ac:dyDescent="0.3">
      <c r="A150">
        <v>0</v>
      </c>
      <c r="B150" t="s">
        <v>312</v>
      </c>
      <c r="C150" t="s">
        <v>321</v>
      </c>
      <c r="D150" t="s">
        <v>2</v>
      </c>
      <c r="E150" t="s">
        <v>321</v>
      </c>
      <c r="F150" t="s">
        <v>13</v>
      </c>
      <c r="G150" t="s">
        <v>525</v>
      </c>
    </row>
    <row r="151" spans="1:7" x14ac:dyDescent="0.3">
      <c r="A151">
        <v>0</v>
      </c>
      <c r="B151" t="s">
        <v>105</v>
      </c>
      <c r="C151" t="s">
        <v>113</v>
      </c>
      <c r="D151" t="s">
        <v>2</v>
      </c>
      <c r="E151" t="s">
        <v>113</v>
      </c>
      <c r="F151" t="s">
        <v>13</v>
      </c>
      <c r="G151" t="s">
        <v>525</v>
      </c>
    </row>
    <row r="152" spans="1:7" x14ac:dyDescent="0.3">
      <c r="A152">
        <v>0</v>
      </c>
      <c r="B152" t="s">
        <v>312</v>
      </c>
      <c r="C152" t="s">
        <v>348</v>
      </c>
      <c r="D152" t="s">
        <v>2</v>
      </c>
      <c r="E152" t="s">
        <v>348</v>
      </c>
      <c r="F152" t="s">
        <v>13</v>
      </c>
      <c r="G152" t="s">
        <v>525</v>
      </c>
    </row>
    <row r="153" spans="1:7" x14ac:dyDescent="0.3">
      <c r="A153">
        <v>0</v>
      </c>
      <c r="B153" t="s">
        <v>105</v>
      </c>
      <c r="C153" t="s">
        <v>469</v>
      </c>
      <c r="D153" t="s">
        <v>2</v>
      </c>
      <c r="E153" t="s">
        <v>469</v>
      </c>
      <c r="F153" t="s">
        <v>13</v>
      </c>
      <c r="G153" t="s">
        <v>525</v>
      </c>
    </row>
    <row r="154" spans="1:7" x14ac:dyDescent="0.3">
      <c r="A154">
        <v>0</v>
      </c>
      <c r="B154" t="s">
        <v>314</v>
      </c>
      <c r="C154" t="s">
        <v>481</v>
      </c>
      <c r="D154" t="s">
        <v>2</v>
      </c>
      <c r="E154" t="s">
        <v>481</v>
      </c>
      <c r="F154" t="s">
        <v>13</v>
      </c>
      <c r="G154" t="s">
        <v>525</v>
      </c>
    </row>
    <row r="155" spans="1:7" x14ac:dyDescent="0.3">
      <c r="A155">
        <v>0</v>
      </c>
      <c r="B155" t="s">
        <v>312</v>
      </c>
      <c r="C155" t="s">
        <v>398</v>
      </c>
      <c r="D155" t="s">
        <v>2</v>
      </c>
      <c r="E155" t="s">
        <v>398</v>
      </c>
      <c r="F155" t="s">
        <v>13</v>
      </c>
      <c r="G155" t="s">
        <v>525</v>
      </c>
    </row>
    <row r="156" spans="1:7" x14ac:dyDescent="0.3">
      <c r="A156">
        <v>0</v>
      </c>
      <c r="B156" t="s">
        <v>314</v>
      </c>
      <c r="C156" t="s">
        <v>342</v>
      </c>
      <c r="D156" t="s">
        <v>2</v>
      </c>
      <c r="E156" t="s">
        <v>342</v>
      </c>
      <c r="F156" t="s">
        <v>13</v>
      </c>
      <c r="G156" t="s">
        <v>525</v>
      </c>
    </row>
    <row r="157" spans="1:7" x14ac:dyDescent="0.3">
      <c r="A157">
        <v>0</v>
      </c>
      <c r="B157" t="s">
        <v>312</v>
      </c>
      <c r="C157" t="s">
        <v>322</v>
      </c>
      <c r="D157" t="s">
        <v>2</v>
      </c>
      <c r="E157" t="s">
        <v>322</v>
      </c>
      <c r="F157" t="s">
        <v>13</v>
      </c>
      <c r="G157" t="s">
        <v>525</v>
      </c>
    </row>
    <row r="158" spans="1:7" x14ac:dyDescent="0.3">
      <c r="A158">
        <v>0</v>
      </c>
      <c r="B158" t="s">
        <v>314</v>
      </c>
      <c r="C158" t="s">
        <v>409</v>
      </c>
      <c r="D158" t="s">
        <v>2</v>
      </c>
      <c r="E158" t="s">
        <v>409</v>
      </c>
      <c r="F158" t="s">
        <v>13</v>
      </c>
      <c r="G158" t="s">
        <v>525</v>
      </c>
    </row>
    <row r="159" spans="1:7" x14ac:dyDescent="0.3">
      <c r="A159">
        <v>0</v>
      </c>
      <c r="B159" t="s">
        <v>314</v>
      </c>
      <c r="C159" t="s">
        <v>480</v>
      </c>
      <c r="D159" t="s">
        <v>2</v>
      </c>
      <c r="E159" t="s">
        <v>480</v>
      </c>
      <c r="F159" t="s">
        <v>13</v>
      </c>
      <c r="G159" t="s">
        <v>525</v>
      </c>
    </row>
    <row r="160" spans="1:7" x14ac:dyDescent="0.3">
      <c r="A160">
        <v>0</v>
      </c>
      <c r="B160" t="s">
        <v>105</v>
      </c>
      <c r="C160" t="s">
        <v>121</v>
      </c>
      <c r="D160" t="s">
        <v>2</v>
      </c>
      <c r="E160" t="s">
        <v>121</v>
      </c>
      <c r="F160" t="s">
        <v>13</v>
      </c>
      <c r="G160" t="s">
        <v>525</v>
      </c>
    </row>
    <row r="161" spans="1:7" x14ac:dyDescent="0.3">
      <c r="A161">
        <v>0</v>
      </c>
      <c r="B161" t="s">
        <v>312</v>
      </c>
      <c r="C161" t="s">
        <v>359</v>
      </c>
      <c r="D161" t="s">
        <v>2</v>
      </c>
      <c r="E161" t="s">
        <v>359</v>
      </c>
      <c r="F161" t="s">
        <v>13</v>
      </c>
      <c r="G161" t="s">
        <v>525</v>
      </c>
    </row>
    <row r="162" spans="1:7" x14ac:dyDescent="0.3">
      <c r="A162">
        <v>0</v>
      </c>
      <c r="B162" t="s">
        <v>319</v>
      </c>
      <c r="C162" t="s">
        <v>468</v>
      </c>
      <c r="D162" t="s">
        <v>2</v>
      </c>
      <c r="E162" t="s">
        <v>468</v>
      </c>
      <c r="F162" t="s">
        <v>13</v>
      </c>
      <c r="G162" t="s">
        <v>525</v>
      </c>
    </row>
    <row r="163" spans="1:7" x14ac:dyDescent="0.3">
      <c r="A163">
        <v>0</v>
      </c>
      <c r="B163" t="s">
        <v>319</v>
      </c>
      <c r="C163" t="s">
        <v>458</v>
      </c>
      <c r="D163" t="s">
        <v>2</v>
      </c>
      <c r="E163" t="s">
        <v>458</v>
      </c>
      <c r="F163" t="s">
        <v>13</v>
      </c>
      <c r="G163" t="s">
        <v>525</v>
      </c>
    </row>
    <row r="164" spans="1:7" x14ac:dyDescent="0.3">
      <c r="A164">
        <v>0</v>
      </c>
      <c r="B164" t="s">
        <v>312</v>
      </c>
      <c r="C164" t="s">
        <v>370</v>
      </c>
      <c r="D164" t="s">
        <v>2</v>
      </c>
      <c r="E164" t="s">
        <v>370</v>
      </c>
      <c r="F164" t="s">
        <v>13</v>
      </c>
      <c r="G164" t="s">
        <v>525</v>
      </c>
    </row>
    <row r="165" spans="1:7" x14ac:dyDescent="0.3">
      <c r="A165">
        <v>0</v>
      </c>
      <c r="B165" t="s">
        <v>57</v>
      </c>
      <c r="C165" t="s">
        <v>114</v>
      </c>
      <c r="D165" t="s">
        <v>2</v>
      </c>
      <c r="E165" t="s">
        <v>114</v>
      </c>
      <c r="F165" t="s">
        <v>13</v>
      </c>
      <c r="G165" t="s">
        <v>525</v>
      </c>
    </row>
    <row r="166" spans="1:7" x14ac:dyDescent="0.3">
      <c r="A166">
        <v>0</v>
      </c>
      <c r="B166" t="s">
        <v>319</v>
      </c>
      <c r="C166" t="s">
        <v>404</v>
      </c>
      <c r="D166" t="s">
        <v>2</v>
      </c>
      <c r="E166" t="s">
        <v>404</v>
      </c>
      <c r="F166" t="s">
        <v>13</v>
      </c>
      <c r="G166" t="s">
        <v>525</v>
      </c>
    </row>
    <row r="167" spans="1:7" x14ac:dyDescent="0.3">
      <c r="A167">
        <v>0</v>
      </c>
      <c r="B167" t="s">
        <v>312</v>
      </c>
      <c r="C167" t="s">
        <v>369</v>
      </c>
      <c r="D167" t="s">
        <v>2</v>
      </c>
      <c r="E167" t="s">
        <v>369</v>
      </c>
      <c r="F167" t="s">
        <v>13</v>
      </c>
      <c r="G167" t="s">
        <v>525</v>
      </c>
    </row>
    <row r="168" spans="1:7" x14ac:dyDescent="0.3">
      <c r="A168">
        <v>0</v>
      </c>
      <c r="B168" t="s">
        <v>57</v>
      </c>
      <c r="C168" t="s">
        <v>122</v>
      </c>
      <c r="D168" t="s">
        <v>2</v>
      </c>
      <c r="E168" t="s">
        <v>122</v>
      </c>
      <c r="F168" t="s">
        <v>13</v>
      </c>
      <c r="G168" t="s">
        <v>525</v>
      </c>
    </row>
    <row r="169" spans="1:7" x14ac:dyDescent="0.3">
      <c r="A169">
        <v>0</v>
      </c>
      <c r="B169" t="s">
        <v>319</v>
      </c>
      <c r="C169" t="s">
        <v>390</v>
      </c>
      <c r="D169" t="s">
        <v>2</v>
      </c>
      <c r="E169" t="s">
        <v>390</v>
      </c>
      <c r="F169" t="s">
        <v>13</v>
      </c>
      <c r="G169" t="s">
        <v>525</v>
      </c>
    </row>
    <row r="170" spans="1:7" x14ac:dyDescent="0.3">
      <c r="A170">
        <v>0</v>
      </c>
      <c r="B170" t="s">
        <v>312</v>
      </c>
      <c r="C170" t="s">
        <v>492</v>
      </c>
      <c r="D170" t="s">
        <v>2</v>
      </c>
      <c r="E170" t="s">
        <v>492</v>
      </c>
      <c r="F170" t="s">
        <v>13</v>
      </c>
      <c r="G170" t="s">
        <v>525</v>
      </c>
    </row>
    <row r="171" spans="1:7" x14ac:dyDescent="0.3">
      <c r="A171">
        <v>0</v>
      </c>
      <c r="B171" t="s">
        <v>312</v>
      </c>
      <c r="C171" t="s">
        <v>345</v>
      </c>
      <c r="D171" t="s">
        <v>2</v>
      </c>
      <c r="E171" t="s">
        <v>345</v>
      </c>
      <c r="F171" t="s">
        <v>13</v>
      </c>
      <c r="G171" t="s">
        <v>525</v>
      </c>
    </row>
    <row r="172" spans="1:7" x14ac:dyDescent="0.3">
      <c r="A172">
        <v>0</v>
      </c>
      <c r="B172" t="s">
        <v>314</v>
      </c>
      <c r="C172" t="s">
        <v>374</v>
      </c>
      <c r="D172" t="s">
        <v>2</v>
      </c>
      <c r="E172" t="s">
        <v>374</v>
      </c>
      <c r="F172" t="s">
        <v>13</v>
      </c>
      <c r="G172" t="s">
        <v>525</v>
      </c>
    </row>
    <row r="173" spans="1:7" x14ac:dyDescent="0.3">
      <c r="A173">
        <v>0</v>
      </c>
      <c r="B173" t="s">
        <v>105</v>
      </c>
      <c r="C173" t="s">
        <v>124</v>
      </c>
      <c r="D173" t="s">
        <v>2</v>
      </c>
      <c r="E173" t="s">
        <v>124</v>
      </c>
      <c r="F173" t="s">
        <v>13</v>
      </c>
      <c r="G173" t="s">
        <v>525</v>
      </c>
    </row>
    <row r="174" spans="1:7" x14ac:dyDescent="0.3">
      <c r="A174">
        <v>0</v>
      </c>
      <c r="B174" t="s">
        <v>312</v>
      </c>
      <c r="C174" t="s">
        <v>440</v>
      </c>
      <c r="D174" t="s">
        <v>2</v>
      </c>
      <c r="E174" t="s">
        <v>440</v>
      </c>
      <c r="F174" t="s">
        <v>13</v>
      </c>
      <c r="G174" t="s">
        <v>525</v>
      </c>
    </row>
    <row r="175" spans="1:7" x14ac:dyDescent="0.3">
      <c r="A175">
        <v>0</v>
      </c>
      <c r="B175" t="s">
        <v>312</v>
      </c>
      <c r="C175" t="s">
        <v>316</v>
      </c>
      <c r="D175" t="s">
        <v>2</v>
      </c>
      <c r="E175" t="s">
        <v>316</v>
      </c>
      <c r="F175" t="s">
        <v>13</v>
      </c>
      <c r="G175" t="s">
        <v>525</v>
      </c>
    </row>
    <row r="176" spans="1:7" x14ac:dyDescent="0.3">
      <c r="A176">
        <v>0</v>
      </c>
      <c r="B176" t="s">
        <v>312</v>
      </c>
      <c r="C176" t="s">
        <v>427</v>
      </c>
      <c r="D176" t="s">
        <v>2</v>
      </c>
      <c r="E176" t="s">
        <v>427</v>
      </c>
      <c r="F176" t="s">
        <v>13</v>
      </c>
      <c r="G176" t="s">
        <v>525</v>
      </c>
    </row>
    <row r="177" spans="1:7" x14ac:dyDescent="0.3">
      <c r="A177">
        <v>0</v>
      </c>
      <c r="B177" t="s">
        <v>312</v>
      </c>
      <c r="C177" t="s">
        <v>332</v>
      </c>
      <c r="D177" t="s">
        <v>2</v>
      </c>
      <c r="E177" t="s">
        <v>332</v>
      </c>
      <c r="F177" t="s">
        <v>13</v>
      </c>
      <c r="G177" t="s">
        <v>525</v>
      </c>
    </row>
    <row r="178" spans="1:7" x14ac:dyDescent="0.3">
      <c r="A178">
        <v>0</v>
      </c>
      <c r="B178" t="s">
        <v>312</v>
      </c>
      <c r="C178" t="s">
        <v>336</v>
      </c>
      <c r="D178" t="s">
        <v>2</v>
      </c>
      <c r="E178" t="s">
        <v>336</v>
      </c>
      <c r="F178" t="s">
        <v>13</v>
      </c>
      <c r="G178" t="s">
        <v>525</v>
      </c>
    </row>
    <row r="179" spans="1:7" x14ac:dyDescent="0.3">
      <c r="A179">
        <v>0</v>
      </c>
      <c r="B179" t="s">
        <v>314</v>
      </c>
      <c r="C179" t="s">
        <v>393</v>
      </c>
      <c r="D179" t="s">
        <v>2</v>
      </c>
      <c r="E179" t="s">
        <v>393</v>
      </c>
      <c r="F179" t="s">
        <v>13</v>
      </c>
      <c r="G179" t="s">
        <v>525</v>
      </c>
    </row>
    <row r="180" spans="1:7" x14ac:dyDescent="0.3">
      <c r="A180">
        <v>0</v>
      </c>
      <c r="B180" t="s">
        <v>312</v>
      </c>
      <c r="C180" t="s">
        <v>339</v>
      </c>
      <c r="D180" t="s">
        <v>2</v>
      </c>
      <c r="E180" t="s">
        <v>339</v>
      </c>
      <c r="F180" t="s">
        <v>13</v>
      </c>
      <c r="G180" t="s">
        <v>525</v>
      </c>
    </row>
    <row r="181" spans="1:7" x14ac:dyDescent="0.3">
      <c r="A181">
        <v>0</v>
      </c>
      <c r="B181" t="s">
        <v>312</v>
      </c>
      <c r="C181" t="s">
        <v>400</v>
      </c>
      <c r="D181" t="s">
        <v>2</v>
      </c>
      <c r="E181" t="s">
        <v>400</v>
      </c>
      <c r="F181" t="s">
        <v>13</v>
      </c>
      <c r="G181" t="s">
        <v>525</v>
      </c>
    </row>
    <row r="182" spans="1:7" x14ac:dyDescent="0.3">
      <c r="A182">
        <v>0</v>
      </c>
      <c r="B182" t="s">
        <v>312</v>
      </c>
      <c r="C182" t="s">
        <v>380</v>
      </c>
      <c r="D182" t="s">
        <v>2</v>
      </c>
      <c r="E182" t="s">
        <v>380</v>
      </c>
      <c r="F182" t="s">
        <v>13</v>
      </c>
      <c r="G182" t="s">
        <v>525</v>
      </c>
    </row>
    <row r="183" spans="1:7" x14ac:dyDescent="0.3">
      <c r="A183">
        <v>0</v>
      </c>
      <c r="B183" t="s">
        <v>312</v>
      </c>
      <c r="C183" t="s">
        <v>442</v>
      </c>
      <c r="D183" t="s">
        <v>2</v>
      </c>
      <c r="E183" t="s">
        <v>442</v>
      </c>
      <c r="F183" t="s">
        <v>13</v>
      </c>
      <c r="G183" t="s">
        <v>525</v>
      </c>
    </row>
    <row r="184" spans="1:7" x14ac:dyDescent="0.3">
      <c r="A184">
        <v>0</v>
      </c>
      <c r="B184" t="s">
        <v>57</v>
      </c>
      <c r="C184" t="s">
        <v>470</v>
      </c>
      <c r="D184" t="s">
        <v>2</v>
      </c>
      <c r="E184" t="s">
        <v>470</v>
      </c>
      <c r="F184" t="s">
        <v>13</v>
      </c>
      <c r="G184" t="s">
        <v>525</v>
      </c>
    </row>
    <row r="185" spans="1:7" x14ac:dyDescent="0.3">
      <c r="A185">
        <v>0</v>
      </c>
      <c r="B185" t="s">
        <v>319</v>
      </c>
      <c r="C185" t="s">
        <v>463</v>
      </c>
      <c r="D185" t="s">
        <v>2</v>
      </c>
      <c r="E185" t="s">
        <v>463</v>
      </c>
      <c r="F185" t="s">
        <v>13</v>
      </c>
      <c r="G185" t="s">
        <v>525</v>
      </c>
    </row>
    <row r="186" spans="1:7" x14ac:dyDescent="0.3">
      <c r="A186">
        <v>0</v>
      </c>
      <c r="B186" t="s">
        <v>314</v>
      </c>
      <c r="C186" t="s">
        <v>343</v>
      </c>
      <c r="D186" t="s">
        <v>2</v>
      </c>
      <c r="E186" t="s">
        <v>343</v>
      </c>
      <c r="F186" t="s">
        <v>13</v>
      </c>
      <c r="G186" t="s">
        <v>525</v>
      </c>
    </row>
    <row r="187" spans="1:7" x14ac:dyDescent="0.3">
      <c r="A187">
        <v>0</v>
      </c>
      <c r="B187" t="s">
        <v>312</v>
      </c>
      <c r="C187" t="s">
        <v>371</v>
      </c>
      <c r="D187" t="s">
        <v>2</v>
      </c>
      <c r="E187" t="s">
        <v>371</v>
      </c>
      <c r="F187" t="s">
        <v>13</v>
      </c>
      <c r="G187" t="s">
        <v>525</v>
      </c>
    </row>
    <row r="188" spans="1:7" x14ac:dyDescent="0.3">
      <c r="A188">
        <v>0</v>
      </c>
      <c r="B188" t="s">
        <v>312</v>
      </c>
      <c r="C188" t="s">
        <v>366</v>
      </c>
      <c r="D188" t="s">
        <v>2</v>
      </c>
      <c r="E188" t="s">
        <v>366</v>
      </c>
      <c r="F188" t="s">
        <v>13</v>
      </c>
      <c r="G188" t="s">
        <v>525</v>
      </c>
    </row>
    <row r="189" spans="1:7" x14ac:dyDescent="0.3">
      <c r="A189">
        <v>0</v>
      </c>
      <c r="B189" t="s">
        <v>312</v>
      </c>
      <c r="C189" t="s">
        <v>384</v>
      </c>
      <c r="D189" t="s">
        <v>2</v>
      </c>
      <c r="E189" t="s">
        <v>384</v>
      </c>
      <c r="F189" t="s">
        <v>13</v>
      </c>
      <c r="G189" t="s">
        <v>525</v>
      </c>
    </row>
    <row r="190" spans="1:7" x14ac:dyDescent="0.3">
      <c r="A190">
        <v>0</v>
      </c>
      <c r="B190" t="s">
        <v>319</v>
      </c>
      <c r="C190" t="s">
        <v>464</v>
      </c>
      <c r="D190" t="s">
        <v>2</v>
      </c>
      <c r="E190" t="s">
        <v>464</v>
      </c>
      <c r="F190" t="s">
        <v>13</v>
      </c>
      <c r="G190" t="s">
        <v>525</v>
      </c>
    </row>
    <row r="191" spans="1:7" x14ac:dyDescent="0.3">
      <c r="A191">
        <v>0</v>
      </c>
      <c r="B191" t="s">
        <v>312</v>
      </c>
      <c r="C191" t="s">
        <v>323</v>
      </c>
      <c r="D191" t="s">
        <v>2</v>
      </c>
      <c r="E191" t="s">
        <v>323</v>
      </c>
      <c r="F191" t="s">
        <v>13</v>
      </c>
      <c r="G191" t="s">
        <v>525</v>
      </c>
    </row>
    <row r="192" spans="1:7" x14ac:dyDescent="0.3">
      <c r="A192">
        <v>0</v>
      </c>
      <c r="B192" t="s">
        <v>314</v>
      </c>
      <c r="C192" t="s">
        <v>414</v>
      </c>
      <c r="D192" t="s">
        <v>2</v>
      </c>
      <c r="E192" t="s">
        <v>414</v>
      </c>
      <c r="F192" t="s">
        <v>13</v>
      </c>
      <c r="G192" t="s">
        <v>525</v>
      </c>
    </row>
    <row r="193" spans="1:7" x14ac:dyDescent="0.3">
      <c r="A193">
        <v>0</v>
      </c>
      <c r="B193" t="s">
        <v>312</v>
      </c>
      <c r="C193" t="s">
        <v>261</v>
      </c>
      <c r="D193" t="s">
        <v>2</v>
      </c>
      <c r="E193" t="s">
        <v>261</v>
      </c>
      <c r="F193" t="s">
        <v>13</v>
      </c>
      <c r="G193" t="s">
        <v>525</v>
      </c>
    </row>
    <row r="194" spans="1:7" x14ac:dyDescent="0.3">
      <c r="A194">
        <v>0</v>
      </c>
      <c r="B194" t="s">
        <v>319</v>
      </c>
      <c r="C194" t="s">
        <v>364</v>
      </c>
      <c r="D194" t="s">
        <v>2</v>
      </c>
      <c r="E194" t="s">
        <v>364</v>
      </c>
      <c r="F194" t="s">
        <v>13</v>
      </c>
      <c r="G194" t="s">
        <v>525</v>
      </c>
    </row>
    <row r="195" spans="1:7" x14ac:dyDescent="0.3">
      <c r="A195">
        <v>0</v>
      </c>
      <c r="B195" t="s">
        <v>312</v>
      </c>
      <c r="C195" t="s">
        <v>373</v>
      </c>
      <c r="D195" t="s">
        <v>2</v>
      </c>
      <c r="E195" t="s">
        <v>373</v>
      </c>
      <c r="F195" t="s">
        <v>13</v>
      </c>
      <c r="G195" t="s">
        <v>525</v>
      </c>
    </row>
    <row r="196" spans="1:7" x14ac:dyDescent="0.3">
      <c r="A196">
        <v>0</v>
      </c>
      <c r="B196" t="s">
        <v>312</v>
      </c>
      <c r="C196" t="s">
        <v>482</v>
      </c>
      <c r="D196" t="s">
        <v>2</v>
      </c>
      <c r="E196" t="s">
        <v>482</v>
      </c>
      <c r="F196" t="s">
        <v>13</v>
      </c>
      <c r="G196" t="s">
        <v>525</v>
      </c>
    </row>
    <row r="197" spans="1:7" x14ac:dyDescent="0.3">
      <c r="A197">
        <v>0</v>
      </c>
      <c r="B197" t="s">
        <v>312</v>
      </c>
      <c r="C197" t="s">
        <v>412</v>
      </c>
      <c r="D197" t="s">
        <v>2</v>
      </c>
      <c r="E197" t="s">
        <v>412</v>
      </c>
      <c r="F197" t="s">
        <v>13</v>
      </c>
      <c r="G197" t="s">
        <v>525</v>
      </c>
    </row>
    <row r="198" spans="1:7" x14ac:dyDescent="0.3">
      <c r="A198">
        <v>0</v>
      </c>
      <c r="B198" t="s">
        <v>312</v>
      </c>
      <c r="C198" t="s">
        <v>434</v>
      </c>
      <c r="D198" t="s">
        <v>2</v>
      </c>
      <c r="E198" t="s">
        <v>434</v>
      </c>
      <c r="F198" t="s">
        <v>13</v>
      </c>
      <c r="G198" t="s">
        <v>525</v>
      </c>
    </row>
    <row r="199" spans="1:7" x14ac:dyDescent="0.3">
      <c r="A199">
        <v>0</v>
      </c>
      <c r="B199" t="s">
        <v>314</v>
      </c>
      <c r="C199" t="s">
        <v>443</v>
      </c>
      <c r="D199" t="s">
        <v>2</v>
      </c>
      <c r="E199" t="s">
        <v>443</v>
      </c>
      <c r="F199" t="s">
        <v>13</v>
      </c>
      <c r="G199" t="s">
        <v>525</v>
      </c>
    </row>
    <row r="200" spans="1:7" x14ac:dyDescent="0.3">
      <c r="A200">
        <v>0</v>
      </c>
      <c r="B200" t="s">
        <v>319</v>
      </c>
      <c r="C200" t="s">
        <v>430</v>
      </c>
      <c r="D200" t="s">
        <v>2</v>
      </c>
      <c r="E200" t="s">
        <v>430</v>
      </c>
      <c r="F200" t="s">
        <v>13</v>
      </c>
      <c r="G200" t="s">
        <v>525</v>
      </c>
    </row>
    <row r="201" spans="1:7" x14ac:dyDescent="0.3">
      <c r="A201">
        <v>0</v>
      </c>
      <c r="B201" t="s">
        <v>314</v>
      </c>
      <c r="C201" t="s">
        <v>408</v>
      </c>
      <c r="D201" t="s">
        <v>2</v>
      </c>
      <c r="E201" t="s">
        <v>408</v>
      </c>
      <c r="F201" t="s">
        <v>13</v>
      </c>
      <c r="G201" t="s">
        <v>525</v>
      </c>
    </row>
    <row r="202" spans="1:7" x14ac:dyDescent="0.3">
      <c r="A202">
        <v>0</v>
      </c>
      <c r="B202" t="s">
        <v>312</v>
      </c>
      <c r="C202" t="s">
        <v>138</v>
      </c>
      <c r="D202" t="s">
        <v>2</v>
      </c>
      <c r="E202" t="s">
        <v>138</v>
      </c>
      <c r="F202" t="s">
        <v>13</v>
      </c>
      <c r="G202" t="s">
        <v>525</v>
      </c>
    </row>
    <row r="203" spans="1:7" x14ac:dyDescent="0.3">
      <c r="A203">
        <v>0</v>
      </c>
      <c r="B203" t="s">
        <v>312</v>
      </c>
      <c r="C203" t="s">
        <v>275</v>
      </c>
      <c r="D203" t="s">
        <v>2</v>
      </c>
      <c r="E203" t="s">
        <v>275</v>
      </c>
      <c r="F203" t="s">
        <v>13</v>
      </c>
      <c r="G203" t="s">
        <v>525</v>
      </c>
    </row>
    <row r="204" spans="1:7" x14ac:dyDescent="0.3">
      <c r="A204">
        <v>0</v>
      </c>
      <c r="B204" t="s">
        <v>312</v>
      </c>
      <c r="C204" t="s">
        <v>337</v>
      </c>
      <c r="D204" t="s">
        <v>2</v>
      </c>
      <c r="E204" t="s">
        <v>337</v>
      </c>
      <c r="F204" t="s">
        <v>13</v>
      </c>
      <c r="G204" t="s">
        <v>525</v>
      </c>
    </row>
    <row r="205" spans="1:7" x14ac:dyDescent="0.3">
      <c r="A205">
        <v>0</v>
      </c>
      <c r="B205" t="s">
        <v>312</v>
      </c>
      <c r="C205" t="s">
        <v>331</v>
      </c>
      <c r="D205" t="s">
        <v>2</v>
      </c>
      <c r="E205" t="s">
        <v>331</v>
      </c>
      <c r="F205" t="s">
        <v>13</v>
      </c>
      <c r="G205" t="s">
        <v>525</v>
      </c>
    </row>
    <row r="206" spans="1:7" x14ac:dyDescent="0.3">
      <c r="A206">
        <v>0</v>
      </c>
      <c r="B206" t="s">
        <v>312</v>
      </c>
      <c r="C206" t="s">
        <v>452</v>
      </c>
      <c r="D206" t="s">
        <v>2</v>
      </c>
      <c r="E206" t="s">
        <v>452</v>
      </c>
      <c r="F206" t="s">
        <v>13</v>
      </c>
      <c r="G206" t="s">
        <v>525</v>
      </c>
    </row>
    <row r="207" spans="1:7" x14ac:dyDescent="0.3">
      <c r="A207">
        <v>0</v>
      </c>
      <c r="B207" t="s">
        <v>319</v>
      </c>
      <c r="C207" t="s">
        <v>477</v>
      </c>
      <c r="D207" t="s">
        <v>2</v>
      </c>
      <c r="E207" t="s">
        <v>477</v>
      </c>
      <c r="F207" t="s">
        <v>13</v>
      </c>
      <c r="G207" t="s">
        <v>525</v>
      </c>
    </row>
    <row r="208" spans="1:7" x14ac:dyDescent="0.3">
      <c r="A208">
        <v>0</v>
      </c>
      <c r="B208" t="s">
        <v>312</v>
      </c>
      <c r="C208" t="s">
        <v>446</v>
      </c>
      <c r="D208" t="s">
        <v>2</v>
      </c>
      <c r="E208" t="s">
        <v>446</v>
      </c>
      <c r="F208" t="s">
        <v>13</v>
      </c>
      <c r="G208" t="s">
        <v>525</v>
      </c>
    </row>
    <row r="209" spans="1:7" x14ac:dyDescent="0.3">
      <c r="A209">
        <v>0</v>
      </c>
      <c r="B209" t="s">
        <v>319</v>
      </c>
      <c r="C209" t="s">
        <v>491</v>
      </c>
      <c r="D209" t="s">
        <v>2</v>
      </c>
      <c r="E209" t="s">
        <v>491</v>
      </c>
      <c r="F209" t="s">
        <v>13</v>
      </c>
      <c r="G209" t="s">
        <v>525</v>
      </c>
    </row>
    <row r="210" spans="1:7" x14ac:dyDescent="0.3">
      <c r="A210">
        <v>0</v>
      </c>
      <c r="B210" t="s">
        <v>312</v>
      </c>
      <c r="C210" t="s">
        <v>326</v>
      </c>
      <c r="D210" t="s">
        <v>2</v>
      </c>
      <c r="E210" t="s">
        <v>326</v>
      </c>
      <c r="F210" t="s">
        <v>13</v>
      </c>
      <c r="G210" t="s">
        <v>525</v>
      </c>
    </row>
    <row r="211" spans="1:7" x14ac:dyDescent="0.3">
      <c r="A211">
        <v>0</v>
      </c>
      <c r="B211" t="s">
        <v>319</v>
      </c>
      <c r="C211" t="s">
        <v>415</v>
      </c>
      <c r="D211" t="s">
        <v>2</v>
      </c>
      <c r="E211" t="s">
        <v>415</v>
      </c>
      <c r="F211" t="s">
        <v>13</v>
      </c>
      <c r="G211" t="s">
        <v>525</v>
      </c>
    </row>
    <row r="212" spans="1:7" x14ac:dyDescent="0.3">
      <c r="A212">
        <v>0</v>
      </c>
      <c r="B212" t="s">
        <v>314</v>
      </c>
      <c r="C212" t="s">
        <v>451</v>
      </c>
      <c r="D212" t="s">
        <v>2</v>
      </c>
      <c r="E212" t="s">
        <v>451</v>
      </c>
      <c r="F212" t="s">
        <v>13</v>
      </c>
      <c r="G212" t="s">
        <v>525</v>
      </c>
    </row>
    <row r="213" spans="1:7" x14ac:dyDescent="0.3">
      <c r="A213">
        <v>0</v>
      </c>
      <c r="B213" t="s">
        <v>314</v>
      </c>
      <c r="C213" t="s">
        <v>448</v>
      </c>
      <c r="D213" t="s">
        <v>2</v>
      </c>
      <c r="E213" t="s">
        <v>448</v>
      </c>
      <c r="F213" t="s">
        <v>13</v>
      </c>
      <c r="G213" t="s">
        <v>525</v>
      </c>
    </row>
    <row r="214" spans="1:7" x14ac:dyDescent="0.3">
      <c r="A214">
        <v>0</v>
      </c>
      <c r="B214" t="s">
        <v>312</v>
      </c>
      <c r="C214" t="s">
        <v>423</v>
      </c>
      <c r="D214" t="s">
        <v>2</v>
      </c>
      <c r="E214" t="s">
        <v>423</v>
      </c>
      <c r="F214" t="s">
        <v>13</v>
      </c>
      <c r="G214" t="s">
        <v>525</v>
      </c>
    </row>
    <row r="215" spans="1:7" x14ac:dyDescent="0.3">
      <c r="A215">
        <v>0</v>
      </c>
      <c r="B215" t="s">
        <v>319</v>
      </c>
      <c r="C215" t="s">
        <v>361</v>
      </c>
      <c r="D215" t="s">
        <v>2</v>
      </c>
      <c r="E215" t="s">
        <v>361</v>
      </c>
      <c r="F215" t="s">
        <v>13</v>
      </c>
      <c r="G215" t="s">
        <v>525</v>
      </c>
    </row>
    <row r="216" spans="1:7" x14ac:dyDescent="0.3">
      <c r="A216">
        <v>0</v>
      </c>
      <c r="B216" t="s">
        <v>314</v>
      </c>
      <c r="C216" t="s">
        <v>467</v>
      </c>
      <c r="D216" t="s">
        <v>2</v>
      </c>
      <c r="E216" t="s">
        <v>467</v>
      </c>
      <c r="F216" t="s">
        <v>13</v>
      </c>
      <c r="G216" t="s">
        <v>525</v>
      </c>
    </row>
    <row r="217" spans="1:7" x14ac:dyDescent="0.3">
      <c r="A217">
        <v>0</v>
      </c>
      <c r="B217" t="s">
        <v>319</v>
      </c>
      <c r="C217" t="s">
        <v>420</v>
      </c>
      <c r="D217" t="s">
        <v>2</v>
      </c>
      <c r="E217" t="s">
        <v>420</v>
      </c>
      <c r="F217" t="s">
        <v>13</v>
      </c>
      <c r="G217" t="s">
        <v>525</v>
      </c>
    </row>
    <row r="218" spans="1:7" x14ac:dyDescent="0.3">
      <c r="A218">
        <v>0</v>
      </c>
      <c r="B218" t="s">
        <v>314</v>
      </c>
      <c r="C218" t="s">
        <v>487</v>
      </c>
      <c r="D218" t="s">
        <v>2</v>
      </c>
      <c r="E218" t="s">
        <v>487</v>
      </c>
      <c r="F218" t="s">
        <v>13</v>
      </c>
      <c r="G218" t="s">
        <v>525</v>
      </c>
    </row>
    <row r="219" spans="1:7" x14ac:dyDescent="0.3">
      <c r="A219">
        <v>0</v>
      </c>
      <c r="B219" t="s">
        <v>312</v>
      </c>
      <c r="C219" t="s">
        <v>149</v>
      </c>
      <c r="D219" t="s">
        <v>2</v>
      </c>
      <c r="E219" t="s">
        <v>149</v>
      </c>
      <c r="F219" t="s">
        <v>13</v>
      </c>
      <c r="G219" t="s">
        <v>525</v>
      </c>
    </row>
    <row r="220" spans="1:7" x14ac:dyDescent="0.3">
      <c r="A220">
        <v>0</v>
      </c>
      <c r="B220" t="s">
        <v>314</v>
      </c>
      <c r="C220" t="s">
        <v>377</v>
      </c>
      <c r="D220" t="s">
        <v>2</v>
      </c>
      <c r="E220" t="s">
        <v>377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403</v>
      </c>
      <c r="D221" t="s">
        <v>2</v>
      </c>
      <c r="E221" t="s">
        <v>403</v>
      </c>
      <c r="F221" t="s">
        <v>13</v>
      </c>
      <c r="G221" t="s">
        <v>525</v>
      </c>
    </row>
    <row r="222" spans="1:7" x14ac:dyDescent="0.3">
      <c r="A222">
        <v>0</v>
      </c>
      <c r="B222" t="s">
        <v>312</v>
      </c>
      <c r="C222" t="s">
        <v>387</v>
      </c>
      <c r="D222" t="s">
        <v>2</v>
      </c>
      <c r="E222" t="s">
        <v>387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431</v>
      </c>
      <c r="D223" t="s">
        <v>2</v>
      </c>
      <c r="E223" t="s">
        <v>431</v>
      </c>
      <c r="F223" t="s">
        <v>13</v>
      </c>
      <c r="G223" t="s">
        <v>525</v>
      </c>
    </row>
    <row r="224" spans="1:7" x14ac:dyDescent="0.3">
      <c r="A224">
        <v>0</v>
      </c>
      <c r="B224" t="s">
        <v>319</v>
      </c>
      <c r="C224" t="s">
        <v>459</v>
      </c>
      <c r="D224" t="s">
        <v>2</v>
      </c>
      <c r="E224" t="s">
        <v>459</v>
      </c>
      <c r="F224" t="s">
        <v>13</v>
      </c>
      <c r="G224" t="s">
        <v>525</v>
      </c>
    </row>
    <row r="225" spans="1:7" x14ac:dyDescent="0.3">
      <c r="A225">
        <v>0</v>
      </c>
      <c r="B225" t="s">
        <v>314</v>
      </c>
      <c r="C225" t="s">
        <v>376</v>
      </c>
      <c r="D225" t="s">
        <v>2</v>
      </c>
      <c r="E225" t="s">
        <v>376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379</v>
      </c>
      <c r="D226" t="s">
        <v>2</v>
      </c>
      <c r="E226" t="s">
        <v>379</v>
      </c>
      <c r="F226" t="s">
        <v>13</v>
      </c>
      <c r="G226" t="s">
        <v>525</v>
      </c>
    </row>
    <row r="227" spans="1:7" x14ac:dyDescent="0.3">
      <c r="A227">
        <v>0</v>
      </c>
      <c r="B227" t="s">
        <v>314</v>
      </c>
      <c r="C227" t="s">
        <v>445</v>
      </c>
      <c r="D227" t="s">
        <v>2</v>
      </c>
      <c r="E227" t="s">
        <v>445</v>
      </c>
      <c r="F227" t="s">
        <v>13</v>
      </c>
      <c r="G227" t="s">
        <v>525</v>
      </c>
    </row>
    <row r="228" spans="1:7" x14ac:dyDescent="0.3">
      <c r="A228">
        <v>0</v>
      </c>
      <c r="B228" t="s">
        <v>319</v>
      </c>
      <c r="C228" t="s">
        <v>460</v>
      </c>
      <c r="D228" t="s">
        <v>2</v>
      </c>
      <c r="E228" t="s">
        <v>460</v>
      </c>
      <c r="F228" t="s">
        <v>13</v>
      </c>
      <c r="G228" t="s">
        <v>525</v>
      </c>
    </row>
    <row r="229" spans="1:7" x14ac:dyDescent="0.3">
      <c r="A229">
        <v>0</v>
      </c>
      <c r="B229" t="s">
        <v>314</v>
      </c>
      <c r="C229" t="s">
        <v>450</v>
      </c>
      <c r="D229" t="s">
        <v>2</v>
      </c>
      <c r="E229" t="s">
        <v>450</v>
      </c>
      <c r="F229" t="s">
        <v>13</v>
      </c>
      <c r="G229" t="s">
        <v>525</v>
      </c>
    </row>
    <row r="230" spans="1:7" x14ac:dyDescent="0.3">
      <c r="A230">
        <v>0</v>
      </c>
      <c r="B230" t="s">
        <v>312</v>
      </c>
      <c r="C230" t="s">
        <v>473</v>
      </c>
      <c r="D230" t="s">
        <v>2</v>
      </c>
      <c r="E230" t="s">
        <v>473</v>
      </c>
      <c r="F230" t="s">
        <v>13</v>
      </c>
      <c r="G230" t="s">
        <v>525</v>
      </c>
    </row>
    <row r="231" spans="1:7" x14ac:dyDescent="0.3">
      <c r="A231">
        <v>0</v>
      </c>
      <c r="B231" t="s">
        <v>314</v>
      </c>
      <c r="C231" t="s">
        <v>313</v>
      </c>
      <c r="D231" t="s">
        <v>2</v>
      </c>
      <c r="E231" t="s">
        <v>313</v>
      </c>
      <c r="F231" t="s">
        <v>13</v>
      </c>
      <c r="G231" t="s">
        <v>525</v>
      </c>
    </row>
    <row r="232" spans="1:7" x14ac:dyDescent="0.3">
      <c r="A232">
        <v>0</v>
      </c>
      <c r="B232" t="s">
        <v>312</v>
      </c>
      <c r="C232" t="s">
        <v>472</v>
      </c>
      <c r="D232" t="s">
        <v>2</v>
      </c>
      <c r="E232" t="s">
        <v>472</v>
      </c>
      <c r="F232" t="s">
        <v>13</v>
      </c>
      <c r="G232" t="s">
        <v>525</v>
      </c>
    </row>
    <row r="233" spans="1:7" x14ac:dyDescent="0.3">
      <c r="A233">
        <v>0</v>
      </c>
      <c r="B233" t="s">
        <v>312</v>
      </c>
      <c r="C233" t="s">
        <v>402</v>
      </c>
      <c r="D233" t="s">
        <v>2</v>
      </c>
      <c r="E233" t="s">
        <v>402</v>
      </c>
      <c r="F233" t="s">
        <v>13</v>
      </c>
      <c r="G233" t="s">
        <v>525</v>
      </c>
    </row>
    <row r="234" spans="1:7" x14ac:dyDescent="0.3">
      <c r="A234">
        <v>0</v>
      </c>
      <c r="B234" t="s">
        <v>314</v>
      </c>
      <c r="C234" t="s">
        <v>455</v>
      </c>
      <c r="D234" t="s">
        <v>2</v>
      </c>
      <c r="E234" t="s">
        <v>455</v>
      </c>
      <c r="F234" t="s">
        <v>13</v>
      </c>
      <c r="G234" t="s">
        <v>525</v>
      </c>
    </row>
    <row r="235" spans="1:7" x14ac:dyDescent="0.3">
      <c r="A235">
        <v>0</v>
      </c>
      <c r="B235" t="s">
        <v>312</v>
      </c>
      <c r="C235" t="s">
        <v>411</v>
      </c>
      <c r="D235" t="s">
        <v>2</v>
      </c>
      <c r="E235" t="s">
        <v>411</v>
      </c>
      <c r="F235" t="s">
        <v>13</v>
      </c>
      <c r="G235" t="s">
        <v>525</v>
      </c>
    </row>
    <row r="236" spans="1:7" x14ac:dyDescent="0.3">
      <c r="A236">
        <v>0</v>
      </c>
      <c r="B236" t="s">
        <v>312</v>
      </c>
      <c r="C236" t="s">
        <v>488</v>
      </c>
      <c r="D236" t="s">
        <v>2</v>
      </c>
      <c r="E236" t="s">
        <v>488</v>
      </c>
      <c r="F236" t="s">
        <v>13</v>
      </c>
      <c r="G236" t="s">
        <v>525</v>
      </c>
    </row>
    <row r="237" spans="1:7" x14ac:dyDescent="0.3">
      <c r="A237">
        <v>0</v>
      </c>
      <c r="B237" t="s">
        <v>319</v>
      </c>
      <c r="C237" t="s">
        <v>462</v>
      </c>
      <c r="D237" t="s">
        <v>2</v>
      </c>
      <c r="E237" t="s">
        <v>462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246</v>
      </c>
      <c r="D238" t="s">
        <v>2</v>
      </c>
      <c r="E238" t="s">
        <v>246</v>
      </c>
      <c r="F238" t="s">
        <v>13</v>
      </c>
      <c r="G238" t="s">
        <v>525</v>
      </c>
    </row>
    <row r="239" spans="1:7" x14ac:dyDescent="0.3">
      <c r="A239">
        <v>0</v>
      </c>
      <c r="B239" t="s">
        <v>312</v>
      </c>
      <c r="C239" t="s">
        <v>357</v>
      </c>
      <c r="D239" t="s">
        <v>2</v>
      </c>
      <c r="E239" t="s">
        <v>357</v>
      </c>
      <c r="F239" t="s">
        <v>13</v>
      </c>
      <c r="G239" t="s">
        <v>525</v>
      </c>
    </row>
    <row r="240" spans="1:7" x14ac:dyDescent="0.3">
      <c r="A240">
        <v>0</v>
      </c>
      <c r="B240" t="s">
        <v>314</v>
      </c>
      <c r="C240" t="s">
        <v>341</v>
      </c>
      <c r="D240" t="s">
        <v>2</v>
      </c>
      <c r="E240" t="s">
        <v>341</v>
      </c>
      <c r="F240" t="s">
        <v>13</v>
      </c>
      <c r="G240" t="s">
        <v>525</v>
      </c>
    </row>
    <row r="241" spans="1:7" x14ac:dyDescent="0.3">
      <c r="A241">
        <v>0</v>
      </c>
      <c r="B241" t="s">
        <v>319</v>
      </c>
      <c r="C241" t="s">
        <v>466</v>
      </c>
      <c r="D241" t="s">
        <v>2</v>
      </c>
      <c r="E241" t="s">
        <v>466</v>
      </c>
      <c r="F241" t="s">
        <v>13</v>
      </c>
      <c r="G241" t="s">
        <v>525</v>
      </c>
    </row>
    <row r="242" spans="1:7" x14ac:dyDescent="0.3">
      <c r="A242">
        <v>0</v>
      </c>
      <c r="B242" t="s">
        <v>319</v>
      </c>
      <c r="C242" t="s">
        <v>362</v>
      </c>
      <c r="D242" t="s">
        <v>2</v>
      </c>
      <c r="E242" t="s">
        <v>362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433</v>
      </c>
      <c r="D243" t="s">
        <v>2</v>
      </c>
      <c r="E243" t="s">
        <v>433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397</v>
      </c>
      <c r="D244" t="s">
        <v>2</v>
      </c>
      <c r="E244" t="s">
        <v>397</v>
      </c>
      <c r="F244" t="s">
        <v>13</v>
      </c>
      <c r="G244" t="s">
        <v>525</v>
      </c>
    </row>
    <row r="245" spans="1:7" x14ac:dyDescent="0.3">
      <c r="A245">
        <v>0</v>
      </c>
      <c r="B245" t="s">
        <v>319</v>
      </c>
      <c r="C245" t="s">
        <v>378</v>
      </c>
      <c r="D245" t="s">
        <v>2</v>
      </c>
      <c r="E245" t="s">
        <v>378</v>
      </c>
      <c r="F245" t="s">
        <v>13</v>
      </c>
      <c r="G245" t="s">
        <v>525</v>
      </c>
    </row>
    <row r="246" spans="1:7" x14ac:dyDescent="0.3">
      <c r="A246">
        <v>0</v>
      </c>
      <c r="B246" t="s">
        <v>105</v>
      </c>
      <c r="C246" t="s">
        <v>117</v>
      </c>
      <c r="D246" t="s">
        <v>2</v>
      </c>
      <c r="E246" t="s">
        <v>117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476</v>
      </c>
      <c r="D247" t="s">
        <v>2</v>
      </c>
      <c r="E247" t="s">
        <v>476</v>
      </c>
      <c r="F247" t="s">
        <v>13</v>
      </c>
      <c r="G247" t="s">
        <v>525</v>
      </c>
    </row>
    <row r="248" spans="1:7" x14ac:dyDescent="0.3">
      <c r="A248">
        <v>0</v>
      </c>
      <c r="B248" t="s">
        <v>319</v>
      </c>
      <c r="C248" t="s">
        <v>478</v>
      </c>
      <c r="D248" t="s">
        <v>2</v>
      </c>
      <c r="E248" t="s">
        <v>478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367</v>
      </c>
      <c r="D249" t="s">
        <v>2</v>
      </c>
      <c r="E249" t="s">
        <v>367</v>
      </c>
      <c r="F249" t="s">
        <v>13</v>
      </c>
      <c r="G249" t="s">
        <v>525</v>
      </c>
    </row>
    <row r="250" spans="1:7" x14ac:dyDescent="0.3">
      <c r="A250">
        <v>0</v>
      </c>
      <c r="B250" t="s">
        <v>312</v>
      </c>
      <c r="C250" t="s">
        <v>346</v>
      </c>
      <c r="D250" t="s">
        <v>2</v>
      </c>
      <c r="E250" t="s">
        <v>346</v>
      </c>
      <c r="F250" t="s">
        <v>13</v>
      </c>
      <c r="G250" t="s">
        <v>525</v>
      </c>
    </row>
    <row r="251" spans="1:7" x14ac:dyDescent="0.3">
      <c r="A251">
        <v>0</v>
      </c>
      <c r="B251" t="s">
        <v>105</v>
      </c>
      <c r="C251" t="s">
        <v>119</v>
      </c>
      <c r="D251" t="s">
        <v>2</v>
      </c>
      <c r="E251" t="s">
        <v>119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385</v>
      </c>
      <c r="D252" t="s">
        <v>2</v>
      </c>
      <c r="E252" t="s">
        <v>385</v>
      </c>
      <c r="F252" t="s">
        <v>13</v>
      </c>
      <c r="G252" t="s">
        <v>525</v>
      </c>
    </row>
    <row r="253" spans="1:7" x14ac:dyDescent="0.3">
      <c r="A253">
        <v>0</v>
      </c>
      <c r="B253" t="s">
        <v>57</v>
      </c>
      <c r="C253" t="s">
        <v>120</v>
      </c>
      <c r="D253" t="s">
        <v>2</v>
      </c>
      <c r="E253" t="s">
        <v>120</v>
      </c>
      <c r="F253" t="s">
        <v>13</v>
      </c>
      <c r="G253" t="s">
        <v>525</v>
      </c>
    </row>
    <row r="254" spans="1:7" x14ac:dyDescent="0.3">
      <c r="A254">
        <v>0</v>
      </c>
      <c r="B254" t="s">
        <v>312</v>
      </c>
      <c r="C254" t="s">
        <v>324</v>
      </c>
      <c r="D254" t="s">
        <v>2</v>
      </c>
      <c r="E254" t="s">
        <v>324</v>
      </c>
      <c r="F254" t="s">
        <v>13</v>
      </c>
      <c r="G254" t="s">
        <v>525</v>
      </c>
    </row>
    <row r="255" spans="1:7" x14ac:dyDescent="0.3">
      <c r="A255">
        <v>0</v>
      </c>
      <c r="B255" t="s">
        <v>312</v>
      </c>
      <c r="C255" t="s">
        <v>327</v>
      </c>
      <c r="D255" t="s">
        <v>2</v>
      </c>
      <c r="E255" t="s">
        <v>327</v>
      </c>
      <c r="F255" t="s">
        <v>13</v>
      </c>
      <c r="G255" t="s">
        <v>525</v>
      </c>
    </row>
    <row r="256" spans="1:7" x14ac:dyDescent="0.3">
      <c r="A256">
        <v>0</v>
      </c>
      <c r="B256" t="s">
        <v>314</v>
      </c>
      <c r="C256" t="s">
        <v>441</v>
      </c>
      <c r="D256" t="s">
        <v>2</v>
      </c>
      <c r="E256" t="s">
        <v>441</v>
      </c>
      <c r="F256" t="s">
        <v>13</v>
      </c>
      <c r="G256" t="s">
        <v>525</v>
      </c>
    </row>
    <row r="257" spans="1:7" x14ac:dyDescent="0.3">
      <c r="A257">
        <v>0</v>
      </c>
      <c r="B257" t="s">
        <v>105</v>
      </c>
      <c r="C257" t="s">
        <v>115</v>
      </c>
      <c r="D257" t="s">
        <v>2</v>
      </c>
      <c r="E257" t="s">
        <v>115</v>
      </c>
      <c r="F257" t="s">
        <v>13</v>
      </c>
      <c r="G257" t="s">
        <v>525</v>
      </c>
    </row>
    <row r="258" spans="1:7" x14ac:dyDescent="0.3">
      <c r="A258">
        <v>0</v>
      </c>
      <c r="B258" t="s">
        <v>312</v>
      </c>
      <c r="C258" t="s">
        <v>484</v>
      </c>
      <c r="D258" t="s">
        <v>2</v>
      </c>
      <c r="E258" t="s">
        <v>484</v>
      </c>
      <c r="F258" t="s">
        <v>13</v>
      </c>
      <c r="G258" t="s">
        <v>525</v>
      </c>
    </row>
    <row r="259" spans="1:7" x14ac:dyDescent="0.3">
      <c r="A259">
        <v>0</v>
      </c>
      <c r="B259" t="s">
        <v>312</v>
      </c>
      <c r="C259" t="s">
        <v>311</v>
      </c>
      <c r="D259" t="s">
        <v>2</v>
      </c>
      <c r="E259" t="s">
        <v>311</v>
      </c>
      <c r="F259" t="s">
        <v>13</v>
      </c>
      <c r="G259" t="s">
        <v>525</v>
      </c>
    </row>
    <row r="260" spans="1:7" x14ac:dyDescent="0.3">
      <c r="A260">
        <v>0</v>
      </c>
      <c r="B260" t="s">
        <v>312</v>
      </c>
      <c r="C260" t="s">
        <v>365</v>
      </c>
      <c r="D260" t="s">
        <v>2</v>
      </c>
      <c r="E260" t="s">
        <v>365</v>
      </c>
      <c r="F260" t="s">
        <v>13</v>
      </c>
      <c r="G260" t="s">
        <v>525</v>
      </c>
    </row>
    <row r="261" spans="1:7" x14ac:dyDescent="0.3">
      <c r="A261">
        <v>0</v>
      </c>
      <c r="B261" t="s">
        <v>314</v>
      </c>
      <c r="C261" t="s">
        <v>350</v>
      </c>
      <c r="D261" t="s">
        <v>2</v>
      </c>
      <c r="E261" t="s">
        <v>350</v>
      </c>
      <c r="F261" t="s">
        <v>13</v>
      </c>
      <c r="G261" t="s">
        <v>525</v>
      </c>
    </row>
    <row r="262" spans="1:7" x14ac:dyDescent="0.3">
      <c r="A262">
        <v>0</v>
      </c>
      <c r="B262" t="s">
        <v>105</v>
      </c>
      <c r="C262" t="s">
        <v>123</v>
      </c>
      <c r="D262" t="s">
        <v>2</v>
      </c>
      <c r="E262" t="s">
        <v>123</v>
      </c>
      <c r="F262" t="s">
        <v>13</v>
      </c>
      <c r="G262" t="s">
        <v>525</v>
      </c>
    </row>
    <row r="263" spans="1:7" x14ac:dyDescent="0.3">
      <c r="A263">
        <v>0</v>
      </c>
      <c r="B263" t="s">
        <v>312</v>
      </c>
      <c r="C263" t="s">
        <v>396</v>
      </c>
      <c r="D263" t="s">
        <v>2</v>
      </c>
      <c r="E263" t="s">
        <v>396</v>
      </c>
      <c r="F263" t="s">
        <v>13</v>
      </c>
      <c r="G263" t="s">
        <v>525</v>
      </c>
    </row>
    <row r="264" spans="1:7" x14ac:dyDescent="0.3">
      <c r="A264">
        <v>0</v>
      </c>
      <c r="B264" t="s">
        <v>312</v>
      </c>
      <c r="C264" t="s">
        <v>428</v>
      </c>
      <c r="D264" t="s">
        <v>2</v>
      </c>
      <c r="E264" t="s">
        <v>428</v>
      </c>
      <c r="F264" t="s">
        <v>13</v>
      </c>
      <c r="G264" t="s">
        <v>525</v>
      </c>
    </row>
    <row r="265" spans="1:7" x14ac:dyDescent="0.3">
      <c r="A265">
        <v>0</v>
      </c>
      <c r="B265" t="s">
        <v>312</v>
      </c>
      <c r="C265" t="s">
        <v>383</v>
      </c>
      <c r="D265" t="s">
        <v>2</v>
      </c>
      <c r="E265" t="s">
        <v>383</v>
      </c>
      <c r="F265" t="s">
        <v>13</v>
      </c>
      <c r="G265" t="s">
        <v>525</v>
      </c>
    </row>
    <row r="266" spans="1:7" x14ac:dyDescent="0.3">
      <c r="A266">
        <v>0</v>
      </c>
      <c r="B266" t="s">
        <v>312</v>
      </c>
      <c r="C266" t="s">
        <v>426</v>
      </c>
      <c r="D266" t="s">
        <v>2</v>
      </c>
      <c r="E266" t="s">
        <v>426</v>
      </c>
      <c r="F266" t="s">
        <v>13</v>
      </c>
      <c r="G266" t="s">
        <v>525</v>
      </c>
    </row>
    <row r="267" spans="1:7" x14ac:dyDescent="0.3">
      <c r="A267">
        <v>0</v>
      </c>
      <c r="B267" t="s">
        <v>312</v>
      </c>
      <c r="C267" t="s">
        <v>437</v>
      </c>
      <c r="D267" t="s">
        <v>2</v>
      </c>
      <c r="E267" t="s">
        <v>437</v>
      </c>
      <c r="F267" t="s">
        <v>13</v>
      </c>
      <c r="G267" t="s">
        <v>525</v>
      </c>
    </row>
    <row r="268" spans="1:7" x14ac:dyDescent="0.3">
      <c r="A268">
        <v>0</v>
      </c>
      <c r="B268" t="s">
        <v>312</v>
      </c>
      <c r="C268" t="s">
        <v>454</v>
      </c>
      <c r="D268" t="s">
        <v>2</v>
      </c>
      <c r="E268" t="s">
        <v>454</v>
      </c>
      <c r="F268" t="s">
        <v>13</v>
      </c>
      <c r="G268" t="s">
        <v>525</v>
      </c>
    </row>
    <row r="269" spans="1:7" x14ac:dyDescent="0.3">
      <c r="A269">
        <v>0</v>
      </c>
      <c r="B269" t="s">
        <v>312</v>
      </c>
      <c r="C269" t="s">
        <v>425</v>
      </c>
      <c r="D269" t="s">
        <v>2</v>
      </c>
      <c r="E269" t="s">
        <v>425</v>
      </c>
      <c r="F269" t="s">
        <v>13</v>
      </c>
      <c r="G269" t="s">
        <v>525</v>
      </c>
    </row>
    <row r="270" spans="1:7" x14ac:dyDescent="0.3">
      <c r="A270">
        <v>0</v>
      </c>
      <c r="B270" t="s">
        <v>312</v>
      </c>
      <c r="C270" t="s">
        <v>344</v>
      </c>
      <c r="D270" t="s">
        <v>2</v>
      </c>
      <c r="E270" t="s">
        <v>344</v>
      </c>
      <c r="F270" t="s">
        <v>13</v>
      </c>
      <c r="G270" t="s">
        <v>525</v>
      </c>
    </row>
    <row r="271" spans="1:7" x14ac:dyDescent="0.3">
      <c r="A271">
        <v>0</v>
      </c>
      <c r="B271" t="s">
        <v>312</v>
      </c>
      <c r="C271" t="s">
        <v>407</v>
      </c>
      <c r="D271" t="s">
        <v>2</v>
      </c>
      <c r="E271" t="s">
        <v>407</v>
      </c>
      <c r="F271" t="s">
        <v>13</v>
      </c>
      <c r="G271" t="s">
        <v>525</v>
      </c>
    </row>
    <row r="272" spans="1:7" x14ac:dyDescent="0.3">
      <c r="A272">
        <v>0</v>
      </c>
      <c r="B272" t="s">
        <v>314</v>
      </c>
      <c r="C272" t="s">
        <v>413</v>
      </c>
      <c r="D272" t="s">
        <v>2</v>
      </c>
      <c r="E272" t="s">
        <v>413</v>
      </c>
      <c r="F272" t="s">
        <v>13</v>
      </c>
      <c r="G272" t="s">
        <v>525</v>
      </c>
    </row>
    <row r="273" spans="1:7" x14ac:dyDescent="0.3">
      <c r="A273">
        <v>0</v>
      </c>
      <c r="B273" t="s">
        <v>312</v>
      </c>
      <c r="C273" t="s">
        <v>392</v>
      </c>
      <c r="D273" t="s">
        <v>2</v>
      </c>
      <c r="E273" t="s">
        <v>392</v>
      </c>
      <c r="F273" t="s">
        <v>13</v>
      </c>
      <c r="G273" t="s">
        <v>525</v>
      </c>
    </row>
    <row r="274" spans="1:7" x14ac:dyDescent="0.3">
      <c r="A274">
        <v>0</v>
      </c>
      <c r="B274" t="s">
        <v>319</v>
      </c>
      <c r="C274" t="s">
        <v>422</v>
      </c>
      <c r="D274" t="s">
        <v>2</v>
      </c>
      <c r="E274" t="s">
        <v>422</v>
      </c>
      <c r="F274" t="s">
        <v>13</v>
      </c>
      <c r="G274" t="s">
        <v>525</v>
      </c>
    </row>
    <row r="275" spans="1:7" x14ac:dyDescent="0.3">
      <c r="A275">
        <v>0</v>
      </c>
      <c r="B275" t="s">
        <v>314</v>
      </c>
      <c r="C275" t="s">
        <v>495</v>
      </c>
      <c r="D275" t="s">
        <v>494</v>
      </c>
      <c r="E275" t="s">
        <v>495</v>
      </c>
      <c r="F275" t="s">
        <v>13</v>
      </c>
      <c r="G275" t="s">
        <v>525</v>
      </c>
    </row>
    <row r="276" spans="1:7" x14ac:dyDescent="0.3">
      <c r="A276">
        <v>0</v>
      </c>
      <c r="B276" t="s">
        <v>314</v>
      </c>
      <c r="C276" t="s">
        <v>497</v>
      </c>
      <c r="D276" t="s">
        <v>494</v>
      </c>
      <c r="E276" t="s">
        <v>497</v>
      </c>
      <c r="F276" t="s">
        <v>13</v>
      </c>
      <c r="G276" t="s">
        <v>525</v>
      </c>
    </row>
    <row r="277" spans="1:7" x14ac:dyDescent="0.3">
      <c r="A277">
        <v>0</v>
      </c>
      <c r="B277" t="s">
        <v>314</v>
      </c>
      <c r="C277" t="s">
        <v>496</v>
      </c>
      <c r="D277" t="s">
        <v>494</v>
      </c>
      <c r="E277" t="s">
        <v>496</v>
      </c>
      <c r="F277" t="s">
        <v>13</v>
      </c>
      <c r="G277" t="s">
        <v>525</v>
      </c>
    </row>
    <row r="278" spans="1:7" x14ac:dyDescent="0.3">
      <c r="A278">
        <v>0</v>
      </c>
      <c r="B278" t="s">
        <v>312</v>
      </c>
      <c r="C278" t="s">
        <v>513</v>
      </c>
      <c r="D278" t="s">
        <v>498</v>
      </c>
      <c r="E278" t="s">
        <v>513</v>
      </c>
      <c r="F278" t="s">
        <v>13</v>
      </c>
      <c r="G278" t="s">
        <v>525</v>
      </c>
    </row>
    <row r="279" spans="1:7" x14ac:dyDescent="0.3">
      <c r="A279">
        <v>0</v>
      </c>
      <c r="B279" t="s">
        <v>312</v>
      </c>
      <c r="C279" t="s">
        <v>515</v>
      </c>
      <c r="D279" t="s">
        <v>498</v>
      </c>
      <c r="E279" t="s">
        <v>515</v>
      </c>
      <c r="F279" t="s">
        <v>13</v>
      </c>
      <c r="G279" t="s">
        <v>525</v>
      </c>
    </row>
    <row r="280" spans="1:7" x14ac:dyDescent="0.3">
      <c r="A280">
        <v>0</v>
      </c>
      <c r="B280" t="s">
        <v>312</v>
      </c>
      <c r="C280" t="s">
        <v>509</v>
      </c>
      <c r="D280" t="s">
        <v>498</v>
      </c>
      <c r="E280" t="s">
        <v>509</v>
      </c>
      <c r="F280" t="s">
        <v>13</v>
      </c>
      <c r="G280" t="s">
        <v>525</v>
      </c>
    </row>
    <row r="281" spans="1:7" x14ac:dyDescent="0.3">
      <c r="A281">
        <v>0</v>
      </c>
      <c r="B281" t="s">
        <v>312</v>
      </c>
      <c r="C281" t="s">
        <v>502</v>
      </c>
      <c r="D281" t="s">
        <v>498</v>
      </c>
      <c r="E281" t="s">
        <v>502</v>
      </c>
      <c r="F281" t="s">
        <v>13</v>
      </c>
      <c r="G281" t="s">
        <v>525</v>
      </c>
    </row>
    <row r="282" spans="1:7" x14ac:dyDescent="0.3">
      <c r="A282">
        <v>0</v>
      </c>
      <c r="B282" t="s">
        <v>312</v>
      </c>
      <c r="C282" t="s">
        <v>500</v>
      </c>
      <c r="D282" t="s">
        <v>498</v>
      </c>
      <c r="E282" t="s">
        <v>500</v>
      </c>
      <c r="F282" t="s">
        <v>13</v>
      </c>
      <c r="G282" t="s">
        <v>525</v>
      </c>
    </row>
    <row r="283" spans="1:7" x14ac:dyDescent="0.3">
      <c r="A283">
        <v>0</v>
      </c>
      <c r="B283" t="s">
        <v>507</v>
      </c>
      <c r="C283" t="s">
        <v>506</v>
      </c>
      <c r="D283" t="s">
        <v>498</v>
      </c>
      <c r="E283" t="s">
        <v>506</v>
      </c>
      <c r="F283" t="s">
        <v>13</v>
      </c>
      <c r="G283" t="s">
        <v>525</v>
      </c>
    </row>
    <row r="284" spans="1:7" x14ac:dyDescent="0.3">
      <c r="A284">
        <v>0</v>
      </c>
      <c r="B284" t="s">
        <v>312</v>
      </c>
      <c r="C284" t="s">
        <v>514</v>
      </c>
      <c r="D284" t="s">
        <v>498</v>
      </c>
      <c r="E284" t="s">
        <v>514</v>
      </c>
      <c r="F284" t="s">
        <v>13</v>
      </c>
      <c r="G284" t="s">
        <v>525</v>
      </c>
    </row>
    <row r="285" spans="1:7" x14ac:dyDescent="0.3">
      <c r="A285">
        <v>0</v>
      </c>
      <c r="B285" t="s">
        <v>312</v>
      </c>
      <c r="C285" t="s">
        <v>499</v>
      </c>
      <c r="D285" t="s">
        <v>498</v>
      </c>
      <c r="E285" t="s">
        <v>499</v>
      </c>
      <c r="F285" t="s">
        <v>13</v>
      </c>
      <c r="G285" t="s">
        <v>525</v>
      </c>
    </row>
    <row r="286" spans="1:7" x14ac:dyDescent="0.3">
      <c r="A286">
        <v>0</v>
      </c>
      <c r="B286" t="s">
        <v>312</v>
      </c>
      <c r="C286" t="s">
        <v>508</v>
      </c>
      <c r="D286" t="s">
        <v>498</v>
      </c>
      <c r="E286" t="s">
        <v>508</v>
      </c>
      <c r="F286" t="s">
        <v>13</v>
      </c>
      <c r="G286" t="s">
        <v>525</v>
      </c>
    </row>
    <row r="287" spans="1:7" x14ac:dyDescent="0.3">
      <c r="A287">
        <v>0</v>
      </c>
      <c r="B287" t="s">
        <v>312</v>
      </c>
      <c r="C287" t="s">
        <v>519</v>
      </c>
      <c r="D287" t="s">
        <v>498</v>
      </c>
      <c r="E287" t="s">
        <v>519</v>
      </c>
      <c r="F287" t="s">
        <v>13</v>
      </c>
      <c r="G287" t="s">
        <v>525</v>
      </c>
    </row>
    <row r="288" spans="1:7" x14ac:dyDescent="0.3">
      <c r="A288">
        <v>0</v>
      </c>
      <c r="B288" t="s">
        <v>312</v>
      </c>
      <c r="C288" t="s">
        <v>510</v>
      </c>
      <c r="D288" t="s">
        <v>498</v>
      </c>
      <c r="E288" t="s">
        <v>510</v>
      </c>
      <c r="F288" t="s">
        <v>13</v>
      </c>
      <c r="G288" t="s">
        <v>525</v>
      </c>
    </row>
    <row r="289" spans="1:7" x14ac:dyDescent="0.3">
      <c r="A289">
        <v>0</v>
      </c>
      <c r="B289" t="s">
        <v>312</v>
      </c>
      <c r="C289" t="s">
        <v>521</v>
      </c>
      <c r="D289" t="s">
        <v>498</v>
      </c>
      <c r="E289" t="s">
        <v>521</v>
      </c>
      <c r="F289" t="s">
        <v>13</v>
      </c>
      <c r="G289" t="s">
        <v>525</v>
      </c>
    </row>
    <row r="290" spans="1:7" x14ac:dyDescent="0.3">
      <c r="A290">
        <v>0</v>
      </c>
      <c r="B290" t="s">
        <v>312</v>
      </c>
      <c r="C290" t="s">
        <v>501</v>
      </c>
      <c r="D290" t="s">
        <v>498</v>
      </c>
      <c r="E290" t="s">
        <v>501</v>
      </c>
      <c r="F290" t="s">
        <v>13</v>
      </c>
      <c r="G290" t="s">
        <v>525</v>
      </c>
    </row>
    <row r="291" spans="1:7" x14ac:dyDescent="0.3">
      <c r="A291">
        <v>0</v>
      </c>
      <c r="B291" t="s">
        <v>312</v>
      </c>
      <c r="C291" t="s">
        <v>504</v>
      </c>
      <c r="D291" t="s">
        <v>498</v>
      </c>
      <c r="E291" t="s">
        <v>504</v>
      </c>
      <c r="F291" t="s">
        <v>13</v>
      </c>
      <c r="G291" t="s">
        <v>525</v>
      </c>
    </row>
    <row r="292" spans="1:7" x14ac:dyDescent="0.3">
      <c r="A292">
        <v>0</v>
      </c>
      <c r="B292" t="s">
        <v>312</v>
      </c>
      <c r="C292" t="s">
        <v>520</v>
      </c>
      <c r="D292" t="s">
        <v>498</v>
      </c>
      <c r="E292" t="s">
        <v>520</v>
      </c>
      <c r="F292" t="s">
        <v>13</v>
      </c>
      <c r="G292" t="s">
        <v>525</v>
      </c>
    </row>
    <row r="293" spans="1:7" x14ac:dyDescent="0.3">
      <c r="A293">
        <v>0</v>
      </c>
      <c r="B293" t="s">
        <v>312</v>
      </c>
      <c r="C293" t="s">
        <v>523</v>
      </c>
      <c r="D293" t="s">
        <v>498</v>
      </c>
      <c r="E293" t="s">
        <v>523</v>
      </c>
      <c r="F293" t="s">
        <v>13</v>
      </c>
      <c r="G293" t="s">
        <v>525</v>
      </c>
    </row>
    <row r="294" spans="1:7" x14ac:dyDescent="0.3">
      <c r="A294">
        <v>0</v>
      </c>
      <c r="B294" t="s">
        <v>312</v>
      </c>
      <c r="C294" t="s">
        <v>503</v>
      </c>
      <c r="D294" t="s">
        <v>498</v>
      </c>
      <c r="E294" t="s">
        <v>503</v>
      </c>
      <c r="F294" t="s">
        <v>13</v>
      </c>
      <c r="G294" t="s">
        <v>525</v>
      </c>
    </row>
    <row r="295" spans="1:7" x14ac:dyDescent="0.3">
      <c r="A295">
        <v>0</v>
      </c>
      <c r="B295" t="s">
        <v>312</v>
      </c>
      <c r="C295" t="s">
        <v>512</v>
      </c>
      <c r="D295" t="s">
        <v>498</v>
      </c>
      <c r="E295" t="s">
        <v>512</v>
      </c>
      <c r="F295" t="s">
        <v>13</v>
      </c>
      <c r="G295" t="s">
        <v>525</v>
      </c>
    </row>
    <row r="296" spans="1:7" x14ac:dyDescent="0.3">
      <c r="A296">
        <v>0</v>
      </c>
      <c r="B296" t="s">
        <v>312</v>
      </c>
      <c r="C296" t="s">
        <v>505</v>
      </c>
      <c r="D296" t="s">
        <v>498</v>
      </c>
      <c r="E296" t="s">
        <v>505</v>
      </c>
      <c r="F296" t="s">
        <v>13</v>
      </c>
      <c r="G296" t="s">
        <v>525</v>
      </c>
    </row>
    <row r="297" spans="1:7" x14ac:dyDescent="0.3">
      <c r="A297">
        <v>0</v>
      </c>
      <c r="B297" t="s">
        <v>312</v>
      </c>
      <c r="C297" t="s">
        <v>518</v>
      </c>
      <c r="D297" t="s">
        <v>498</v>
      </c>
      <c r="E297" t="s">
        <v>518</v>
      </c>
      <c r="F297" t="s">
        <v>13</v>
      </c>
      <c r="G297" t="s">
        <v>525</v>
      </c>
    </row>
    <row r="298" spans="1:7" x14ac:dyDescent="0.3">
      <c r="A298">
        <v>0</v>
      </c>
      <c r="B298" t="s">
        <v>312</v>
      </c>
      <c r="C298" t="s">
        <v>522</v>
      </c>
      <c r="D298" t="s">
        <v>498</v>
      </c>
      <c r="E298" t="s">
        <v>522</v>
      </c>
      <c r="F298" t="s">
        <v>13</v>
      </c>
      <c r="G298" t="s">
        <v>525</v>
      </c>
    </row>
    <row r="299" spans="1:7" x14ac:dyDescent="0.3">
      <c r="A299">
        <v>0</v>
      </c>
      <c r="B299" t="s">
        <v>312</v>
      </c>
      <c r="C299" t="s">
        <v>516</v>
      </c>
      <c r="D299" t="s">
        <v>498</v>
      </c>
      <c r="E299" t="s">
        <v>516</v>
      </c>
      <c r="F299" t="s">
        <v>13</v>
      </c>
      <c r="G299" t="s">
        <v>525</v>
      </c>
    </row>
    <row r="300" spans="1:7" x14ac:dyDescent="0.3">
      <c r="A300">
        <v>0</v>
      </c>
      <c r="B300" t="s">
        <v>312</v>
      </c>
      <c r="C300" t="s">
        <v>517</v>
      </c>
      <c r="D300" t="s">
        <v>498</v>
      </c>
      <c r="E300" t="s">
        <v>517</v>
      </c>
      <c r="F300" t="s">
        <v>13</v>
      </c>
      <c r="G300" t="s">
        <v>525</v>
      </c>
    </row>
    <row r="301" spans="1:7" x14ac:dyDescent="0.3">
      <c r="A301">
        <v>0</v>
      </c>
      <c r="B301" t="s">
        <v>16</v>
      </c>
      <c r="C301" s="2" t="s">
        <v>22</v>
      </c>
      <c r="D301" t="s">
        <v>2</v>
      </c>
      <c r="E301" s="2" t="s">
        <v>22</v>
      </c>
      <c r="F301" t="s">
        <v>13</v>
      </c>
      <c r="G301" t="s">
        <v>525</v>
      </c>
    </row>
    <row r="302" spans="1:7" x14ac:dyDescent="0.3">
      <c r="A302">
        <v>0</v>
      </c>
      <c r="B302" t="s">
        <v>16</v>
      </c>
      <c r="C302" s="2" t="s">
        <v>49</v>
      </c>
      <c r="D302" t="s">
        <v>2</v>
      </c>
      <c r="E302" s="2" t="s">
        <v>49</v>
      </c>
      <c r="F302" t="s">
        <v>13</v>
      </c>
      <c r="G302" t="s">
        <v>525</v>
      </c>
    </row>
    <row r="303" spans="1:7" x14ac:dyDescent="0.3">
      <c r="A303">
        <v>0</v>
      </c>
      <c r="B303" t="s">
        <v>312</v>
      </c>
      <c r="C303" s="2" t="s">
        <v>55</v>
      </c>
      <c r="D303" t="s">
        <v>2</v>
      </c>
      <c r="E303" s="2" t="s">
        <v>55</v>
      </c>
      <c r="F303" t="s">
        <v>13</v>
      </c>
      <c r="G303" t="s">
        <v>525</v>
      </c>
    </row>
    <row r="304" spans="1:7" x14ac:dyDescent="0.3">
      <c r="A304">
        <v>0</v>
      </c>
      <c r="B304" t="s">
        <v>312</v>
      </c>
      <c r="C304" t="s">
        <v>59</v>
      </c>
      <c r="D304" t="s">
        <v>2</v>
      </c>
      <c r="E304" t="s">
        <v>59</v>
      </c>
      <c r="F304" t="s">
        <v>13</v>
      </c>
      <c r="G304" t="s">
        <v>525</v>
      </c>
    </row>
    <row r="305" spans="1:7" x14ac:dyDescent="0.3">
      <c r="A305">
        <v>0</v>
      </c>
      <c r="B305" t="s">
        <v>16</v>
      </c>
      <c r="C305" s="2" t="s">
        <v>61</v>
      </c>
      <c r="D305" t="s">
        <v>2</v>
      </c>
      <c r="E305" s="2" t="s">
        <v>61</v>
      </c>
      <c r="F305" t="s">
        <v>13</v>
      </c>
      <c r="G305" t="s">
        <v>525</v>
      </c>
    </row>
    <row r="306" spans="1:7" x14ac:dyDescent="0.3">
      <c r="A306">
        <v>0</v>
      </c>
      <c r="B306" t="s">
        <v>312</v>
      </c>
      <c r="C306" s="2" t="s">
        <v>67</v>
      </c>
      <c r="D306" t="s">
        <v>2</v>
      </c>
      <c r="E306" s="2" t="s">
        <v>67</v>
      </c>
      <c r="F306" t="s">
        <v>13</v>
      </c>
      <c r="G306" t="s">
        <v>525</v>
      </c>
    </row>
    <row r="307" spans="1:7" x14ac:dyDescent="0.3">
      <c r="A307">
        <v>0</v>
      </c>
      <c r="B307" t="s">
        <v>312</v>
      </c>
      <c r="C307" t="s">
        <v>73</v>
      </c>
      <c r="D307" t="s">
        <v>2</v>
      </c>
      <c r="E307" t="s">
        <v>73</v>
      </c>
      <c r="F307" t="s">
        <v>13</v>
      </c>
      <c r="G307" t="s">
        <v>525</v>
      </c>
    </row>
    <row r="308" spans="1:7" x14ac:dyDescent="0.3">
      <c r="A308">
        <v>0</v>
      </c>
      <c r="B308" t="s">
        <v>312</v>
      </c>
      <c r="C308" t="s">
        <v>79</v>
      </c>
      <c r="D308" t="s">
        <v>2</v>
      </c>
      <c r="E308" t="s">
        <v>79</v>
      </c>
      <c r="F308" t="s">
        <v>13</v>
      </c>
      <c r="G308" t="s">
        <v>525</v>
      </c>
    </row>
    <row r="309" spans="1:7" x14ac:dyDescent="0.3">
      <c r="A309">
        <v>0</v>
      </c>
      <c r="B309" t="s">
        <v>312</v>
      </c>
      <c r="C309" t="s">
        <v>82</v>
      </c>
      <c r="D309" t="s">
        <v>2</v>
      </c>
      <c r="E309" t="s">
        <v>82</v>
      </c>
      <c r="F309" t="s">
        <v>13</v>
      </c>
      <c r="G309" t="s">
        <v>525</v>
      </c>
    </row>
    <row r="310" spans="1:7" x14ac:dyDescent="0.3">
      <c r="A310">
        <v>0</v>
      </c>
      <c r="B310" t="s">
        <v>312</v>
      </c>
      <c r="C310" t="s">
        <v>85</v>
      </c>
      <c r="D310" t="s">
        <v>2</v>
      </c>
      <c r="E310" t="s">
        <v>85</v>
      </c>
      <c r="F310" t="s">
        <v>13</v>
      </c>
      <c r="G310" t="s">
        <v>525</v>
      </c>
    </row>
    <row r="311" spans="1:7" x14ac:dyDescent="0.3">
      <c r="A311">
        <v>0</v>
      </c>
      <c r="B311" t="s">
        <v>312</v>
      </c>
      <c r="C311" t="s">
        <v>88</v>
      </c>
      <c r="D311" t="s">
        <v>2</v>
      </c>
      <c r="E311" t="s">
        <v>88</v>
      </c>
      <c r="F311" t="s">
        <v>13</v>
      </c>
      <c r="G311" t="s">
        <v>525</v>
      </c>
    </row>
    <row r="312" spans="1:7" x14ac:dyDescent="0.3">
      <c r="A312">
        <v>0</v>
      </c>
      <c r="B312" t="s">
        <v>312</v>
      </c>
      <c r="C312" t="s">
        <v>91</v>
      </c>
      <c r="D312" t="s">
        <v>2</v>
      </c>
      <c r="E312" t="s">
        <v>91</v>
      </c>
      <c r="F312" t="s">
        <v>13</v>
      </c>
      <c r="G312" t="s">
        <v>525</v>
      </c>
    </row>
    <row r="313" spans="1:7" x14ac:dyDescent="0.3">
      <c r="A313">
        <v>0</v>
      </c>
      <c r="B313" t="s">
        <v>312</v>
      </c>
      <c r="C313" t="s">
        <v>94</v>
      </c>
      <c r="D313" t="s">
        <v>2</v>
      </c>
      <c r="E313" t="s">
        <v>94</v>
      </c>
      <c r="F313" t="s">
        <v>13</v>
      </c>
      <c r="G313" t="s">
        <v>525</v>
      </c>
    </row>
    <row r="314" spans="1:7" x14ac:dyDescent="0.3">
      <c r="A314">
        <v>0</v>
      </c>
      <c r="B314" t="s">
        <v>312</v>
      </c>
      <c r="C314" t="s">
        <v>97</v>
      </c>
      <c r="D314" t="s">
        <v>2</v>
      </c>
      <c r="E314" t="s">
        <v>97</v>
      </c>
      <c r="F314" t="s">
        <v>13</v>
      </c>
      <c r="G314" t="s">
        <v>525</v>
      </c>
    </row>
    <row r="315" spans="1:7" x14ac:dyDescent="0.3">
      <c r="A315">
        <v>0</v>
      </c>
      <c r="B315" t="s">
        <v>312</v>
      </c>
      <c r="C315" t="s">
        <v>100</v>
      </c>
      <c r="D315" t="s">
        <v>2</v>
      </c>
      <c r="E315" t="s">
        <v>100</v>
      </c>
      <c r="F315" t="s">
        <v>13</v>
      </c>
      <c r="G315" t="s">
        <v>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06"/>
  <sheetViews>
    <sheetView topLeftCell="A144" workbookViewId="0">
      <selection activeCell="Q156" sqref="Q156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0.935415</v>
      </c>
      <c r="B2" t="s">
        <v>16</v>
      </c>
      <c r="C2" t="s">
        <v>625</v>
      </c>
      <c r="D2" t="s">
        <v>2</v>
      </c>
      <c r="E2" s="4" t="s">
        <v>49</v>
      </c>
      <c r="F2" s="4" t="s">
        <v>13</v>
      </c>
      <c r="G2" t="s">
        <v>525</v>
      </c>
      <c r="H2" t="s">
        <v>626</v>
      </c>
    </row>
    <row r="3" spans="1:9" x14ac:dyDescent="0.3">
      <c r="A3">
        <v>2.1250000000000004</v>
      </c>
      <c r="B3" t="s">
        <v>57</v>
      </c>
      <c r="C3" t="s">
        <v>627</v>
      </c>
      <c r="D3" t="s">
        <v>2</v>
      </c>
      <c r="E3" s="2" t="s">
        <v>315</v>
      </c>
      <c r="F3" t="s">
        <v>13</v>
      </c>
      <c r="G3" t="s">
        <v>525</v>
      </c>
      <c r="H3" t="s">
        <v>626</v>
      </c>
    </row>
    <row r="4" spans="1:9" x14ac:dyDescent="0.3">
      <c r="A4">
        <v>0.10250000000000001</v>
      </c>
      <c r="B4" t="s">
        <v>57</v>
      </c>
      <c r="C4" t="s">
        <v>628</v>
      </c>
      <c r="D4" t="s">
        <v>2</v>
      </c>
      <c r="E4" s="2" t="s">
        <v>345</v>
      </c>
      <c r="F4" t="s">
        <v>13</v>
      </c>
      <c r="G4" t="s">
        <v>525</v>
      </c>
      <c r="H4" t="s">
        <v>626</v>
      </c>
    </row>
    <row r="5" spans="1:9" x14ac:dyDescent="0.3">
      <c r="A5">
        <v>0.10250000000000001</v>
      </c>
      <c r="B5" t="s">
        <v>57</v>
      </c>
      <c r="C5" t="s">
        <v>564</v>
      </c>
      <c r="D5" t="s">
        <v>2</v>
      </c>
      <c r="E5" t="s">
        <v>352</v>
      </c>
      <c r="F5" t="s">
        <v>13</v>
      </c>
      <c r="G5" t="s">
        <v>525</v>
      </c>
      <c r="H5" t="s">
        <v>626</v>
      </c>
    </row>
    <row r="6" spans="1:9" x14ac:dyDescent="0.3">
      <c r="A6">
        <v>2.8124999999999995E-3</v>
      </c>
      <c r="B6" t="s">
        <v>57</v>
      </c>
      <c r="C6" t="s">
        <v>629</v>
      </c>
      <c r="D6" t="s">
        <v>2</v>
      </c>
      <c r="E6" t="s">
        <v>352</v>
      </c>
      <c r="F6" t="s">
        <v>13</v>
      </c>
      <c r="G6" t="s">
        <v>525</v>
      </c>
      <c r="H6" t="s">
        <v>626</v>
      </c>
    </row>
    <row r="7" spans="1:9" x14ac:dyDescent="0.3">
      <c r="A7">
        <v>0.12187500000000001</v>
      </c>
      <c r="B7" t="s">
        <v>57</v>
      </c>
      <c r="C7" t="s">
        <v>630</v>
      </c>
      <c r="D7" t="s">
        <v>2</v>
      </c>
      <c r="E7" t="s">
        <v>431</v>
      </c>
      <c r="F7" t="s">
        <v>13</v>
      </c>
      <c r="G7" t="s">
        <v>525</v>
      </c>
      <c r="H7" t="s">
        <v>626</v>
      </c>
    </row>
    <row r="8" spans="1:9" x14ac:dyDescent="0.3">
      <c r="A8">
        <v>1.2874999999999999E-2</v>
      </c>
      <c r="B8" t="s">
        <v>57</v>
      </c>
      <c r="C8" t="s">
        <v>631</v>
      </c>
      <c r="D8" t="s">
        <v>2</v>
      </c>
      <c r="E8" t="s">
        <v>382</v>
      </c>
      <c r="F8" t="s">
        <v>13</v>
      </c>
      <c r="G8" t="s">
        <v>525</v>
      </c>
      <c r="H8" t="s">
        <v>626</v>
      </c>
    </row>
    <row r="9" spans="1:9" x14ac:dyDescent="0.3">
      <c r="A9">
        <v>7.2499999999999995E-4</v>
      </c>
      <c r="B9" t="s">
        <v>57</v>
      </c>
      <c r="C9" t="s">
        <v>632</v>
      </c>
      <c r="D9" t="s">
        <v>2</v>
      </c>
      <c r="E9" t="s">
        <v>382</v>
      </c>
      <c r="F9" t="s">
        <v>13</v>
      </c>
      <c r="G9" t="s">
        <v>525</v>
      </c>
      <c r="H9" t="s">
        <v>626</v>
      </c>
    </row>
    <row r="10" spans="1:9" x14ac:dyDescent="0.3">
      <c r="A10">
        <v>8.8125</v>
      </c>
      <c r="B10" t="s">
        <v>57</v>
      </c>
      <c r="C10" t="s">
        <v>633</v>
      </c>
      <c r="D10" t="s">
        <v>2</v>
      </c>
      <c r="E10" t="s">
        <v>371</v>
      </c>
      <c r="F10" t="s">
        <v>13</v>
      </c>
      <c r="G10" t="s">
        <v>525</v>
      </c>
      <c r="H10" t="s">
        <v>626</v>
      </c>
    </row>
    <row r="11" spans="1:9" x14ac:dyDescent="0.3">
      <c r="A11">
        <v>8.8125</v>
      </c>
      <c r="B11" t="s">
        <v>57</v>
      </c>
      <c r="C11" t="s">
        <v>634</v>
      </c>
      <c r="D11" t="s">
        <v>2</v>
      </c>
      <c r="E11" t="s">
        <v>371</v>
      </c>
      <c r="F11" t="s">
        <v>13</v>
      </c>
      <c r="G11" t="s">
        <v>525</v>
      </c>
      <c r="H11" t="s">
        <v>626</v>
      </c>
    </row>
    <row r="12" spans="1:9" x14ac:dyDescent="0.3">
      <c r="A12">
        <v>0.29499999999999998</v>
      </c>
      <c r="B12" t="s">
        <v>57</v>
      </c>
      <c r="C12" t="s">
        <v>635</v>
      </c>
      <c r="D12" t="s">
        <v>2</v>
      </c>
      <c r="E12" s="18" t="s">
        <v>431</v>
      </c>
      <c r="F12" t="s">
        <v>13</v>
      </c>
      <c r="G12" t="s">
        <v>525</v>
      </c>
      <c r="H12" t="s">
        <v>626</v>
      </c>
    </row>
    <row r="13" spans="1:9" x14ac:dyDescent="0.3">
      <c r="A13">
        <v>0.34562500000000002</v>
      </c>
      <c r="B13" t="s">
        <v>57</v>
      </c>
      <c r="C13" t="s">
        <v>636</v>
      </c>
      <c r="D13" t="s">
        <v>2</v>
      </c>
      <c r="E13" s="18" t="s">
        <v>431</v>
      </c>
      <c r="F13" t="s">
        <v>13</v>
      </c>
      <c r="G13" t="s">
        <v>525</v>
      </c>
      <c r="H13" t="s">
        <v>626</v>
      </c>
    </row>
    <row r="14" spans="1:9" x14ac:dyDescent="0.3">
      <c r="A14">
        <v>2.3749999999999997E-2</v>
      </c>
      <c r="B14" t="s">
        <v>57</v>
      </c>
      <c r="C14" t="s">
        <v>637</v>
      </c>
      <c r="D14" t="s">
        <v>2</v>
      </c>
      <c r="E14" s="18" t="s">
        <v>431</v>
      </c>
      <c r="F14" t="s">
        <v>13</v>
      </c>
      <c r="G14" t="s">
        <v>525</v>
      </c>
      <c r="H14" t="s">
        <v>626</v>
      </c>
    </row>
    <row r="15" spans="1:9" x14ac:dyDescent="0.3">
      <c r="A15">
        <v>0.87499999999999989</v>
      </c>
      <c r="B15" t="s">
        <v>57</v>
      </c>
      <c r="C15" t="s">
        <v>638</v>
      </c>
      <c r="D15" t="s">
        <v>2</v>
      </c>
      <c r="E15" s="18" t="s">
        <v>431</v>
      </c>
      <c r="F15" t="s">
        <v>13</v>
      </c>
      <c r="G15" t="s">
        <v>525</v>
      </c>
      <c r="H15" t="s">
        <v>626</v>
      </c>
    </row>
    <row r="16" spans="1:9" x14ac:dyDescent="0.3">
      <c r="A16">
        <v>0.11187499999999999</v>
      </c>
      <c r="B16" t="s">
        <v>57</v>
      </c>
      <c r="C16" t="s">
        <v>639</v>
      </c>
      <c r="D16" t="s">
        <v>2</v>
      </c>
      <c r="E16" t="s">
        <v>100</v>
      </c>
      <c r="F16" s="4" t="s">
        <v>13</v>
      </c>
      <c r="G16" t="s">
        <v>525</v>
      </c>
      <c r="H16" t="s">
        <v>626</v>
      </c>
    </row>
    <row r="17" spans="1:8" x14ac:dyDescent="0.3">
      <c r="A17">
        <v>1.1662610106629545E-8</v>
      </c>
      <c r="B17" t="s">
        <v>314</v>
      </c>
      <c r="C17" t="s">
        <v>640</v>
      </c>
      <c r="D17" t="s">
        <v>2</v>
      </c>
      <c r="E17" s="2" t="s">
        <v>341</v>
      </c>
      <c r="F17" t="s">
        <v>13</v>
      </c>
      <c r="G17" t="s">
        <v>525</v>
      </c>
      <c r="H17" t="s">
        <v>626</v>
      </c>
    </row>
    <row r="18" spans="1:8" x14ac:dyDescent="0.3">
      <c r="A18">
        <v>6.2375000000000007E-2</v>
      </c>
      <c r="B18" t="s">
        <v>57</v>
      </c>
      <c r="C18" t="s">
        <v>641</v>
      </c>
      <c r="D18" t="s">
        <v>2</v>
      </c>
      <c r="E18" s="18" t="s">
        <v>85</v>
      </c>
      <c r="F18" s="4" t="s">
        <v>13</v>
      </c>
      <c r="G18" t="s">
        <v>525</v>
      </c>
      <c r="H18" t="s">
        <v>626</v>
      </c>
    </row>
    <row r="19" spans="1:8" x14ac:dyDescent="0.3">
      <c r="A19">
        <v>1.5874999999999997E-2</v>
      </c>
      <c r="B19" t="s">
        <v>57</v>
      </c>
      <c r="C19" t="s">
        <v>642</v>
      </c>
      <c r="D19" t="s">
        <v>2</v>
      </c>
      <c r="E19" t="s">
        <v>149</v>
      </c>
      <c r="F19" t="s">
        <v>13</v>
      </c>
      <c r="G19" t="s">
        <v>525</v>
      </c>
      <c r="H19" t="s">
        <v>626</v>
      </c>
    </row>
    <row r="20" spans="1:8" x14ac:dyDescent="0.3">
      <c r="A20">
        <v>1.4687499999999998E-4</v>
      </c>
      <c r="B20" t="s">
        <v>57</v>
      </c>
      <c r="C20" t="s">
        <v>643</v>
      </c>
      <c r="D20" t="s">
        <v>2</v>
      </c>
      <c r="E20" t="s">
        <v>149</v>
      </c>
      <c r="F20" t="s">
        <v>13</v>
      </c>
      <c r="G20" t="s">
        <v>525</v>
      </c>
      <c r="H20" t="s">
        <v>626</v>
      </c>
    </row>
    <row r="21" spans="1:8" x14ac:dyDescent="0.3">
      <c r="A21">
        <v>5.1437499999999997E-2</v>
      </c>
      <c r="B21" t="s">
        <v>57</v>
      </c>
      <c r="C21" t="s">
        <v>644</v>
      </c>
      <c r="D21" t="s">
        <v>2</v>
      </c>
      <c r="E21" t="s">
        <v>149</v>
      </c>
      <c r="F21" t="s">
        <v>13</v>
      </c>
      <c r="G21" t="s">
        <v>525</v>
      </c>
      <c r="H21" t="s">
        <v>626</v>
      </c>
    </row>
    <row r="22" spans="1:8" x14ac:dyDescent="0.3">
      <c r="A22">
        <v>1.1562499999999998E-2</v>
      </c>
      <c r="B22" t="s">
        <v>57</v>
      </c>
      <c r="C22" t="s">
        <v>645</v>
      </c>
      <c r="D22" t="s">
        <v>2</v>
      </c>
      <c r="E22" t="s">
        <v>149</v>
      </c>
      <c r="F22" t="s">
        <v>13</v>
      </c>
      <c r="G22" t="s">
        <v>525</v>
      </c>
      <c r="H22" t="s">
        <v>626</v>
      </c>
    </row>
    <row r="23" spans="1:8" x14ac:dyDescent="0.3">
      <c r="A23">
        <v>0.76249999999999996</v>
      </c>
      <c r="B23" t="s">
        <v>57</v>
      </c>
      <c r="C23" t="s">
        <v>646</v>
      </c>
      <c r="D23" t="s">
        <v>2</v>
      </c>
      <c r="E23" s="2" t="s">
        <v>418</v>
      </c>
      <c r="F23" t="s">
        <v>13</v>
      </c>
      <c r="G23" t="s">
        <v>525</v>
      </c>
      <c r="H23" t="s">
        <v>626</v>
      </c>
    </row>
    <row r="24" spans="1:8" x14ac:dyDescent="0.3">
      <c r="A24">
        <v>1.249999999999998</v>
      </c>
      <c r="B24" t="s">
        <v>57</v>
      </c>
      <c r="C24" t="s">
        <v>647</v>
      </c>
      <c r="D24" t="s">
        <v>2</v>
      </c>
      <c r="E24" s="2" t="s">
        <v>488</v>
      </c>
      <c r="F24" t="s">
        <v>13</v>
      </c>
      <c r="G24" t="s">
        <v>525</v>
      </c>
      <c r="H24" t="s">
        <v>626</v>
      </c>
    </row>
    <row r="25" spans="1:8" x14ac:dyDescent="0.3">
      <c r="A25">
        <v>13.975424859373687</v>
      </c>
      <c r="B25" t="s">
        <v>542</v>
      </c>
      <c r="C25" t="s">
        <v>648</v>
      </c>
      <c r="D25" t="s">
        <v>2</v>
      </c>
      <c r="E25" t="s">
        <v>111</v>
      </c>
      <c r="F25" t="s">
        <v>13</v>
      </c>
      <c r="G25" t="s">
        <v>525</v>
      </c>
      <c r="H25" t="s">
        <v>626</v>
      </c>
    </row>
    <row r="26" spans="1:8" x14ac:dyDescent="0.3">
      <c r="A26">
        <v>2.034883720930234E-4</v>
      </c>
      <c r="B26" s="2" t="s">
        <v>57</v>
      </c>
      <c r="C26" t="s">
        <v>649</v>
      </c>
      <c r="D26" t="s">
        <v>2</v>
      </c>
      <c r="E26" s="18" t="s">
        <v>369</v>
      </c>
      <c r="F26" t="s">
        <v>13</v>
      </c>
      <c r="G26" t="s">
        <v>525</v>
      </c>
      <c r="H26" t="s">
        <v>626</v>
      </c>
    </row>
    <row r="27" spans="1:8" x14ac:dyDescent="0.3">
      <c r="A27">
        <f>$A$2*'[1]Cell prod CN'!I19</f>
        <v>0</v>
      </c>
      <c r="B27" t="s">
        <v>314</v>
      </c>
      <c r="C27" t="s">
        <v>620</v>
      </c>
      <c r="D27" t="s">
        <v>2</v>
      </c>
      <c r="E27" s="2" t="s">
        <v>455</v>
      </c>
      <c r="F27" t="s">
        <v>13</v>
      </c>
      <c r="G27" t="s">
        <v>525</v>
      </c>
      <c r="H27" t="s">
        <v>621</v>
      </c>
    </row>
    <row r="28" spans="1:8" x14ac:dyDescent="0.3">
      <c r="A28">
        <f>$A$2*'[1]Cell prod CN'!I20</f>
        <v>2.8194035329337413E-6</v>
      </c>
      <c r="B28" s="2" t="s">
        <v>314</v>
      </c>
      <c r="C28" t="s">
        <v>622</v>
      </c>
      <c r="D28" t="s">
        <v>2</v>
      </c>
      <c r="E28" s="2" t="s">
        <v>409</v>
      </c>
      <c r="F28" t="s">
        <v>13</v>
      </c>
      <c r="G28" t="s">
        <v>525</v>
      </c>
      <c r="H28" t="s">
        <v>621</v>
      </c>
    </row>
    <row r="29" spans="1:8" x14ac:dyDescent="0.3">
      <c r="A29">
        <f>$A$2*'[1]Cell prod CN'!I21</f>
        <v>2.8671594828940705E-7</v>
      </c>
      <c r="B29" s="2" t="s">
        <v>314</v>
      </c>
      <c r="C29" t="s">
        <v>623</v>
      </c>
      <c r="D29" t="s">
        <v>2</v>
      </c>
      <c r="E29" s="2" t="s">
        <v>443</v>
      </c>
      <c r="F29" t="s">
        <v>13</v>
      </c>
      <c r="G29" t="s">
        <v>525</v>
      </c>
      <c r="H29" t="s">
        <v>621</v>
      </c>
    </row>
    <row r="30" spans="1:8" x14ac:dyDescent="0.3">
      <c r="A30">
        <v>3.0000000000000035E-5</v>
      </c>
      <c r="B30" s="2" t="s">
        <v>319</v>
      </c>
      <c r="C30" t="s">
        <v>650</v>
      </c>
      <c r="D30" t="s">
        <v>2</v>
      </c>
      <c r="E30" s="2" t="s">
        <v>378</v>
      </c>
      <c r="F30" t="s">
        <v>13</v>
      </c>
      <c r="G30" t="s">
        <v>525</v>
      </c>
      <c r="H30" t="s">
        <v>626</v>
      </c>
    </row>
    <row r="31" spans="1:8" x14ac:dyDescent="0.3">
      <c r="A31">
        <v>4.2937500000000061E-6</v>
      </c>
      <c r="B31" s="2" t="s">
        <v>319</v>
      </c>
      <c r="C31" t="s">
        <v>651</v>
      </c>
      <c r="D31" t="s">
        <v>2</v>
      </c>
      <c r="E31" s="2" t="s">
        <v>378</v>
      </c>
      <c r="F31" t="s">
        <v>13</v>
      </c>
      <c r="G31" t="s">
        <v>525</v>
      </c>
      <c r="H31" t="s">
        <v>626</v>
      </c>
    </row>
    <row r="32" spans="1:8" x14ac:dyDescent="0.3">
      <c r="A32">
        <v>2.8062499999999923E-5</v>
      </c>
      <c r="B32" s="2" t="s">
        <v>319</v>
      </c>
      <c r="C32" t="s">
        <v>652</v>
      </c>
      <c r="D32" t="s">
        <v>2</v>
      </c>
      <c r="E32" s="2" t="s">
        <v>429</v>
      </c>
      <c r="F32" t="s">
        <v>13</v>
      </c>
      <c r="G32" t="s">
        <v>525</v>
      </c>
      <c r="H32" t="s">
        <v>626</v>
      </c>
    </row>
    <row r="33" spans="1:8" x14ac:dyDescent="0.3">
      <c r="A33">
        <v>1.6062500000000007E-6</v>
      </c>
      <c r="B33" s="2" t="s">
        <v>319</v>
      </c>
      <c r="C33" t="s">
        <v>653</v>
      </c>
      <c r="D33" t="s">
        <v>2</v>
      </c>
      <c r="E33" s="2" t="s">
        <v>404</v>
      </c>
      <c r="F33" t="s">
        <v>13</v>
      </c>
      <c r="G33" t="s">
        <v>525</v>
      </c>
      <c r="H33" t="s">
        <v>626</v>
      </c>
    </row>
    <row r="34" spans="1:8" x14ac:dyDescent="0.3">
      <c r="A34">
        <v>5.0069541029207232E-7</v>
      </c>
      <c r="B34" t="s">
        <v>314</v>
      </c>
      <c r="C34" t="s">
        <v>654</v>
      </c>
      <c r="D34" t="s">
        <v>2</v>
      </c>
      <c r="E34" s="2" t="s">
        <v>449</v>
      </c>
      <c r="F34" t="s">
        <v>13</v>
      </c>
      <c r="G34" t="s">
        <v>525</v>
      </c>
      <c r="H34" t="s">
        <v>655</v>
      </c>
    </row>
    <row r="35" spans="1:8" x14ac:dyDescent="0.3">
      <c r="A35">
        <v>2.7538247566063979E-6</v>
      </c>
      <c r="B35" t="s">
        <v>314</v>
      </c>
      <c r="C35" t="s">
        <v>656</v>
      </c>
      <c r="D35" t="s">
        <v>2</v>
      </c>
      <c r="E35" s="2" t="s">
        <v>487</v>
      </c>
      <c r="F35" t="s">
        <v>13</v>
      </c>
      <c r="G35" t="s">
        <v>525</v>
      </c>
      <c r="H35" t="s">
        <v>655</v>
      </c>
    </row>
    <row r="36" spans="1:8" x14ac:dyDescent="0.3">
      <c r="A36">
        <v>5.4242002781641165E-7</v>
      </c>
      <c r="B36" t="s">
        <v>314</v>
      </c>
      <c r="C36" t="s">
        <v>495</v>
      </c>
      <c r="D36" t="s">
        <v>494</v>
      </c>
      <c r="E36" t="s">
        <v>495</v>
      </c>
      <c r="F36" t="s">
        <v>13</v>
      </c>
      <c r="G36" t="s">
        <v>525</v>
      </c>
      <c r="H36" t="s">
        <v>655</v>
      </c>
    </row>
    <row r="37" spans="1:8" x14ac:dyDescent="0.3">
      <c r="A37">
        <v>1.808066759388039E-6</v>
      </c>
      <c r="B37" t="s">
        <v>314</v>
      </c>
      <c r="C37" t="s">
        <v>496</v>
      </c>
      <c r="D37" t="s">
        <v>494</v>
      </c>
      <c r="E37" s="2" t="s">
        <v>496</v>
      </c>
      <c r="F37" t="s">
        <v>13</v>
      </c>
      <c r="G37" t="s">
        <v>525</v>
      </c>
      <c r="H37" t="s">
        <v>655</v>
      </c>
    </row>
    <row r="38" spans="1:8" x14ac:dyDescent="0.3">
      <c r="A38">
        <v>3.9777468706536858E-6</v>
      </c>
      <c r="B38" t="s">
        <v>314</v>
      </c>
      <c r="C38" t="s">
        <v>497</v>
      </c>
      <c r="D38" t="s">
        <v>494</v>
      </c>
      <c r="E38" s="2" t="s">
        <v>497</v>
      </c>
      <c r="F38" t="s">
        <v>13</v>
      </c>
      <c r="G38" t="s">
        <v>525</v>
      </c>
      <c r="H38" t="s">
        <v>655</v>
      </c>
    </row>
    <row r="39" spans="1:8" x14ac:dyDescent="0.3">
      <c r="A39">
        <v>1.9500000000000001E-7</v>
      </c>
      <c r="B39" t="s">
        <v>507</v>
      </c>
      <c r="C39" t="s">
        <v>506</v>
      </c>
      <c r="D39" t="s">
        <v>498</v>
      </c>
      <c r="E39" s="2" t="s">
        <v>506</v>
      </c>
      <c r="F39" t="s">
        <v>13</v>
      </c>
      <c r="G39" t="s">
        <v>525</v>
      </c>
      <c r="H39" t="s">
        <v>655</v>
      </c>
    </row>
    <row r="40" spans="1:8" x14ac:dyDescent="0.3">
      <c r="A40">
        <v>8.0625000000000002E-3</v>
      </c>
      <c r="B40" t="s">
        <v>57</v>
      </c>
      <c r="C40" t="s">
        <v>657</v>
      </c>
      <c r="D40" t="s">
        <v>498</v>
      </c>
      <c r="E40" t="s">
        <v>513</v>
      </c>
      <c r="F40" t="s">
        <v>13</v>
      </c>
      <c r="G40" t="s">
        <v>525</v>
      </c>
      <c r="H40" t="s">
        <v>626</v>
      </c>
    </row>
    <row r="41" spans="1:8" x14ac:dyDescent="0.3">
      <c r="A41">
        <v>2.1812499999999999E-2</v>
      </c>
      <c r="B41" t="s">
        <v>57</v>
      </c>
      <c r="C41" t="s">
        <v>502</v>
      </c>
      <c r="D41" t="s">
        <v>498</v>
      </c>
      <c r="E41" t="s">
        <v>502</v>
      </c>
      <c r="F41" t="s">
        <v>13</v>
      </c>
      <c r="G41" t="s">
        <v>525</v>
      </c>
      <c r="H41" t="s">
        <v>626</v>
      </c>
    </row>
    <row r="42" spans="1:8" x14ac:dyDescent="0.3">
      <c r="A42">
        <v>6.4837499999999997E-4</v>
      </c>
      <c r="B42" t="s">
        <v>57</v>
      </c>
      <c r="C42" t="s">
        <v>535</v>
      </c>
      <c r="D42" t="s">
        <v>498</v>
      </c>
      <c r="E42" t="s">
        <v>502</v>
      </c>
      <c r="F42" t="s">
        <v>13</v>
      </c>
      <c r="G42" t="s">
        <v>525</v>
      </c>
      <c r="H42" t="s">
        <v>658</v>
      </c>
    </row>
    <row r="43" spans="1:8" x14ac:dyDescent="0.3">
      <c r="A43">
        <v>8.7499999999999996E-8</v>
      </c>
      <c r="B43" t="s">
        <v>57</v>
      </c>
      <c r="C43" t="s">
        <v>500</v>
      </c>
      <c r="D43" t="s">
        <v>498</v>
      </c>
      <c r="E43" t="s">
        <v>500</v>
      </c>
      <c r="F43" t="s">
        <v>13</v>
      </c>
      <c r="G43" t="s">
        <v>525</v>
      </c>
      <c r="H43" t="s">
        <v>658</v>
      </c>
    </row>
    <row r="44" spans="1:8" x14ac:dyDescent="0.3">
      <c r="A44">
        <v>5.249999999999999E-9</v>
      </c>
      <c r="B44" t="s">
        <v>57</v>
      </c>
      <c r="C44" t="s">
        <v>511</v>
      </c>
      <c r="D44" t="s">
        <v>498</v>
      </c>
      <c r="E44" t="s">
        <v>511</v>
      </c>
      <c r="F44" t="s">
        <v>13</v>
      </c>
      <c r="G44" t="s">
        <v>525</v>
      </c>
      <c r="H44" t="s">
        <v>658</v>
      </c>
    </row>
    <row r="45" spans="1:8" x14ac:dyDescent="0.3">
      <c r="A45">
        <v>0</v>
      </c>
      <c r="B45" t="s">
        <v>312</v>
      </c>
      <c r="C45" t="s">
        <v>483</v>
      </c>
      <c r="D45" t="s">
        <v>2</v>
      </c>
      <c r="E45" t="s">
        <v>483</v>
      </c>
      <c r="F45" t="s">
        <v>13</v>
      </c>
      <c r="G45" t="s">
        <v>525</v>
      </c>
    </row>
    <row r="46" spans="1:8" x14ac:dyDescent="0.3">
      <c r="A46">
        <v>0</v>
      </c>
      <c r="B46" t="s">
        <v>105</v>
      </c>
      <c r="C46" t="s">
        <v>125</v>
      </c>
      <c r="D46" t="s">
        <v>2</v>
      </c>
      <c r="E46" t="s">
        <v>125</v>
      </c>
      <c r="F46" t="s">
        <v>13</v>
      </c>
      <c r="G46" t="s">
        <v>525</v>
      </c>
    </row>
    <row r="47" spans="1:8" x14ac:dyDescent="0.3">
      <c r="A47">
        <v>0</v>
      </c>
      <c r="B47" t="s">
        <v>319</v>
      </c>
      <c r="C47" t="s">
        <v>461</v>
      </c>
      <c r="D47" t="s">
        <v>2</v>
      </c>
      <c r="E47" t="s">
        <v>461</v>
      </c>
      <c r="F47" t="s">
        <v>13</v>
      </c>
      <c r="G47" t="s">
        <v>525</v>
      </c>
    </row>
    <row r="48" spans="1:8" x14ac:dyDescent="0.3">
      <c r="A48">
        <v>0</v>
      </c>
      <c r="B48" t="s">
        <v>314</v>
      </c>
      <c r="C48" t="s">
        <v>395</v>
      </c>
      <c r="D48" t="s">
        <v>2</v>
      </c>
      <c r="E48" t="s">
        <v>395</v>
      </c>
      <c r="F48" t="s">
        <v>13</v>
      </c>
      <c r="G48" t="s">
        <v>525</v>
      </c>
    </row>
    <row r="49" spans="1:7" x14ac:dyDescent="0.3">
      <c r="A49">
        <v>0</v>
      </c>
      <c r="B49" t="s">
        <v>312</v>
      </c>
      <c r="C49" t="s">
        <v>399</v>
      </c>
      <c r="D49" t="s">
        <v>2</v>
      </c>
      <c r="E49" t="s">
        <v>399</v>
      </c>
      <c r="F49" t="s">
        <v>13</v>
      </c>
      <c r="G49" t="s">
        <v>525</v>
      </c>
    </row>
    <row r="50" spans="1:7" x14ac:dyDescent="0.3">
      <c r="A50">
        <v>0</v>
      </c>
      <c r="B50" t="s">
        <v>314</v>
      </c>
      <c r="C50" t="s">
        <v>432</v>
      </c>
      <c r="D50" t="s">
        <v>2</v>
      </c>
      <c r="E50" t="s">
        <v>432</v>
      </c>
      <c r="F50" t="s">
        <v>13</v>
      </c>
      <c r="G50" t="s">
        <v>525</v>
      </c>
    </row>
    <row r="51" spans="1:7" x14ac:dyDescent="0.3">
      <c r="A51">
        <v>0</v>
      </c>
      <c r="B51" t="s">
        <v>312</v>
      </c>
      <c r="C51" t="s">
        <v>325</v>
      </c>
      <c r="D51" t="s">
        <v>2</v>
      </c>
      <c r="E51" t="s">
        <v>325</v>
      </c>
      <c r="F51" t="s">
        <v>13</v>
      </c>
      <c r="G51" t="s">
        <v>525</v>
      </c>
    </row>
    <row r="52" spans="1:7" x14ac:dyDescent="0.3">
      <c r="A52">
        <v>0</v>
      </c>
      <c r="B52" t="s">
        <v>314</v>
      </c>
      <c r="C52" t="s">
        <v>372</v>
      </c>
      <c r="D52" t="s">
        <v>2</v>
      </c>
      <c r="E52" t="s">
        <v>372</v>
      </c>
      <c r="F52" t="s">
        <v>13</v>
      </c>
      <c r="G52" t="s">
        <v>525</v>
      </c>
    </row>
    <row r="53" spans="1:7" x14ac:dyDescent="0.3">
      <c r="A53">
        <v>0</v>
      </c>
      <c r="B53" t="s">
        <v>314</v>
      </c>
      <c r="C53" t="s">
        <v>260</v>
      </c>
      <c r="D53" t="s">
        <v>2</v>
      </c>
      <c r="E53" t="s">
        <v>260</v>
      </c>
      <c r="F53" t="s">
        <v>13</v>
      </c>
      <c r="G53" t="s">
        <v>525</v>
      </c>
    </row>
    <row r="54" spans="1:7" x14ac:dyDescent="0.3">
      <c r="A54">
        <v>0</v>
      </c>
      <c r="B54" t="s">
        <v>312</v>
      </c>
      <c r="C54" t="s">
        <v>330</v>
      </c>
      <c r="D54" t="s">
        <v>2</v>
      </c>
      <c r="E54" t="s">
        <v>330</v>
      </c>
      <c r="F54" t="s">
        <v>13</v>
      </c>
      <c r="G54" t="s">
        <v>525</v>
      </c>
    </row>
    <row r="55" spans="1:7" x14ac:dyDescent="0.3">
      <c r="A55">
        <v>0</v>
      </c>
      <c r="B55" t="s">
        <v>105</v>
      </c>
      <c r="C55" t="s">
        <v>401</v>
      </c>
      <c r="D55" t="s">
        <v>2</v>
      </c>
      <c r="E55" t="s">
        <v>401</v>
      </c>
      <c r="F55" t="s">
        <v>13</v>
      </c>
      <c r="G55" t="s">
        <v>525</v>
      </c>
    </row>
    <row r="56" spans="1:7" x14ac:dyDescent="0.3">
      <c r="A56">
        <v>0</v>
      </c>
      <c r="B56" t="s">
        <v>312</v>
      </c>
      <c r="C56" t="s">
        <v>416</v>
      </c>
      <c r="D56" t="s">
        <v>2</v>
      </c>
      <c r="E56" t="s">
        <v>416</v>
      </c>
      <c r="F56" t="s">
        <v>13</v>
      </c>
      <c r="G56" t="s">
        <v>525</v>
      </c>
    </row>
    <row r="57" spans="1:7" x14ac:dyDescent="0.3">
      <c r="A57">
        <v>0</v>
      </c>
      <c r="B57" t="s">
        <v>319</v>
      </c>
      <c r="C57" t="s">
        <v>375</v>
      </c>
      <c r="D57" t="s">
        <v>2</v>
      </c>
      <c r="E57" t="s">
        <v>375</v>
      </c>
      <c r="F57" t="s">
        <v>13</v>
      </c>
      <c r="G57" t="s">
        <v>525</v>
      </c>
    </row>
    <row r="58" spans="1:7" x14ac:dyDescent="0.3">
      <c r="A58">
        <v>0</v>
      </c>
      <c r="B58" t="s">
        <v>312</v>
      </c>
      <c r="C58" t="s">
        <v>333</v>
      </c>
      <c r="D58" t="s">
        <v>2</v>
      </c>
      <c r="E58" t="s">
        <v>333</v>
      </c>
      <c r="F58" t="s">
        <v>13</v>
      </c>
      <c r="G58" t="s">
        <v>525</v>
      </c>
    </row>
    <row r="59" spans="1:7" x14ac:dyDescent="0.3">
      <c r="A59">
        <v>0</v>
      </c>
      <c r="B59" t="s">
        <v>57</v>
      </c>
      <c r="C59" t="s">
        <v>118</v>
      </c>
      <c r="D59" t="s">
        <v>2</v>
      </c>
      <c r="E59" t="s">
        <v>118</v>
      </c>
      <c r="F59" t="s">
        <v>13</v>
      </c>
      <c r="G59" t="s">
        <v>525</v>
      </c>
    </row>
    <row r="60" spans="1:7" x14ac:dyDescent="0.3">
      <c r="A60">
        <v>0</v>
      </c>
      <c r="B60" t="s">
        <v>312</v>
      </c>
      <c r="C60" t="s">
        <v>406</v>
      </c>
      <c r="D60" t="s">
        <v>2</v>
      </c>
      <c r="E60" t="s">
        <v>406</v>
      </c>
      <c r="F60" t="s">
        <v>13</v>
      </c>
      <c r="G60" t="s">
        <v>525</v>
      </c>
    </row>
    <row r="61" spans="1:7" x14ac:dyDescent="0.3">
      <c r="A61">
        <v>0</v>
      </c>
      <c r="B61" t="s">
        <v>312</v>
      </c>
      <c r="C61" t="s">
        <v>315</v>
      </c>
      <c r="D61" t="s">
        <v>2</v>
      </c>
      <c r="E61" t="s">
        <v>315</v>
      </c>
      <c r="F61" t="s">
        <v>13</v>
      </c>
      <c r="G61" t="s">
        <v>525</v>
      </c>
    </row>
    <row r="62" spans="1:7" x14ac:dyDescent="0.3">
      <c r="A62">
        <v>0</v>
      </c>
      <c r="B62" t="s">
        <v>312</v>
      </c>
      <c r="C62" t="s">
        <v>358</v>
      </c>
      <c r="D62" t="s">
        <v>2</v>
      </c>
      <c r="E62" t="s">
        <v>358</v>
      </c>
      <c r="F62" t="s">
        <v>13</v>
      </c>
      <c r="G62" t="s">
        <v>525</v>
      </c>
    </row>
    <row r="63" spans="1:7" x14ac:dyDescent="0.3">
      <c r="A63">
        <v>0</v>
      </c>
      <c r="B63" t="s">
        <v>314</v>
      </c>
      <c r="C63" t="s">
        <v>444</v>
      </c>
      <c r="D63" t="s">
        <v>2</v>
      </c>
      <c r="E63" t="s">
        <v>444</v>
      </c>
      <c r="F63" t="s">
        <v>13</v>
      </c>
      <c r="G63" t="s">
        <v>525</v>
      </c>
    </row>
    <row r="64" spans="1:7" x14ac:dyDescent="0.3">
      <c r="A64">
        <v>0</v>
      </c>
      <c r="B64" t="s">
        <v>312</v>
      </c>
      <c r="C64" t="s">
        <v>439</v>
      </c>
      <c r="D64" t="s">
        <v>2</v>
      </c>
      <c r="E64" t="s">
        <v>439</v>
      </c>
      <c r="F64" t="s">
        <v>13</v>
      </c>
      <c r="G64" t="s">
        <v>525</v>
      </c>
    </row>
    <row r="65" spans="1:7" x14ac:dyDescent="0.3">
      <c r="A65">
        <v>0</v>
      </c>
      <c r="B65" t="s">
        <v>312</v>
      </c>
      <c r="C65" t="s">
        <v>381</v>
      </c>
      <c r="D65" t="s">
        <v>2</v>
      </c>
      <c r="E65" t="s">
        <v>381</v>
      </c>
      <c r="F65" t="s">
        <v>13</v>
      </c>
      <c r="G65" t="s">
        <v>525</v>
      </c>
    </row>
    <row r="66" spans="1:7" x14ac:dyDescent="0.3">
      <c r="A66">
        <v>0</v>
      </c>
      <c r="B66" t="s">
        <v>312</v>
      </c>
      <c r="C66" t="s">
        <v>418</v>
      </c>
      <c r="D66" t="s">
        <v>2</v>
      </c>
      <c r="E66" t="s">
        <v>418</v>
      </c>
      <c r="F66" t="s">
        <v>13</v>
      </c>
      <c r="G66" t="s">
        <v>525</v>
      </c>
    </row>
    <row r="67" spans="1:7" x14ac:dyDescent="0.3">
      <c r="A67">
        <v>0</v>
      </c>
      <c r="B67" t="s">
        <v>314</v>
      </c>
      <c r="C67" t="s">
        <v>465</v>
      </c>
      <c r="D67" t="s">
        <v>2</v>
      </c>
      <c r="E67" t="s">
        <v>465</v>
      </c>
      <c r="F67" t="s">
        <v>13</v>
      </c>
      <c r="G67" t="s">
        <v>525</v>
      </c>
    </row>
    <row r="68" spans="1:7" x14ac:dyDescent="0.3">
      <c r="A68">
        <v>0</v>
      </c>
      <c r="B68" t="s">
        <v>105</v>
      </c>
      <c r="C68" t="s">
        <v>103</v>
      </c>
      <c r="D68" t="s">
        <v>2</v>
      </c>
      <c r="E68" t="s">
        <v>103</v>
      </c>
      <c r="F68" t="s">
        <v>13</v>
      </c>
      <c r="G68" t="s">
        <v>525</v>
      </c>
    </row>
    <row r="69" spans="1:7" x14ac:dyDescent="0.3">
      <c r="A69">
        <v>0</v>
      </c>
      <c r="B69" t="s">
        <v>312</v>
      </c>
      <c r="C69" t="s">
        <v>320</v>
      </c>
      <c r="D69" t="s">
        <v>2</v>
      </c>
      <c r="E69" t="s">
        <v>320</v>
      </c>
      <c r="F69" t="s">
        <v>13</v>
      </c>
      <c r="G69" t="s">
        <v>525</v>
      </c>
    </row>
    <row r="70" spans="1:7" x14ac:dyDescent="0.3">
      <c r="A70">
        <v>0</v>
      </c>
      <c r="B70" t="s">
        <v>312</v>
      </c>
      <c r="C70" t="s">
        <v>334</v>
      </c>
      <c r="D70" t="s">
        <v>2</v>
      </c>
      <c r="E70" t="s">
        <v>334</v>
      </c>
      <c r="F70" t="s">
        <v>13</v>
      </c>
      <c r="G70" t="s">
        <v>525</v>
      </c>
    </row>
    <row r="71" spans="1:7" x14ac:dyDescent="0.3">
      <c r="A71">
        <v>0</v>
      </c>
      <c r="B71" t="s">
        <v>312</v>
      </c>
      <c r="C71" t="s">
        <v>435</v>
      </c>
      <c r="D71" t="s">
        <v>2</v>
      </c>
      <c r="E71" t="s">
        <v>435</v>
      </c>
      <c r="F71" t="s">
        <v>13</v>
      </c>
      <c r="G71" t="s">
        <v>525</v>
      </c>
    </row>
    <row r="72" spans="1:7" x14ac:dyDescent="0.3">
      <c r="A72">
        <v>0</v>
      </c>
      <c r="B72" t="s">
        <v>319</v>
      </c>
      <c r="C72" t="s">
        <v>456</v>
      </c>
      <c r="D72" t="s">
        <v>2</v>
      </c>
      <c r="E72" t="s">
        <v>456</v>
      </c>
      <c r="F72" t="s">
        <v>13</v>
      </c>
      <c r="G72" t="s">
        <v>525</v>
      </c>
    </row>
    <row r="73" spans="1:7" x14ac:dyDescent="0.3">
      <c r="A73">
        <v>0</v>
      </c>
      <c r="B73" t="s">
        <v>312</v>
      </c>
      <c r="C73" t="s">
        <v>474</v>
      </c>
      <c r="D73" t="s">
        <v>2</v>
      </c>
      <c r="E73" t="s">
        <v>474</v>
      </c>
      <c r="F73" t="s">
        <v>13</v>
      </c>
      <c r="G73" t="s">
        <v>525</v>
      </c>
    </row>
    <row r="74" spans="1:7" x14ac:dyDescent="0.3">
      <c r="A74">
        <v>0</v>
      </c>
      <c r="B74" t="s">
        <v>319</v>
      </c>
      <c r="C74" t="s">
        <v>318</v>
      </c>
      <c r="D74" t="s">
        <v>2</v>
      </c>
      <c r="E74" t="s">
        <v>318</v>
      </c>
      <c r="F74" t="s">
        <v>13</v>
      </c>
      <c r="G74" t="s">
        <v>525</v>
      </c>
    </row>
    <row r="75" spans="1:7" x14ac:dyDescent="0.3">
      <c r="A75">
        <v>0</v>
      </c>
      <c r="B75" t="s">
        <v>314</v>
      </c>
      <c r="C75" t="s">
        <v>475</v>
      </c>
      <c r="D75" t="s">
        <v>2</v>
      </c>
      <c r="E75" t="s">
        <v>475</v>
      </c>
      <c r="F75" t="s">
        <v>13</v>
      </c>
      <c r="G75" t="s">
        <v>525</v>
      </c>
    </row>
    <row r="76" spans="1:7" x14ac:dyDescent="0.3">
      <c r="A76">
        <v>0</v>
      </c>
      <c r="B76" t="s">
        <v>314</v>
      </c>
      <c r="C76" t="s">
        <v>449</v>
      </c>
      <c r="D76" t="s">
        <v>2</v>
      </c>
      <c r="E76" t="s">
        <v>449</v>
      </c>
      <c r="F76" t="s">
        <v>13</v>
      </c>
      <c r="G76" t="s">
        <v>525</v>
      </c>
    </row>
    <row r="77" spans="1:7" x14ac:dyDescent="0.3">
      <c r="A77">
        <v>0</v>
      </c>
      <c r="B77" t="s">
        <v>314</v>
      </c>
      <c r="C77" t="s">
        <v>176</v>
      </c>
      <c r="D77" t="s">
        <v>2</v>
      </c>
      <c r="E77" t="s">
        <v>176</v>
      </c>
      <c r="F77" t="s">
        <v>13</v>
      </c>
      <c r="G77" t="s">
        <v>525</v>
      </c>
    </row>
    <row r="78" spans="1:7" x14ac:dyDescent="0.3">
      <c r="A78">
        <v>0</v>
      </c>
      <c r="B78" t="s">
        <v>312</v>
      </c>
      <c r="C78" t="s">
        <v>388</v>
      </c>
      <c r="D78" t="s">
        <v>2</v>
      </c>
      <c r="E78" t="s">
        <v>388</v>
      </c>
      <c r="F78" t="s">
        <v>13</v>
      </c>
      <c r="G78" t="s">
        <v>525</v>
      </c>
    </row>
    <row r="79" spans="1:7" x14ac:dyDescent="0.3">
      <c r="A79">
        <v>0</v>
      </c>
      <c r="B79" t="s">
        <v>319</v>
      </c>
      <c r="C79" t="s">
        <v>429</v>
      </c>
      <c r="D79" t="s">
        <v>2</v>
      </c>
      <c r="E79" t="s">
        <v>429</v>
      </c>
      <c r="F79" t="s">
        <v>13</v>
      </c>
      <c r="G79" t="s">
        <v>525</v>
      </c>
    </row>
    <row r="80" spans="1:7" x14ac:dyDescent="0.3">
      <c r="A80">
        <v>0</v>
      </c>
      <c r="B80" t="s">
        <v>312</v>
      </c>
      <c r="C80" t="s">
        <v>272</v>
      </c>
      <c r="D80" t="s">
        <v>2</v>
      </c>
      <c r="E80" t="s">
        <v>272</v>
      </c>
      <c r="F80" t="s">
        <v>13</v>
      </c>
      <c r="G80" t="s">
        <v>525</v>
      </c>
    </row>
    <row r="81" spans="1:7" x14ac:dyDescent="0.3">
      <c r="A81">
        <v>0</v>
      </c>
      <c r="B81" t="s">
        <v>312</v>
      </c>
      <c r="C81" t="s">
        <v>410</v>
      </c>
      <c r="D81" t="s">
        <v>2</v>
      </c>
      <c r="E81" t="s">
        <v>410</v>
      </c>
      <c r="F81" t="s">
        <v>13</v>
      </c>
      <c r="G81" t="s">
        <v>525</v>
      </c>
    </row>
    <row r="82" spans="1:7" x14ac:dyDescent="0.3">
      <c r="A82">
        <v>0</v>
      </c>
      <c r="B82" t="s">
        <v>319</v>
      </c>
      <c r="C82" t="s">
        <v>363</v>
      </c>
      <c r="D82" t="s">
        <v>2</v>
      </c>
      <c r="E82" t="s">
        <v>363</v>
      </c>
      <c r="F82" t="s">
        <v>13</v>
      </c>
      <c r="G82" t="s">
        <v>525</v>
      </c>
    </row>
    <row r="83" spans="1:7" x14ac:dyDescent="0.3">
      <c r="A83">
        <v>0</v>
      </c>
      <c r="B83" t="s">
        <v>312</v>
      </c>
      <c r="C83" t="s">
        <v>382</v>
      </c>
      <c r="D83" t="s">
        <v>2</v>
      </c>
      <c r="E83" t="s">
        <v>382</v>
      </c>
      <c r="F83" t="s">
        <v>13</v>
      </c>
      <c r="G83" t="s">
        <v>525</v>
      </c>
    </row>
    <row r="84" spans="1:7" x14ac:dyDescent="0.3">
      <c r="A84">
        <v>0</v>
      </c>
      <c r="B84" t="s">
        <v>312</v>
      </c>
      <c r="C84" t="s">
        <v>424</v>
      </c>
      <c r="D84" t="s">
        <v>2</v>
      </c>
      <c r="E84" t="s">
        <v>424</v>
      </c>
      <c r="F84" t="s">
        <v>13</v>
      </c>
      <c r="G84" t="s">
        <v>525</v>
      </c>
    </row>
    <row r="85" spans="1:7" x14ac:dyDescent="0.3">
      <c r="A85">
        <v>0</v>
      </c>
      <c r="B85" t="s">
        <v>314</v>
      </c>
      <c r="C85" t="s">
        <v>351</v>
      </c>
      <c r="D85" t="s">
        <v>2</v>
      </c>
      <c r="E85" t="s">
        <v>351</v>
      </c>
      <c r="F85" t="s">
        <v>13</v>
      </c>
      <c r="G85" t="s">
        <v>525</v>
      </c>
    </row>
    <row r="86" spans="1:7" x14ac:dyDescent="0.3">
      <c r="A86">
        <v>0</v>
      </c>
      <c r="B86" t="s">
        <v>312</v>
      </c>
      <c r="C86" t="s">
        <v>347</v>
      </c>
      <c r="D86" t="s">
        <v>2</v>
      </c>
      <c r="E86" t="s">
        <v>347</v>
      </c>
      <c r="F86" t="s">
        <v>13</v>
      </c>
      <c r="G86" t="s">
        <v>525</v>
      </c>
    </row>
    <row r="87" spans="1:7" x14ac:dyDescent="0.3">
      <c r="A87">
        <v>0</v>
      </c>
      <c r="B87" t="s">
        <v>314</v>
      </c>
      <c r="C87" t="s">
        <v>453</v>
      </c>
      <c r="D87" t="s">
        <v>2</v>
      </c>
      <c r="E87" t="s">
        <v>453</v>
      </c>
      <c r="F87" t="s">
        <v>13</v>
      </c>
      <c r="G87" t="s">
        <v>525</v>
      </c>
    </row>
    <row r="88" spans="1:7" x14ac:dyDescent="0.3">
      <c r="A88">
        <v>0</v>
      </c>
      <c r="B88" t="s">
        <v>319</v>
      </c>
      <c r="C88" t="s">
        <v>457</v>
      </c>
      <c r="D88" t="s">
        <v>2</v>
      </c>
      <c r="E88" t="s">
        <v>457</v>
      </c>
      <c r="F88" t="s">
        <v>13</v>
      </c>
      <c r="G88" t="s">
        <v>525</v>
      </c>
    </row>
    <row r="89" spans="1:7" x14ac:dyDescent="0.3">
      <c r="A89">
        <v>0</v>
      </c>
      <c r="B89" t="s">
        <v>312</v>
      </c>
      <c r="C89" t="s">
        <v>485</v>
      </c>
      <c r="D89" t="s">
        <v>2</v>
      </c>
      <c r="E89" t="s">
        <v>485</v>
      </c>
      <c r="F89" t="s">
        <v>13</v>
      </c>
      <c r="G89" t="s">
        <v>525</v>
      </c>
    </row>
    <row r="90" spans="1:7" x14ac:dyDescent="0.3">
      <c r="A90">
        <v>0</v>
      </c>
      <c r="B90" t="s">
        <v>312</v>
      </c>
      <c r="C90" t="s">
        <v>355</v>
      </c>
      <c r="D90" t="s">
        <v>2</v>
      </c>
      <c r="E90" t="s">
        <v>355</v>
      </c>
      <c r="F90" t="s">
        <v>13</v>
      </c>
      <c r="G90" t="s">
        <v>525</v>
      </c>
    </row>
    <row r="91" spans="1:7" x14ac:dyDescent="0.3">
      <c r="A91">
        <v>0</v>
      </c>
      <c r="B91" t="s">
        <v>312</v>
      </c>
      <c r="C91" t="s">
        <v>338</v>
      </c>
      <c r="D91" t="s">
        <v>2</v>
      </c>
      <c r="E91" t="s">
        <v>338</v>
      </c>
      <c r="F91" t="s">
        <v>13</v>
      </c>
      <c r="G91" t="s">
        <v>525</v>
      </c>
    </row>
    <row r="92" spans="1:7" x14ac:dyDescent="0.3">
      <c r="A92">
        <v>0</v>
      </c>
      <c r="B92" t="s">
        <v>312</v>
      </c>
      <c r="C92" t="s">
        <v>394</v>
      </c>
      <c r="D92" t="s">
        <v>2</v>
      </c>
      <c r="E92" t="s">
        <v>394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438</v>
      </c>
      <c r="D93" t="s">
        <v>2</v>
      </c>
      <c r="E93" t="s">
        <v>438</v>
      </c>
      <c r="F93" t="s">
        <v>13</v>
      </c>
      <c r="G93" t="s">
        <v>525</v>
      </c>
    </row>
    <row r="94" spans="1:7" x14ac:dyDescent="0.3">
      <c r="A94">
        <v>0</v>
      </c>
      <c r="B94" t="s">
        <v>312</v>
      </c>
      <c r="C94" t="s">
        <v>486</v>
      </c>
      <c r="D94" t="s">
        <v>2</v>
      </c>
      <c r="E94" t="s">
        <v>486</v>
      </c>
      <c r="F94" t="s">
        <v>13</v>
      </c>
      <c r="G94" t="s">
        <v>525</v>
      </c>
    </row>
    <row r="95" spans="1:7" x14ac:dyDescent="0.3">
      <c r="A95">
        <v>0</v>
      </c>
      <c r="B95" t="s">
        <v>319</v>
      </c>
      <c r="C95" t="s">
        <v>419</v>
      </c>
      <c r="D95" t="s">
        <v>2</v>
      </c>
      <c r="E95" t="s">
        <v>419</v>
      </c>
      <c r="F95" t="s">
        <v>13</v>
      </c>
      <c r="G95" t="s">
        <v>525</v>
      </c>
    </row>
    <row r="96" spans="1:7" x14ac:dyDescent="0.3">
      <c r="A96">
        <v>0</v>
      </c>
      <c r="B96" t="s">
        <v>57</v>
      </c>
      <c r="C96" t="s">
        <v>353</v>
      </c>
      <c r="D96" t="s">
        <v>2</v>
      </c>
      <c r="E96" t="s">
        <v>353</v>
      </c>
      <c r="F96" t="s">
        <v>13</v>
      </c>
      <c r="G96" t="s">
        <v>525</v>
      </c>
    </row>
    <row r="97" spans="1:7" x14ac:dyDescent="0.3">
      <c r="A97">
        <v>0</v>
      </c>
      <c r="B97" t="s">
        <v>319</v>
      </c>
      <c r="C97" t="s">
        <v>489</v>
      </c>
      <c r="D97" t="s">
        <v>2</v>
      </c>
      <c r="E97" t="s">
        <v>489</v>
      </c>
      <c r="F97" t="s">
        <v>13</v>
      </c>
      <c r="G97" t="s">
        <v>525</v>
      </c>
    </row>
    <row r="98" spans="1:7" x14ac:dyDescent="0.3">
      <c r="A98">
        <v>0</v>
      </c>
      <c r="B98" t="s">
        <v>312</v>
      </c>
      <c r="C98" t="s">
        <v>386</v>
      </c>
      <c r="D98" t="s">
        <v>2</v>
      </c>
      <c r="E98" t="s">
        <v>386</v>
      </c>
      <c r="F98" t="s">
        <v>13</v>
      </c>
      <c r="G98" t="s">
        <v>525</v>
      </c>
    </row>
    <row r="99" spans="1:7" x14ac:dyDescent="0.3">
      <c r="A99">
        <v>0</v>
      </c>
      <c r="B99" t="s">
        <v>319</v>
      </c>
      <c r="C99" t="s">
        <v>389</v>
      </c>
      <c r="D99" t="s">
        <v>2</v>
      </c>
      <c r="E99" t="s">
        <v>389</v>
      </c>
      <c r="F99" t="s">
        <v>13</v>
      </c>
      <c r="G99" t="s">
        <v>525</v>
      </c>
    </row>
    <row r="100" spans="1:7" x14ac:dyDescent="0.3">
      <c r="A100">
        <v>0</v>
      </c>
      <c r="B100" t="s">
        <v>312</v>
      </c>
      <c r="C100" t="s">
        <v>340</v>
      </c>
      <c r="D100" t="s">
        <v>2</v>
      </c>
      <c r="E100" t="s">
        <v>340</v>
      </c>
      <c r="F100" t="s">
        <v>13</v>
      </c>
      <c r="G100" t="s">
        <v>525</v>
      </c>
    </row>
    <row r="101" spans="1:7" x14ac:dyDescent="0.3">
      <c r="A101">
        <v>0</v>
      </c>
      <c r="B101" t="s">
        <v>312</v>
      </c>
      <c r="C101" t="s">
        <v>368</v>
      </c>
      <c r="D101" t="s">
        <v>2</v>
      </c>
      <c r="E101" t="s">
        <v>368</v>
      </c>
      <c r="F101" t="s">
        <v>13</v>
      </c>
      <c r="G101" t="s">
        <v>525</v>
      </c>
    </row>
    <row r="102" spans="1:7" x14ac:dyDescent="0.3">
      <c r="A102">
        <v>0</v>
      </c>
      <c r="B102" t="s">
        <v>312</v>
      </c>
      <c r="C102" t="s">
        <v>328</v>
      </c>
      <c r="D102" t="s">
        <v>2</v>
      </c>
      <c r="E102" t="s">
        <v>328</v>
      </c>
      <c r="F102" t="s">
        <v>13</v>
      </c>
      <c r="G102" t="s">
        <v>525</v>
      </c>
    </row>
    <row r="103" spans="1:7" x14ac:dyDescent="0.3">
      <c r="A103">
        <v>0</v>
      </c>
      <c r="B103" t="s">
        <v>312</v>
      </c>
      <c r="C103" t="s">
        <v>479</v>
      </c>
      <c r="D103" t="s">
        <v>2</v>
      </c>
      <c r="E103" t="s">
        <v>479</v>
      </c>
      <c r="F103" t="s">
        <v>13</v>
      </c>
      <c r="G103" t="s">
        <v>525</v>
      </c>
    </row>
    <row r="104" spans="1:7" x14ac:dyDescent="0.3">
      <c r="A104">
        <v>0</v>
      </c>
      <c r="B104" t="s">
        <v>57</v>
      </c>
      <c r="C104" t="s">
        <v>116</v>
      </c>
      <c r="D104" t="s">
        <v>2</v>
      </c>
      <c r="E104" t="s">
        <v>116</v>
      </c>
      <c r="F104" t="s">
        <v>13</v>
      </c>
      <c r="G104" t="s">
        <v>525</v>
      </c>
    </row>
    <row r="105" spans="1:7" x14ac:dyDescent="0.3">
      <c r="A105">
        <v>0</v>
      </c>
      <c r="B105" t="s">
        <v>312</v>
      </c>
      <c r="C105" t="s">
        <v>352</v>
      </c>
      <c r="D105" t="s">
        <v>2</v>
      </c>
      <c r="E105" t="s">
        <v>352</v>
      </c>
      <c r="F105" t="s">
        <v>13</v>
      </c>
      <c r="G105" t="s">
        <v>525</v>
      </c>
    </row>
    <row r="106" spans="1:7" x14ac:dyDescent="0.3">
      <c r="A106">
        <v>0</v>
      </c>
      <c r="B106" t="s">
        <v>312</v>
      </c>
      <c r="C106" t="s">
        <v>417</v>
      </c>
      <c r="D106" t="s">
        <v>2</v>
      </c>
      <c r="E106" t="s">
        <v>417</v>
      </c>
      <c r="F106" t="s">
        <v>13</v>
      </c>
      <c r="G106" t="s">
        <v>525</v>
      </c>
    </row>
    <row r="107" spans="1:7" x14ac:dyDescent="0.3">
      <c r="A107">
        <v>0</v>
      </c>
      <c r="B107" t="s">
        <v>312</v>
      </c>
      <c r="C107" t="s">
        <v>447</v>
      </c>
      <c r="D107" t="s">
        <v>2</v>
      </c>
      <c r="E107" t="s">
        <v>447</v>
      </c>
      <c r="F107" t="s">
        <v>13</v>
      </c>
      <c r="G107" t="s">
        <v>525</v>
      </c>
    </row>
    <row r="108" spans="1:7" x14ac:dyDescent="0.3">
      <c r="A108">
        <v>0</v>
      </c>
      <c r="B108" t="s">
        <v>319</v>
      </c>
      <c r="C108" t="s">
        <v>329</v>
      </c>
      <c r="D108" t="s">
        <v>2</v>
      </c>
      <c r="E108" t="s">
        <v>329</v>
      </c>
      <c r="F108" t="s">
        <v>13</v>
      </c>
      <c r="G108" t="s">
        <v>525</v>
      </c>
    </row>
    <row r="109" spans="1:7" x14ac:dyDescent="0.3">
      <c r="A109">
        <v>0</v>
      </c>
      <c r="B109" t="s">
        <v>312</v>
      </c>
      <c r="C109" t="s">
        <v>252</v>
      </c>
      <c r="D109" t="s">
        <v>2</v>
      </c>
      <c r="E109" t="s">
        <v>252</v>
      </c>
      <c r="F109" t="s">
        <v>13</v>
      </c>
      <c r="G109" t="s">
        <v>525</v>
      </c>
    </row>
    <row r="110" spans="1:7" x14ac:dyDescent="0.3">
      <c r="A110">
        <v>0</v>
      </c>
      <c r="B110" t="s">
        <v>312</v>
      </c>
      <c r="C110" t="s">
        <v>317</v>
      </c>
      <c r="D110" t="s">
        <v>2</v>
      </c>
      <c r="E110" t="s">
        <v>317</v>
      </c>
      <c r="F110" t="s">
        <v>13</v>
      </c>
      <c r="G110" t="s">
        <v>525</v>
      </c>
    </row>
    <row r="111" spans="1:7" x14ac:dyDescent="0.3">
      <c r="A111">
        <v>0</v>
      </c>
      <c r="B111" t="s">
        <v>312</v>
      </c>
      <c r="C111" t="s">
        <v>436</v>
      </c>
      <c r="D111" t="s">
        <v>2</v>
      </c>
      <c r="E111" t="s">
        <v>436</v>
      </c>
      <c r="F111" t="s">
        <v>13</v>
      </c>
      <c r="G111" t="s">
        <v>525</v>
      </c>
    </row>
    <row r="112" spans="1:7" x14ac:dyDescent="0.3">
      <c r="A112">
        <v>0</v>
      </c>
      <c r="B112" t="s">
        <v>319</v>
      </c>
      <c r="C112" t="s">
        <v>490</v>
      </c>
      <c r="D112" t="s">
        <v>2</v>
      </c>
      <c r="E112" t="s">
        <v>490</v>
      </c>
      <c r="F112" t="s">
        <v>13</v>
      </c>
      <c r="G112" t="s">
        <v>525</v>
      </c>
    </row>
    <row r="113" spans="1:7" x14ac:dyDescent="0.3">
      <c r="A113">
        <v>0</v>
      </c>
      <c r="B113" t="s">
        <v>312</v>
      </c>
      <c r="C113" t="s">
        <v>391</v>
      </c>
      <c r="D113" t="s">
        <v>2</v>
      </c>
      <c r="E113" t="s">
        <v>391</v>
      </c>
      <c r="F113" t="s">
        <v>13</v>
      </c>
      <c r="G113" t="s">
        <v>525</v>
      </c>
    </row>
    <row r="114" spans="1:7" x14ac:dyDescent="0.3">
      <c r="A114">
        <v>0</v>
      </c>
      <c r="B114" t="s">
        <v>312</v>
      </c>
      <c r="C114" t="s">
        <v>235</v>
      </c>
      <c r="D114" t="s">
        <v>2</v>
      </c>
      <c r="E114" t="s">
        <v>235</v>
      </c>
      <c r="F114" t="s">
        <v>13</v>
      </c>
      <c r="G114" t="s">
        <v>525</v>
      </c>
    </row>
    <row r="115" spans="1:7" x14ac:dyDescent="0.3">
      <c r="A115">
        <v>0</v>
      </c>
      <c r="B115" t="s">
        <v>312</v>
      </c>
      <c r="C115" t="s">
        <v>493</v>
      </c>
      <c r="D115" t="s">
        <v>2</v>
      </c>
      <c r="E115" t="s">
        <v>493</v>
      </c>
      <c r="F115" t="s">
        <v>13</v>
      </c>
      <c r="G115" t="s">
        <v>525</v>
      </c>
    </row>
    <row r="116" spans="1:7" x14ac:dyDescent="0.3">
      <c r="A116">
        <v>0</v>
      </c>
      <c r="B116" t="s">
        <v>312</v>
      </c>
      <c r="C116" t="s">
        <v>335</v>
      </c>
      <c r="D116" t="s">
        <v>2</v>
      </c>
      <c r="E116" t="s">
        <v>335</v>
      </c>
      <c r="F116" t="s">
        <v>13</v>
      </c>
      <c r="G116" t="s">
        <v>525</v>
      </c>
    </row>
    <row r="117" spans="1:7" x14ac:dyDescent="0.3">
      <c r="A117">
        <v>0</v>
      </c>
      <c r="B117" t="s">
        <v>312</v>
      </c>
      <c r="C117" t="s">
        <v>354</v>
      </c>
      <c r="D117" t="s">
        <v>2</v>
      </c>
      <c r="E117" t="s">
        <v>354</v>
      </c>
      <c r="F117" t="s">
        <v>13</v>
      </c>
      <c r="G117" t="s">
        <v>525</v>
      </c>
    </row>
    <row r="118" spans="1:7" x14ac:dyDescent="0.3">
      <c r="A118">
        <v>0</v>
      </c>
      <c r="B118" t="s">
        <v>319</v>
      </c>
      <c r="C118" t="s">
        <v>360</v>
      </c>
      <c r="D118" t="s">
        <v>2</v>
      </c>
      <c r="E118" t="s">
        <v>360</v>
      </c>
      <c r="F118" t="s">
        <v>13</v>
      </c>
      <c r="G118" t="s">
        <v>525</v>
      </c>
    </row>
    <row r="119" spans="1:7" x14ac:dyDescent="0.3">
      <c r="A119">
        <v>0</v>
      </c>
      <c r="B119" t="s">
        <v>314</v>
      </c>
      <c r="C119" t="s">
        <v>356</v>
      </c>
      <c r="D119" t="s">
        <v>2</v>
      </c>
      <c r="E119" t="s">
        <v>356</v>
      </c>
      <c r="F119" t="s">
        <v>13</v>
      </c>
      <c r="G119" t="s">
        <v>525</v>
      </c>
    </row>
    <row r="120" spans="1:7" x14ac:dyDescent="0.3">
      <c r="A120">
        <v>0</v>
      </c>
      <c r="B120" t="s">
        <v>312</v>
      </c>
      <c r="C120" t="s">
        <v>405</v>
      </c>
      <c r="D120" t="s">
        <v>2</v>
      </c>
      <c r="E120" t="s">
        <v>405</v>
      </c>
      <c r="F120" t="s">
        <v>13</v>
      </c>
      <c r="G120" t="s">
        <v>525</v>
      </c>
    </row>
    <row r="121" spans="1:7" x14ac:dyDescent="0.3">
      <c r="A121">
        <v>0</v>
      </c>
      <c r="B121" t="s">
        <v>312</v>
      </c>
      <c r="C121" t="s">
        <v>471</v>
      </c>
      <c r="D121" t="s">
        <v>2</v>
      </c>
      <c r="E121" t="s">
        <v>471</v>
      </c>
      <c r="F121" t="s">
        <v>13</v>
      </c>
      <c r="G121" t="s">
        <v>525</v>
      </c>
    </row>
    <row r="122" spans="1:7" x14ac:dyDescent="0.3">
      <c r="A122">
        <v>0</v>
      </c>
      <c r="B122" t="s">
        <v>319</v>
      </c>
      <c r="C122" t="s">
        <v>421</v>
      </c>
      <c r="D122" t="s">
        <v>2</v>
      </c>
      <c r="E122" t="s">
        <v>421</v>
      </c>
      <c r="F122" t="s">
        <v>13</v>
      </c>
      <c r="G122" t="s">
        <v>525</v>
      </c>
    </row>
    <row r="123" spans="1:7" x14ac:dyDescent="0.3">
      <c r="A123">
        <v>0</v>
      </c>
      <c r="B123" t="s">
        <v>312</v>
      </c>
      <c r="C123" t="s">
        <v>321</v>
      </c>
      <c r="D123" t="s">
        <v>2</v>
      </c>
      <c r="E123" t="s">
        <v>321</v>
      </c>
      <c r="F123" t="s">
        <v>13</v>
      </c>
      <c r="G123" t="s">
        <v>525</v>
      </c>
    </row>
    <row r="124" spans="1:7" x14ac:dyDescent="0.3">
      <c r="A124">
        <v>0</v>
      </c>
      <c r="B124" t="s">
        <v>105</v>
      </c>
      <c r="C124" t="s">
        <v>113</v>
      </c>
      <c r="D124" t="s">
        <v>2</v>
      </c>
      <c r="E124" t="s">
        <v>113</v>
      </c>
      <c r="F124" t="s">
        <v>13</v>
      </c>
      <c r="G124" t="s">
        <v>525</v>
      </c>
    </row>
    <row r="125" spans="1:7" x14ac:dyDescent="0.3">
      <c r="A125">
        <v>0</v>
      </c>
      <c r="B125" t="s">
        <v>312</v>
      </c>
      <c r="C125" t="s">
        <v>348</v>
      </c>
      <c r="D125" t="s">
        <v>2</v>
      </c>
      <c r="E125" t="s">
        <v>348</v>
      </c>
      <c r="F125" t="s">
        <v>13</v>
      </c>
      <c r="G125" t="s">
        <v>525</v>
      </c>
    </row>
    <row r="126" spans="1:7" x14ac:dyDescent="0.3">
      <c r="A126">
        <v>0</v>
      </c>
      <c r="B126" t="s">
        <v>105</v>
      </c>
      <c r="C126" t="s">
        <v>469</v>
      </c>
      <c r="D126" t="s">
        <v>2</v>
      </c>
      <c r="E126" t="s">
        <v>469</v>
      </c>
      <c r="F126" t="s">
        <v>13</v>
      </c>
      <c r="G126" t="s">
        <v>525</v>
      </c>
    </row>
    <row r="127" spans="1:7" x14ac:dyDescent="0.3">
      <c r="A127">
        <v>0</v>
      </c>
      <c r="B127" t="s">
        <v>314</v>
      </c>
      <c r="C127" t="s">
        <v>481</v>
      </c>
      <c r="D127" t="s">
        <v>2</v>
      </c>
      <c r="E127" t="s">
        <v>481</v>
      </c>
      <c r="F127" t="s">
        <v>13</v>
      </c>
      <c r="G127" t="s">
        <v>525</v>
      </c>
    </row>
    <row r="128" spans="1:7" x14ac:dyDescent="0.3">
      <c r="A128">
        <v>0</v>
      </c>
      <c r="B128" t="s">
        <v>312</v>
      </c>
      <c r="C128" t="s">
        <v>398</v>
      </c>
      <c r="D128" t="s">
        <v>2</v>
      </c>
      <c r="E128" t="s">
        <v>398</v>
      </c>
      <c r="F128" t="s">
        <v>13</v>
      </c>
      <c r="G128" t="s">
        <v>525</v>
      </c>
    </row>
    <row r="129" spans="1:7" x14ac:dyDescent="0.3">
      <c r="A129">
        <v>0</v>
      </c>
      <c r="B129" t="s">
        <v>314</v>
      </c>
      <c r="C129" t="s">
        <v>342</v>
      </c>
      <c r="D129" t="s">
        <v>2</v>
      </c>
      <c r="E129" t="s">
        <v>342</v>
      </c>
      <c r="F129" t="s">
        <v>13</v>
      </c>
      <c r="G129" t="s">
        <v>525</v>
      </c>
    </row>
    <row r="130" spans="1:7" x14ac:dyDescent="0.3">
      <c r="A130">
        <v>0</v>
      </c>
      <c r="B130" t="s">
        <v>312</v>
      </c>
      <c r="C130" t="s">
        <v>322</v>
      </c>
      <c r="D130" t="s">
        <v>2</v>
      </c>
      <c r="E130" t="s">
        <v>322</v>
      </c>
      <c r="F130" t="s">
        <v>13</v>
      </c>
      <c r="G130" t="s">
        <v>525</v>
      </c>
    </row>
    <row r="131" spans="1:7" x14ac:dyDescent="0.3">
      <c r="A131">
        <v>0</v>
      </c>
      <c r="B131" t="s">
        <v>314</v>
      </c>
      <c r="C131" t="s">
        <v>409</v>
      </c>
      <c r="D131" t="s">
        <v>2</v>
      </c>
      <c r="E131" t="s">
        <v>409</v>
      </c>
      <c r="F131" t="s">
        <v>13</v>
      </c>
      <c r="G131" t="s">
        <v>525</v>
      </c>
    </row>
    <row r="132" spans="1:7" x14ac:dyDescent="0.3">
      <c r="A132">
        <v>0</v>
      </c>
      <c r="B132" t="s">
        <v>314</v>
      </c>
      <c r="C132" t="s">
        <v>480</v>
      </c>
      <c r="D132" t="s">
        <v>2</v>
      </c>
      <c r="E132" t="s">
        <v>480</v>
      </c>
      <c r="F132" t="s">
        <v>13</v>
      </c>
      <c r="G132" t="s">
        <v>525</v>
      </c>
    </row>
    <row r="133" spans="1:7" x14ac:dyDescent="0.3">
      <c r="A133">
        <v>0</v>
      </c>
      <c r="B133" t="s">
        <v>105</v>
      </c>
      <c r="C133" t="s">
        <v>121</v>
      </c>
      <c r="D133" t="s">
        <v>2</v>
      </c>
      <c r="E133" t="s">
        <v>121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359</v>
      </c>
      <c r="D134" t="s">
        <v>2</v>
      </c>
      <c r="E134" t="s">
        <v>359</v>
      </c>
      <c r="F134" t="s">
        <v>13</v>
      </c>
      <c r="G134" t="s">
        <v>525</v>
      </c>
    </row>
    <row r="135" spans="1:7" x14ac:dyDescent="0.3">
      <c r="A135">
        <v>0</v>
      </c>
      <c r="B135" t="s">
        <v>319</v>
      </c>
      <c r="C135" t="s">
        <v>468</v>
      </c>
      <c r="D135" t="s">
        <v>2</v>
      </c>
      <c r="E135" t="s">
        <v>468</v>
      </c>
      <c r="F135" t="s">
        <v>13</v>
      </c>
      <c r="G135" t="s">
        <v>525</v>
      </c>
    </row>
    <row r="136" spans="1:7" x14ac:dyDescent="0.3">
      <c r="A136">
        <v>0</v>
      </c>
      <c r="B136" t="s">
        <v>319</v>
      </c>
      <c r="C136" t="s">
        <v>458</v>
      </c>
      <c r="D136" t="s">
        <v>2</v>
      </c>
      <c r="E136" t="s">
        <v>458</v>
      </c>
      <c r="F136" t="s">
        <v>13</v>
      </c>
      <c r="G136" t="s">
        <v>525</v>
      </c>
    </row>
    <row r="137" spans="1:7" x14ac:dyDescent="0.3">
      <c r="A137">
        <v>0</v>
      </c>
      <c r="B137" t="s">
        <v>312</v>
      </c>
      <c r="C137" t="s">
        <v>370</v>
      </c>
      <c r="D137" t="s">
        <v>2</v>
      </c>
      <c r="E137" t="s">
        <v>370</v>
      </c>
      <c r="F137" t="s">
        <v>13</v>
      </c>
      <c r="G137" t="s">
        <v>525</v>
      </c>
    </row>
    <row r="138" spans="1:7" x14ac:dyDescent="0.3">
      <c r="A138">
        <v>0</v>
      </c>
      <c r="B138" t="s">
        <v>57</v>
      </c>
      <c r="C138" t="s">
        <v>114</v>
      </c>
      <c r="D138" t="s">
        <v>2</v>
      </c>
      <c r="E138" t="s">
        <v>114</v>
      </c>
      <c r="F138" t="s">
        <v>13</v>
      </c>
      <c r="G138" t="s">
        <v>525</v>
      </c>
    </row>
    <row r="139" spans="1:7" x14ac:dyDescent="0.3">
      <c r="A139">
        <v>0</v>
      </c>
      <c r="B139" t="s">
        <v>319</v>
      </c>
      <c r="C139" t="s">
        <v>404</v>
      </c>
      <c r="D139" t="s">
        <v>2</v>
      </c>
      <c r="E139" t="s">
        <v>404</v>
      </c>
      <c r="F139" t="s">
        <v>13</v>
      </c>
      <c r="G139" t="s">
        <v>525</v>
      </c>
    </row>
    <row r="140" spans="1:7" x14ac:dyDescent="0.3">
      <c r="A140">
        <v>0</v>
      </c>
      <c r="B140" t="s">
        <v>312</v>
      </c>
      <c r="C140" t="s">
        <v>369</v>
      </c>
      <c r="D140" t="s">
        <v>2</v>
      </c>
      <c r="E140" t="s">
        <v>369</v>
      </c>
      <c r="F140" t="s">
        <v>13</v>
      </c>
      <c r="G140" t="s">
        <v>525</v>
      </c>
    </row>
    <row r="141" spans="1:7" x14ac:dyDescent="0.3">
      <c r="A141">
        <v>0</v>
      </c>
      <c r="B141" t="s">
        <v>57</v>
      </c>
      <c r="C141" t="s">
        <v>122</v>
      </c>
      <c r="D141" t="s">
        <v>2</v>
      </c>
      <c r="E141" t="s">
        <v>122</v>
      </c>
      <c r="F141" t="s">
        <v>13</v>
      </c>
      <c r="G141" t="s">
        <v>525</v>
      </c>
    </row>
    <row r="142" spans="1:7" x14ac:dyDescent="0.3">
      <c r="A142">
        <v>0</v>
      </c>
      <c r="B142" t="s">
        <v>319</v>
      </c>
      <c r="C142" t="s">
        <v>390</v>
      </c>
      <c r="D142" t="s">
        <v>2</v>
      </c>
      <c r="E142" t="s">
        <v>390</v>
      </c>
      <c r="F142" t="s">
        <v>13</v>
      </c>
      <c r="G142" t="s">
        <v>525</v>
      </c>
    </row>
    <row r="143" spans="1:7" x14ac:dyDescent="0.3">
      <c r="A143">
        <v>0</v>
      </c>
      <c r="B143" t="s">
        <v>312</v>
      </c>
      <c r="C143" t="s">
        <v>492</v>
      </c>
      <c r="D143" t="s">
        <v>2</v>
      </c>
      <c r="E143" t="s">
        <v>492</v>
      </c>
      <c r="F143" t="s">
        <v>13</v>
      </c>
      <c r="G143" t="s">
        <v>525</v>
      </c>
    </row>
    <row r="144" spans="1:7" x14ac:dyDescent="0.3">
      <c r="A144">
        <v>0</v>
      </c>
      <c r="B144" t="s">
        <v>312</v>
      </c>
      <c r="C144" t="s">
        <v>345</v>
      </c>
      <c r="D144" t="s">
        <v>2</v>
      </c>
      <c r="E144" t="s">
        <v>345</v>
      </c>
      <c r="F144" t="s">
        <v>13</v>
      </c>
      <c r="G144" t="s">
        <v>525</v>
      </c>
    </row>
    <row r="145" spans="1:7" x14ac:dyDescent="0.3">
      <c r="A145">
        <v>0</v>
      </c>
      <c r="B145" t="s">
        <v>314</v>
      </c>
      <c r="C145" t="s">
        <v>374</v>
      </c>
      <c r="D145" t="s">
        <v>2</v>
      </c>
      <c r="E145" t="s">
        <v>374</v>
      </c>
      <c r="F145" t="s">
        <v>13</v>
      </c>
      <c r="G145" t="s">
        <v>525</v>
      </c>
    </row>
    <row r="146" spans="1:7" x14ac:dyDescent="0.3">
      <c r="A146">
        <v>0</v>
      </c>
      <c r="B146" t="s">
        <v>105</v>
      </c>
      <c r="C146" t="s">
        <v>124</v>
      </c>
      <c r="D146" t="s">
        <v>2</v>
      </c>
      <c r="E146" t="s">
        <v>124</v>
      </c>
      <c r="F146" t="s">
        <v>13</v>
      </c>
      <c r="G146" t="s">
        <v>525</v>
      </c>
    </row>
    <row r="147" spans="1:7" x14ac:dyDescent="0.3">
      <c r="A147">
        <v>0</v>
      </c>
      <c r="B147" t="s">
        <v>312</v>
      </c>
      <c r="C147" t="s">
        <v>440</v>
      </c>
      <c r="D147" t="s">
        <v>2</v>
      </c>
      <c r="E147" t="s">
        <v>440</v>
      </c>
      <c r="F147" t="s">
        <v>13</v>
      </c>
      <c r="G147" t="s">
        <v>525</v>
      </c>
    </row>
    <row r="148" spans="1:7" x14ac:dyDescent="0.3">
      <c r="A148">
        <v>0</v>
      </c>
      <c r="B148" t="s">
        <v>312</v>
      </c>
      <c r="C148" t="s">
        <v>316</v>
      </c>
      <c r="D148" t="s">
        <v>2</v>
      </c>
      <c r="E148" t="s">
        <v>316</v>
      </c>
      <c r="F148" t="s">
        <v>13</v>
      </c>
      <c r="G148" t="s">
        <v>525</v>
      </c>
    </row>
    <row r="149" spans="1:7" x14ac:dyDescent="0.3">
      <c r="A149">
        <v>0</v>
      </c>
      <c r="B149" t="s">
        <v>312</v>
      </c>
      <c r="C149" t="s">
        <v>427</v>
      </c>
      <c r="D149" t="s">
        <v>2</v>
      </c>
      <c r="E149" t="s">
        <v>427</v>
      </c>
      <c r="F149" t="s">
        <v>13</v>
      </c>
      <c r="G149" t="s">
        <v>525</v>
      </c>
    </row>
    <row r="150" spans="1:7" x14ac:dyDescent="0.3">
      <c r="A150">
        <v>0</v>
      </c>
      <c r="B150" t="s">
        <v>312</v>
      </c>
      <c r="C150" t="s">
        <v>332</v>
      </c>
      <c r="D150" t="s">
        <v>2</v>
      </c>
      <c r="E150" t="s">
        <v>332</v>
      </c>
      <c r="F150" t="s">
        <v>13</v>
      </c>
      <c r="G150" t="s">
        <v>525</v>
      </c>
    </row>
    <row r="151" spans="1:7" x14ac:dyDescent="0.3">
      <c r="A151">
        <v>0</v>
      </c>
      <c r="B151" t="s">
        <v>312</v>
      </c>
      <c r="C151" t="s">
        <v>336</v>
      </c>
      <c r="D151" t="s">
        <v>2</v>
      </c>
      <c r="E151" t="s">
        <v>336</v>
      </c>
      <c r="F151" t="s">
        <v>13</v>
      </c>
      <c r="G151" t="s">
        <v>525</v>
      </c>
    </row>
    <row r="152" spans="1:7" x14ac:dyDescent="0.3">
      <c r="A152">
        <v>0</v>
      </c>
      <c r="B152" t="s">
        <v>314</v>
      </c>
      <c r="C152" t="s">
        <v>393</v>
      </c>
      <c r="D152" t="s">
        <v>2</v>
      </c>
      <c r="E152" t="s">
        <v>393</v>
      </c>
      <c r="F152" t="s">
        <v>13</v>
      </c>
      <c r="G152" t="s">
        <v>525</v>
      </c>
    </row>
    <row r="153" spans="1:7" x14ac:dyDescent="0.3">
      <c r="A153">
        <v>0</v>
      </c>
      <c r="B153" t="s">
        <v>312</v>
      </c>
      <c r="C153" t="s">
        <v>339</v>
      </c>
      <c r="D153" t="s">
        <v>2</v>
      </c>
      <c r="E153" t="s">
        <v>339</v>
      </c>
      <c r="F153" t="s">
        <v>13</v>
      </c>
      <c r="G153" t="s">
        <v>525</v>
      </c>
    </row>
    <row r="154" spans="1:7" x14ac:dyDescent="0.3">
      <c r="A154">
        <v>0</v>
      </c>
      <c r="B154" t="s">
        <v>312</v>
      </c>
      <c r="C154" t="s">
        <v>400</v>
      </c>
      <c r="D154" t="s">
        <v>2</v>
      </c>
      <c r="E154" t="s">
        <v>400</v>
      </c>
      <c r="F154" t="s">
        <v>13</v>
      </c>
      <c r="G154" t="s">
        <v>525</v>
      </c>
    </row>
    <row r="155" spans="1:7" x14ac:dyDescent="0.3">
      <c r="A155">
        <v>0</v>
      </c>
      <c r="B155" t="s">
        <v>312</v>
      </c>
      <c r="C155" t="s">
        <v>380</v>
      </c>
      <c r="D155" t="s">
        <v>2</v>
      </c>
      <c r="E155" t="s">
        <v>380</v>
      </c>
      <c r="F155" t="s">
        <v>13</v>
      </c>
      <c r="G155" t="s">
        <v>525</v>
      </c>
    </row>
    <row r="156" spans="1:7" x14ac:dyDescent="0.3">
      <c r="A156">
        <v>0</v>
      </c>
      <c r="B156" t="s">
        <v>312</v>
      </c>
      <c r="C156" t="s">
        <v>442</v>
      </c>
      <c r="D156" t="s">
        <v>2</v>
      </c>
      <c r="E156" t="s">
        <v>442</v>
      </c>
      <c r="F156" t="s">
        <v>13</v>
      </c>
      <c r="G156" t="s">
        <v>525</v>
      </c>
    </row>
    <row r="157" spans="1:7" x14ac:dyDescent="0.3">
      <c r="A157">
        <v>0</v>
      </c>
      <c r="B157" t="s">
        <v>314</v>
      </c>
      <c r="C157" t="s">
        <v>349</v>
      </c>
      <c r="D157" t="s">
        <v>2</v>
      </c>
      <c r="E157" t="s">
        <v>349</v>
      </c>
      <c r="F157" t="s">
        <v>13</v>
      </c>
      <c r="G157" t="s">
        <v>525</v>
      </c>
    </row>
    <row r="158" spans="1:7" x14ac:dyDescent="0.3">
      <c r="A158">
        <v>0</v>
      </c>
      <c r="B158" t="s">
        <v>57</v>
      </c>
      <c r="C158" t="s">
        <v>470</v>
      </c>
      <c r="D158" t="s">
        <v>2</v>
      </c>
      <c r="E158" t="s">
        <v>470</v>
      </c>
      <c r="F158" t="s">
        <v>13</v>
      </c>
      <c r="G158" t="s">
        <v>525</v>
      </c>
    </row>
    <row r="159" spans="1:7" x14ac:dyDescent="0.3">
      <c r="A159">
        <v>0</v>
      </c>
      <c r="B159" t="s">
        <v>319</v>
      </c>
      <c r="C159" t="s">
        <v>463</v>
      </c>
      <c r="D159" t="s">
        <v>2</v>
      </c>
      <c r="E159" t="s">
        <v>463</v>
      </c>
      <c r="F159" t="s">
        <v>13</v>
      </c>
      <c r="G159" t="s">
        <v>525</v>
      </c>
    </row>
    <row r="160" spans="1:7" x14ac:dyDescent="0.3">
      <c r="A160">
        <v>0</v>
      </c>
      <c r="B160" t="s">
        <v>314</v>
      </c>
      <c r="C160" t="s">
        <v>343</v>
      </c>
      <c r="D160" t="s">
        <v>2</v>
      </c>
      <c r="E160" t="s">
        <v>343</v>
      </c>
      <c r="F160" t="s">
        <v>13</v>
      </c>
      <c r="G160" t="s">
        <v>525</v>
      </c>
    </row>
    <row r="161" spans="1:7" x14ac:dyDescent="0.3">
      <c r="A161">
        <v>0</v>
      </c>
      <c r="B161" t="s">
        <v>312</v>
      </c>
      <c r="C161" t="s">
        <v>371</v>
      </c>
      <c r="D161" t="s">
        <v>2</v>
      </c>
      <c r="E161" t="s">
        <v>371</v>
      </c>
      <c r="F161" t="s">
        <v>13</v>
      </c>
      <c r="G161" t="s">
        <v>525</v>
      </c>
    </row>
    <row r="162" spans="1:7" x14ac:dyDescent="0.3">
      <c r="A162">
        <v>0</v>
      </c>
      <c r="B162" t="s">
        <v>312</v>
      </c>
      <c r="C162" t="s">
        <v>366</v>
      </c>
      <c r="D162" t="s">
        <v>2</v>
      </c>
      <c r="E162" t="s">
        <v>366</v>
      </c>
      <c r="F162" t="s">
        <v>13</v>
      </c>
      <c r="G162" t="s">
        <v>525</v>
      </c>
    </row>
    <row r="163" spans="1:7" x14ac:dyDescent="0.3">
      <c r="A163">
        <v>0</v>
      </c>
      <c r="B163" t="s">
        <v>312</v>
      </c>
      <c r="C163" t="s">
        <v>384</v>
      </c>
      <c r="D163" t="s">
        <v>2</v>
      </c>
      <c r="E163" t="s">
        <v>384</v>
      </c>
      <c r="F163" t="s">
        <v>13</v>
      </c>
      <c r="G163" t="s">
        <v>525</v>
      </c>
    </row>
    <row r="164" spans="1:7" x14ac:dyDescent="0.3">
      <c r="A164">
        <v>0</v>
      </c>
      <c r="B164" t="s">
        <v>319</v>
      </c>
      <c r="C164" t="s">
        <v>464</v>
      </c>
      <c r="D164" t="s">
        <v>2</v>
      </c>
      <c r="E164" t="s">
        <v>464</v>
      </c>
      <c r="F164" t="s">
        <v>13</v>
      </c>
      <c r="G164" t="s">
        <v>525</v>
      </c>
    </row>
    <row r="165" spans="1:7" x14ac:dyDescent="0.3">
      <c r="A165">
        <v>0</v>
      </c>
      <c r="B165" t="s">
        <v>312</v>
      </c>
      <c r="C165" t="s">
        <v>323</v>
      </c>
      <c r="D165" t="s">
        <v>2</v>
      </c>
      <c r="E165" t="s">
        <v>323</v>
      </c>
      <c r="F165" t="s">
        <v>13</v>
      </c>
      <c r="G165" t="s">
        <v>525</v>
      </c>
    </row>
    <row r="166" spans="1:7" x14ac:dyDescent="0.3">
      <c r="A166">
        <v>0</v>
      </c>
      <c r="B166" t="s">
        <v>314</v>
      </c>
      <c r="C166" t="s">
        <v>414</v>
      </c>
      <c r="D166" t="s">
        <v>2</v>
      </c>
      <c r="E166" t="s">
        <v>414</v>
      </c>
      <c r="F166" t="s">
        <v>13</v>
      </c>
      <c r="G166" t="s">
        <v>525</v>
      </c>
    </row>
    <row r="167" spans="1:7" x14ac:dyDescent="0.3">
      <c r="A167">
        <v>0</v>
      </c>
      <c r="B167" t="s">
        <v>312</v>
      </c>
      <c r="C167" t="s">
        <v>261</v>
      </c>
      <c r="D167" t="s">
        <v>2</v>
      </c>
      <c r="E167" t="s">
        <v>261</v>
      </c>
      <c r="F167" t="s">
        <v>13</v>
      </c>
      <c r="G167" t="s">
        <v>525</v>
      </c>
    </row>
    <row r="168" spans="1:7" x14ac:dyDescent="0.3">
      <c r="A168">
        <v>0</v>
      </c>
      <c r="B168" t="s">
        <v>319</v>
      </c>
      <c r="C168" t="s">
        <v>364</v>
      </c>
      <c r="D168" t="s">
        <v>2</v>
      </c>
      <c r="E168" t="s">
        <v>364</v>
      </c>
      <c r="F168" t="s">
        <v>13</v>
      </c>
      <c r="G168" t="s">
        <v>525</v>
      </c>
    </row>
    <row r="169" spans="1:7" x14ac:dyDescent="0.3">
      <c r="A169">
        <v>0</v>
      </c>
      <c r="B169" t="s">
        <v>312</v>
      </c>
      <c r="C169" t="s">
        <v>373</v>
      </c>
      <c r="D169" t="s">
        <v>2</v>
      </c>
      <c r="E169" t="s">
        <v>373</v>
      </c>
      <c r="F169" t="s">
        <v>13</v>
      </c>
      <c r="G169" t="s">
        <v>525</v>
      </c>
    </row>
    <row r="170" spans="1:7" x14ac:dyDescent="0.3">
      <c r="A170">
        <v>0</v>
      </c>
      <c r="B170" t="s">
        <v>312</v>
      </c>
      <c r="C170" t="s">
        <v>482</v>
      </c>
      <c r="D170" t="s">
        <v>2</v>
      </c>
      <c r="E170" t="s">
        <v>482</v>
      </c>
      <c r="F170" t="s">
        <v>13</v>
      </c>
      <c r="G170" t="s">
        <v>525</v>
      </c>
    </row>
    <row r="171" spans="1:7" x14ac:dyDescent="0.3">
      <c r="A171">
        <v>0</v>
      </c>
      <c r="B171" t="s">
        <v>312</v>
      </c>
      <c r="C171" t="s">
        <v>412</v>
      </c>
      <c r="D171" t="s">
        <v>2</v>
      </c>
      <c r="E171" t="s">
        <v>412</v>
      </c>
      <c r="F171" t="s">
        <v>13</v>
      </c>
      <c r="G171" t="s">
        <v>525</v>
      </c>
    </row>
    <row r="172" spans="1:7" x14ac:dyDescent="0.3">
      <c r="A172">
        <v>0</v>
      </c>
      <c r="B172" t="s">
        <v>312</v>
      </c>
      <c r="C172" t="s">
        <v>434</v>
      </c>
      <c r="D172" t="s">
        <v>2</v>
      </c>
      <c r="E172" t="s">
        <v>434</v>
      </c>
      <c r="F172" t="s">
        <v>13</v>
      </c>
      <c r="G172" t="s">
        <v>525</v>
      </c>
    </row>
    <row r="173" spans="1:7" x14ac:dyDescent="0.3">
      <c r="A173">
        <v>0</v>
      </c>
      <c r="B173" t="s">
        <v>314</v>
      </c>
      <c r="C173" t="s">
        <v>443</v>
      </c>
      <c r="D173" t="s">
        <v>2</v>
      </c>
      <c r="E173" t="s">
        <v>443</v>
      </c>
      <c r="F173" t="s">
        <v>13</v>
      </c>
      <c r="G173" t="s">
        <v>525</v>
      </c>
    </row>
    <row r="174" spans="1:7" x14ac:dyDescent="0.3">
      <c r="A174">
        <v>0</v>
      </c>
      <c r="B174" t="s">
        <v>319</v>
      </c>
      <c r="C174" t="s">
        <v>430</v>
      </c>
      <c r="D174" t="s">
        <v>2</v>
      </c>
      <c r="E174" t="s">
        <v>430</v>
      </c>
      <c r="F174" t="s">
        <v>13</v>
      </c>
      <c r="G174" t="s">
        <v>525</v>
      </c>
    </row>
    <row r="175" spans="1:7" x14ac:dyDescent="0.3">
      <c r="A175">
        <v>0</v>
      </c>
      <c r="B175" t="s">
        <v>314</v>
      </c>
      <c r="C175" t="s">
        <v>408</v>
      </c>
      <c r="D175" t="s">
        <v>2</v>
      </c>
      <c r="E175" t="s">
        <v>408</v>
      </c>
      <c r="F175" t="s">
        <v>13</v>
      </c>
      <c r="G175" t="s">
        <v>525</v>
      </c>
    </row>
    <row r="176" spans="1:7" x14ac:dyDescent="0.3">
      <c r="A176">
        <v>0</v>
      </c>
      <c r="B176" t="s">
        <v>312</v>
      </c>
      <c r="C176" t="s">
        <v>138</v>
      </c>
      <c r="D176" t="s">
        <v>2</v>
      </c>
      <c r="E176" t="s">
        <v>138</v>
      </c>
      <c r="F176" t="s">
        <v>13</v>
      </c>
      <c r="G176" t="s">
        <v>525</v>
      </c>
    </row>
    <row r="177" spans="1:7" x14ac:dyDescent="0.3">
      <c r="A177">
        <v>0</v>
      </c>
      <c r="B177" t="s">
        <v>312</v>
      </c>
      <c r="C177" t="s">
        <v>275</v>
      </c>
      <c r="D177" t="s">
        <v>2</v>
      </c>
      <c r="E177" t="s">
        <v>275</v>
      </c>
      <c r="F177" t="s">
        <v>13</v>
      </c>
      <c r="G177" t="s">
        <v>525</v>
      </c>
    </row>
    <row r="178" spans="1:7" x14ac:dyDescent="0.3">
      <c r="A178">
        <v>0</v>
      </c>
      <c r="B178" t="s">
        <v>312</v>
      </c>
      <c r="C178" t="s">
        <v>337</v>
      </c>
      <c r="D178" t="s">
        <v>2</v>
      </c>
      <c r="E178" t="s">
        <v>337</v>
      </c>
      <c r="F178" t="s">
        <v>13</v>
      </c>
      <c r="G178" t="s">
        <v>525</v>
      </c>
    </row>
    <row r="179" spans="1:7" x14ac:dyDescent="0.3">
      <c r="A179">
        <v>0</v>
      </c>
      <c r="B179" t="s">
        <v>312</v>
      </c>
      <c r="C179" t="s">
        <v>331</v>
      </c>
      <c r="D179" t="s">
        <v>2</v>
      </c>
      <c r="E179" t="s">
        <v>331</v>
      </c>
      <c r="F179" t="s">
        <v>13</v>
      </c>
      <c r="G179" t="s">
        <v>525</v>
      </c>
    </row>
    <row r="180" spans="1:7" x14ac:dyDescent="0.3">
      <c r="A180">
        <v>0</v>
      </c>
      <c r="B180" t="s">
        <v>312</v>
      </c>
      <c r="C180" t="s">
        <v>452</v>
      </c>
      <c r="D180" t="s">
        <v>2</v>
      </c>
      <c r="E180" t="s">
        <v>452</v>
      </c>
      <c r="F180" t="s">
        <v>13</v>
      </c>
      <c r="G180" t="s">
        <v>525</v>
      </c>
    </row>
    <row r="181" spans="1:7" x14ac:dyDescent="0.3">
      <c r="A181">
        <v>0</v>
      </c>
      <c r="B181" t="s">
        <v>319</v>
      </c>
      <c r="C181" t="s">
        <v>477</v>
      </c>
      <c r="D181" t="s">
        <v>2</v>
      </c>
      <c r="E181" t="s">
        <v>477</v>
      </c>
      <c r="F181" t="s">
        <v>13</v>
      </c>
      <c r="G181" t="s">
        <v>525</v>
      </c>
    </row>
    <row r="182" spans="1:7" x14ac:dyDescent="0.3">
      <c r="A182">
        <v>0</v>
      </c>
      <c r="B182" t="s">
        <v>312</v>
      </c>
      <c r="C182" t="s">
        <v>446</v>
      </c>
      <c r="D182" t="s">
        <v>2</v>
      </c>
      <c r="E182" t="s">
        <v>446</v>
      </c>
      <c r="F182" t="s">
        <v>13</v>
      </c>
      <c r="G182" t="s">
        <v>525</v>
      </c>
    </row>
    <row r="183" spans="1:7" x14ac:dyDescent="0.3">
      <c r="A183">
        <v>0</v>
      </c>
      <c r="B183" t="s">
        <v>319</v>
      </c>
      <c r="C183" t="s">
        <v>491</v>
      </c>
      <c r="D183" t="s">
        <v>2</v>
      </c>
      <c r="E183" t="s">
        <v>491</v>
      </c>
      <c r="F183" t="s">
        <v>13</v>
      </c>
      <c r="G183" t="s">
        <v>525</v>
      </c>
    </row>
    <row r="184" spans="1:7" x14ac:dyDescent="0.3">
      <c r="A184">
        <v>0</v>
      </c>
      <c r="B184" t="s">
        <v>312</v>
      </c>
      <c r="C184" t="s">
        <v>326</v>
      </c>
      <c r="D184" t="s">
        <v>2</v>
      </c>
      <c r="E184" t="s">
        <v>326</v>
      </c>
      <c r="F184" t="s">
        <v>13</v>
      </c>
      <c r="G184" t="s">
        <v>525</v>
      </c>
    </row>
    <row r="185" spans="1:7" x14ac:dyDescent="0.3">
      <c r="A185">
        <v>0</v>
      </c>
      <c r="B185" t="s">
        <v>319</v>
      </c>
      <c r="C185" t="s">
        <v>415</v>
      </c>
      <c r="D185" t="s">
        <v>2</v>
      </c>
      <c r="E185" t="s">
        <v>415</v>
      </c>
      <c r="F185" t="s">
        <v>13</v>
      </c>
      <c r="G185" t="s">
        <v>525</v>
      </c>
    </row>
    <row r="186" spans="1:7" x14ac:dyDescent="0.3">
      <c r="A186">
        <v>0</v>
      </c>
      <c r="B186" t="s">
        <v>314</v>
      </c>
      <c r="C186" t="s">
        <v>451</v>
      </c>
      <c r="D186" t="s">
        <v>2</v>
      </c>
      <c r="E186" t="s">
        <v>451</v>
      </c>
      <c r="F186" t="s">
        <v>13</v>
      </c>
      <c r="G186" t="s">
        <v>525</v>
      </c>
    </row>
    <row r="187" spans="1:7" x14ac:dyDescent="0.3">
      <c r="A187">
        <v>0</v>
      </c>
      <c r="B187" t="s">
        <v>314</v>
      </c>
      <c r="C187" t="s">
        <v>448</v>
      </c>
      <c r="D187" t="s">
        <v>2</v>
      </c>
      <c r="E187" t="s">
        <v>448</v>
      </c>
      <c r="F187" t="s">
        <v>13</v>
      </c>
      <c r="G187" t="s">
        <v>525</v>
      </c>
    </row>
    <row r="188" spans="1:7" x14ac:dyDescent="0.3">
      <c r="A188">
        <v>0</v>
      </c>
      <c r="B188" t="s">
        <v>312</v>
      </c>
      <c r="C188" t="s">
        <v>423</v>
      </c>
      <c r="D188" t="s">
        <v>2</v>
      </c>
      <c r="E188" t="s">
        <v>423</v>
      </c>
      <c r="F188" t="s">
        <v>13</v>
      </c>
      <c r="G188" t="s">
        <v>525</v>
      </c>
    </row>
    <row r="189" spans="1:7" x14ac:dyDescent="0.3">
      <c r="A189">
        <v>0</v>
      </c>
      <c r="B189" t="s">
        <v>319</v>
      </c>
      <c r="C189" t="s">
        <v>361</v>
      </c>
      <c r="D189" t="s">
        <v>2</v>
      </c>
      <c r="E189" t="s">
        <v>361</v>
      </c>
      <c r="F189" t="s">
        <v>13</v>
      </c>
      <c r="G189" t="s">
        <v>525</v>
      </c>
    </row>
    <row r="190" spans="1:7" x14ac:dyDescent="0.3">
      <c r="A190">
        <v>0</v>
      </c>
      <c r="B190" t="s">
        <v>314</v>
      </c>
      <c r="C190" t="s">
        <v>467</v>
      </c>
      <c r="D190" t="s">
        <v>2</v>
      </c>
      <c r="E190" t="s">
        <v>467</v>
      </c>
      <c r="F190" t="s">
        <v>13</v>
      </c>
      <c r="G190" t="s">
        <v>525</v>
      </c>
    </row>
    <row r="191" spans="1:7" x14ac:dyDescent="0.3">
      <c r="A191">
        <v>0</v>
      </c>
      <c r="B191" t="s">
        <v>319</v>
      </c>
      <c r="C191" t="s">
        <v>420</v>
      </c>
      <c r="D191" t="s">
        <v>2</v>
      </c>
      <c r="E191" t="s">
        <v>420</v>
      </c>
      <c r="F191" t="s">
        <v>13</v>
      </c>
      <c r="G191" t="s">
        <v>525</v>
      </c>
    </row>
    <row r="192" spans="1:7" x14ac:dyDescent="0.3">
      <c r="A192">
        <v>0</v>
      </c>
      <c r="B192" t="s">
        <v>314</v>
      </c>
      <c r="C192" t="s">
        <v>487</v>
      </c>
      <c r="D192" t="s">
        <v>2</v>
      </c>
      <c r="E192" t="s">
        <v>487</v>
      </c>
      <c r="F192" t="s">
        <v>13</v>
      </c>
      <c r="G192" t="s">
        <v>525</v>
      </c>
    </row>
    <row r="193" spans="1:7" x14ac:dyDescent="0.3">
      <c r="A193">
        <v>0</v>
      </c>
      <c r="B193" t="s">
        <v>312</v>
      </c>
      <c r="C193" t="s">
        <v>149</v>
      </c>
      <c r="D193" t="s">
        <v>2</v>
      </c>
      <c r="E193" t="s">
        <v>149</v>
      </c>
      <c r="F193" t="s">
        <v>13</v>
      </c>
      <c r="G193" t="s">
        <v>525</v>
      </c>
    </row>
    <row r="194" spans="1:7" x14ac:dyDescent="0.3">
      <c r="A194">
        <v>0</v>
      </c>
      <c r="B194" t="s">
        <v>314</v>
      </c>
      <c r="C194" t="s">
        <v>377</v>
      </c>
      <c r="D194" t="s">
        <v>2</v>
      </c>
      <c r="E194" t="s">
        <v>377</v>
      </c>
      <c r="F194" t="s">
        <v>13</v>
      </c>
      <c r="G194" t="s">
        <v>525</v>
      </c>
    </row>
    <row r="195" spans="1:7" x14ac:dyDescent="0.3">
      <c r="A195">
        <v>0</v>
      </c>
      <c r="B195" t="s">
        <v>312</v>
      </c>
      <c r="C195" t="s">
        <v>403</v>
      </c>
      <c r="D195" t="s">
        <v>2</v>
      </c>
      <c r="E195" t="s">
        <v>403</v>
      </c>
      <c r="F195" t="s">
        <v>13</v>
      </c>
      <c r="G195" t="s">
        <v>525</v>
      </c>
    </row>
    <row r="196" spans="1:7" x14ac:dyDescent="0.3">
      <c r="A196">
        <v>0</v>
      </c>
      <c r="B196" t="s">
        <v>312</v>
      </c>
      <c r="C196" t="s">
        <v>387</v>
      </c>
      <c r="D196" t="s">
        <v>2</v>
      </c>
      <c r="E196" t="s">
        <v>387</v>
      </c>
      <c r="F196" t="s">
        <v>13</v>
      </c>
      <c r="G196" t="s">
        <v>525</v>
      </c>
    </row>
    <row r="197" spans="1:7" x14ac:dyDescent="0.3">
      <c r="A197">
        <v>0</v>
      </c>
      <c r="B197" t="s">
        <v>312</v>
      </c>
      <c r="C197" t="s">
        <v>431</v>
      </c>
      <c r="D197" t="s">
        <v>2</v>
      </c>
      <c r="E197" t="s">
        <v>431</v>
      </c>
      <c r="F197" t="s">
        <v>13</v>
      </c>
      <c r="G197" t="s">
        <v>525</v>
      </c>
    </row>
    <row r="198" spans="1:7" x14ac:dyDescent="0.3">
      <c r="A198">
        <v>0</v>
      </c>
      <c r="B198" t="s">
        <v>319</v>
      </c>
      <c r="C198" t="s">
        <v>459</v>
      </c>
      <c r="D198" t="s">
        <v>2</v>
      </c>
      <c r="E198" t="s">
        <v>459</v>
      </c>
      <c r="F198" t="s">
        <v>13</v>
      </c>
      <c r="G198" t="s">
        <v>525</v>
      </c>
    </row>
    <row r="199" spans="1:7" x14ac:dyDescent="0.3">
      <c r="A199">
        <v>0</v>
      </c>
      <c r="B199" t="s">
        <v>314</v>
      </c>
      <c r="C199" t="s">
        <v>376</v>
      </c>
      <c r="D199" t="s">
        <v>2</v>
      </c>
      <c r="E199" t="s">
        <v>376</v>
      </c>
      <c r="F199" t="s">
        <v>13</v>
      </c>
      <c r="G199" t="s">
        <v>525</v>
      </c>
    </row>
    <row r="200" spans="1:7" x14ac:dyDescent="0.3">
      <c r="A200">
        <v>0</v>
      </c>
      <c r="B200" t="s">
        <v>312</v>
      </c>
      <c r="C200" t="s">
        <v>379</v>
      </c>
      <c r="D200" t="s">
        <v>2</v>
      </c>
      <c r="E200" t="s">
        <v>379</v>
      </c>
      <c r="F200" t="s">
        <v>13</v>
      </c>
      <c r="G200" t="s">
        <v>525</v>
      </c>
    </row>
    <row r="201" spans="1:7" x14ac:dyDescent="0.3">
      <c r="A201">
        <v>0</v>
      </c>
      <c r="B201" t="s">
        <v>314</v>
      </c>
      <c r="C201" t="s">
        <v>445</v>
      </c>
      <c r="D201" t="s">
        <v>2</v>
      </c>
      <c r="E201" t="s">
        <v>445</v>
      </c>
      <c r="F201" t="s">
        <v>13</v>
      </c>
      <c r="G201" t="s">
        <v>525</v>
      </c>
    </row>
    <row r="202" spans="1:7" x14ac:dyDescent="0.3">
      <c r="A202">
        <v>0</v>
      </c>
      <c r="B202" t="s">
        <v>319</v>
      </c>
      <c r="C202" t="s">
        <v>460</v>
      </c>
      <c r="D202" t="s">
        <v>2</v>
      </c>
      <c r="E202" t="s">
        <v>460</v>
      </c>
      <c r="F202" t="s">
        <v>13</v>
      </c>
      <c r="G202" t="s">
        <v>525</v>
      </c>
    </row>
    <row r="203" spans="1:7" x14ac:dyDescent="0.3">
      <c r="A203">
        <v>0</v>
      </c>
      <c r="B203" t="s">
        <v>314</v>
      </c>
      <c r="C203" t="s">
        <v>450</v>
      </c>
      <c r="D203" t="s">
        <v>2</v>
      </c>
      <c r="E203" t="s">
        <v>450</v>
      </c>
      <c r="F203" t="s">
        <v>13</v>
      </c>
      <c r="G203" t="s">
        <v>525</v>
      </c>
    </row>
    <row r="204" spans="1:7" x14ac:dyDescent="0.3">
      <c r="A204">
        <v>0</v>
      </c>
      <c r="B204" t="s">
        <v>312</v>
      </c>
      <c r="C204" t="s">
        <v>473</v>
      </c>
      <c r="D204" t="s">
        <v>2</v>
      </c>
      <c r="E204" t="s">
        <v>473</v>
      </c>
      <c r="F204" t="s">
        <v>13</v>
      </c>
      <c r="G204" t="s">
        <v>525</v>
      </c>
    </row>
    <row r="205" spans="1:7" x14ac:dyDescent="0.3">
      <c r="A205">
        <v>0</v>
      </c>
      <c r="B205" t="s">
        <v>314</v>
      </c>
      <c r="C205" t="s">
        <v>313</v>
      </c>
      <c r="D205" t="s">
        <v>2</v>
      </c>
      <c r="E205" t="s">
        <v>313</v>
      </c>
      <c r="F205" t="s">
        <v>13</v>
      </c>
      <c r="G205" t="s">
        <v>525</v>
      </c>
    </row>
    <row r="206" spans="1:7" x14ac:dyDescent="0.3">
      <c r="A206">
        <v>0</v>
      </c>
      <c r="B206" t="s">
        <v>312</v>
      </c>
      <c r="C206" t="s">
        <v>472</v>
      </c>
      <c r="D206" t="s">
        <v>2</v>
      </c>
      <c r="E206" t="s">
        <v>472</v>
      </c>
      <c r="F206" t="s">
        <v>13</v>
      </c>
      <c r="G206" t="s">
        <v>525</v>
      </c>
    </row>
    <row r="207" spans="1:7" x14ac:dyDescent="0.3">
      <c r="A207">
        <v>0</v>
      </c>
      <c r="B207" t="s">
        <v>312</v>
      </c>
      <c r="C207" t="s">
        <v>402</v>
      </c>
      <c r="D207" t="s">
        <v>2</v>
      </c>
      <c r="E207" t="s">
        <v>402</v>
      </c>
      <c r="F207" t="s">
        <v>13</v>
      </c>
      <c r="G207" t="s">
        <v>525</v>
      </c>
    </row>
    <row r="208" spans="1:7" x14ac:dyDescent="0.3">
      <c r="A208">
        <v>0</v>
      </c>
      <c r="B208" t="s">
        <v>314</v>
      </c>
      <c r="C208" t="s">
        <v>455</v>
      </c>
      <c r="D208" t="s">
        <v>2</v>
      </c>
      <c r="E208" t="s">
        <v>455</v>
      </c>
      <c r="F208" t="s">
        <v>13</v>
      </c>
      <c r="G208" t="s">
        <v>525</v>
      </c>
    </row>
    <row r="209" spans="1:7" x14ac:dyDescent="0.3">
      <c r="A209">
        <v>0</v>
      </c>
      <c r="B209" t="s">
        <v>312</v>
      </c>
      <c r="C209" t="s">
        <v>411</v>
      </c>
      <c r="D209" t="s">
        <v>2</v>
      </c>
      <c r="E209" t="s">
        <v>411</v>
      </c>
      <c r="F209" t="s">
        <v>13</v>
      </c>
      <c r="G209" t="s">
        <v>525</v>
      </c>
    </row>
    <row r="210" spans="1:7" x14ac:dyDescent="0.3">
      <c r="A210">
        <v>0</v>
      </c>
      <c r="B210" t="s">
        <v>312</v>
      </c>
      <c r="C210" t="s">
        <v>488</v>
      </c>
      <c r="D210" t="s">
        <v>2</v>
      </c>
      <c r="E210" t="s">
        <v>488</v>
      </c>
      <c r="F210" t="s">
        <v>13</v>
      </c>
      <c r="G210" t="s">
        <v>525</v>
      </c>
    </row>
    <row r="211" spans="1:7" x14ac:dyDescent="0.3">
      <c r="A211">
        <v>0</v>
      </c>
      <c r="B211" t="s">
        <v>319</v>
      </c>
      <c r="C211" t="s">
        <v>462</v>
      </c>
      <c r="D211" t="s">
        <v>2</v>
      </c>
      <c r="E211" t="s">
        <v>462</v>
      </c>
      <c r="F211" t="s">
        <v>13</v>
      </c>
      <c r="G211" t="s">
        <v>525</v>
      </c>
    </row>
    <row r="212" spans="1:7" x14ac:dyDescent="0.3">
      <c r="A212">
        <v>0</v>
      </c>
      <c r="B212" t="s">
        <v>312</v>
      </c>
      <c r="C212" t="s">
        <v>246</v>
      </c>
      <c r="D212" t="s">
        <v>2</v>
      </c>
      <c r="E212" t="s">
        <v>246</v>
      </c>
      <c r="F212" t="s">
        <v>13</v>
      </c>
      <c r="G212" t="s">
        <v>525</v>
      </c>
    </row>
    <row r="213" spans="1:7" x14ac:dyDescent="0.3">
      <c r="A213">
        <v>0</v>
      </c>
      <c r="B213" t="s">
        <v>312</v>
      </c>
      <c r="C213" t="s">
        <v>357</v>
      </c>
      <c r="D213" t="s">
        <v>2</v>
      </c>
      <c r="E213" t="s">
        <v>357</v>
      </c>
      <c r="F213" t="s">
        <v>13</v>
      </c>
      <c r="G213" t="s">
        <v>525</v>
      </c>
    </row>
    <row r="214" spans="1:7" x14ac:dyDescent="0.3">
      <c r="A214">
        <v>0</v>
      </c>
      <c r="B214" t="s">
        <v>314</v>
      </c>
      <c r="C214" t="s">
        <v>341</v>
      </c>
      <c r="D214" t="s">
        <v>2</v>
      </c>
      <c r="E214" t="s">
        <v>341</v>
      </c>
      <c r="F214" t="s">
        <v>13</v>
      </c>
      <c r="G214" t="s">
        <v>525</v>
      </c>
    </row>
    <row r="215" spans="1:7" x14ac:dyDescent="0.3">
      <c r="A215">
        <v>0</v>
      </c>
      <c r="B215" t="s">
        <v>319</v>
      </c>
      <c r="C215" t="s">
        <v>466</v>
      </c>
      <c r="D215" t="s">
        <v>2</v>
      </c>
      <c r="E215" t="s">
        <v>466</v>
      </c>
      <c r="F215" t="s">
        <v>13</v>
      </c>
      <c r="G215" t="s">
        <v>525</v>
      </c>
    </row>
    <row r="216" spans="1:7" x14ac:dyDescent="0.3">
      <c r="A216">
        <v>0</v>
      </c>
      <c r="B216" t="s">
        <v>319</v>
      </c>
      <c r="C216" t="s">
        <v>362</v>
      </c>
      <c r="D216" t="s">
        <v>2</v>
      </c>
      <c r="E216" t="s">
        <v>362</v>
      </c>
      <c r="F216" t="s">
        <v>13</v>
      </c>
      <c r="G216" t="s">
        <v>525</v>
      </c>
    </row>
    <row r="217" spans="1:7" x14ac:dyDescent="0.3">
      <c r="A217">
        <v>0</v>
      </c>
      <c r="B217" t="s">
        <v>312</v>
      </c>
      <c r="C217" t="s">
        <v>433</v>
      </c>
      <c r="D217" t="s">
        <v>2</v>
      </c>
      <c r="E217" t="s">
        <v>433</v>
      </c>
      <c r="F217" t="s">
        <v>13</v>
      </c>
      <c r="G217" t="s">
        <v>525</v>
      </c>
    </row>
    <row r="218" spans="1:7" x14ac:dyDescent="0.3">
      <c r="A218">
        <v>0</v>
      </c>
      <c r="B218" t="s">
        <v>312</v>
      </c>
      <c r="C218" t="s">
        <v>397</v>
      </c>
      <c r="D218" t="s">
        <v>2</v>
      </c>
      <c r="E218" t="s">
        <v>397</v>
      </c>
      <c r="F218" t="s">
        <v>13</v>
      </c>
      <c r="G218" t="s">
        <v>525</v>
      </c>
    </row>
    <row r="219" spans="1:7" x14ac:dyDescent="0.3">
      <c r="A219">
        <v>0</v>
      </c>
      <c r="B219" t="s">
        <v>319</v>
      </c>
      <c r="C219" t="s">
        <v>378</v>
      </c>
      <c r="D219" t="s">
        <v>2</v>
      </c>
      <c r="E219" t="s">
        <v>378</v>
      </c>
      <c r="F219" t="s">
        <v>13</v>
      </c>
      <c r="G219" t="s">
        <v>525</v>
      </c>
    </row>
    <row r="220" spans="1:7" x14ac:dyDescent="0.3">
      <c r="A220">
        <v>0</v>
      </c>
      <c r="B220" t="s">
        <v>105</v>
      </c>
      <c r="C220" t="s">
        <v>117</v>
      </c>
      <c r="D220" t="s">
        <v>2</v>
      </c>
      <c r="E220" t="s">
        <v>117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476</v>
      </c>
      <c r="D221" t="s">
        <v>2</v>
      </c>
      <c r="E221" t="s">
        <v>476</v>
      </c>
      <c r="F221" t="s">
        <v>13</v>
      </c>
      <c r="G221" t="s">
        <v>525</v>
      </c>
    </row>
    <row r="222" spans="1:7" x14ac:dyDescent="0.3">
      <c r="A222">
        <v>0</v>
      </c>
      <c r="B222" t="s">
        <v>319</v>
      </c>
      <c r="C222" t="s">
        <v>478</v>
      </c>
      <c r="D222" t="s">
        <v>2</v>
      </c>
      <c r="E222" t="s">
        <v>478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367</v>
      </c>
      <c r="D223" t="s">
        <v>2</v>
      </c>
      <c r="E223" t="s">
        <v>367</v>
      </c>
      <c r="F223" t="s">
        <v>13</v>
      </c>
      <c r="G223" t="s">
        <v>525</v>
      </c>
    </row>
    <row r="224" spans="1:7" x14ac:dyDescent="0.3">
      <c r="A224">
        <v>0</v>
      </c>
      <c r="B224" t="s">
        <v>312</v>
      </c>
      <c r="C224" t="s">
        <v>346</v>
      </c>
      <c r="D224" t="s">
        <v>2</v>
      </c>
      <c r="E224" t="s">
        <v>346</v>
      </c>
      <c r="F224" t="s">
        <v>13</v>
      </c>
      <c r="G224" t="s">
        <v>525</v>
      </c>
    </row>
    <row r="225" spans="1:7" x14ac:dyDescent="0.3">
      <c r="A225">
        <v>0</v>
      </c>
      <c r="B225" t="s">
        <v>105</v>
      </c>
      <c r="C225" t="s">
        <v>119</v>
      </c>
      <c r="D225" t="s">
        <v>2</v>
      </c>
      <c r="E225" t="s">
        <v>119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385</v>
      </c>
      <c r="D226" t="s">
        <v>2</v>
      </c>
      <c r="E226" t="s">
        <v>385</v>
      </c>
      <c r="F226" t="s">
        <v>13</v>
      </c>
      <c r="G226" t="s">
        <v>525</v>
      </c>
    </row>
    <row r="227" spans="1:7" x14ac:dyDescent="0.3">
      <c r="A227">
        <v>0</v>
      </c>
      <c r="B227" t="s">
        <v>57</v>
      </c>
      <c r="C227" t="s">
        <v>120</v>
      </c>
      <c r="D227" t="s">
        <v>2</v>
      </c>
      <c r="E227" t="s">
        <v>120</v>
      </c>
      <c r="F227" t="s">
        <v>13</v>
      </c>
      <c r="G227" t="s">
        <v>525</v>
      </c>
    </row>
    <row r="228" spans="1:7" x14ac:dyDescent="0.3">
      <c r="A228">
        <v>0</v>
      </c>
      <c r="B228" t="s">
        <v>312</v>
      </c>
      <c r="C228" t="s">
        <v>324</v>
      </c>
      <c r="D228" t="s">
        <v>2</v>
      </c>
      <c r="E228" t="s">
        <v>324</v>
      </c>
      <c r="F228" t="s">
        <v>13</v>
      </c>
      <c r="G228" t="s">
        <v>525</v>
      </c>
    </row>
    <row r="229" spans="1:7" x14ac:dyDescent="0.3">
      <c r="A229">
        <v>0</v>
      </c>
      <c r="B229" t="s">
        <v>312</v>
      </c>
      <c r="C229" t="s">
        <v>327</v>
      </c>
      <c r="D229" t="s">
        <v>2</v>
      </c>
      <c r="E229" t="s">
        <v>327</v>
      </c>
      <c r="F229" t="s">
        <v>13</v>
      </c>
      <c r="G229" t="s">
        <v>525</v>
      </c>
    </row>
    <row r="230" spans="1:7" x14ac:dyDescent="0.3">
      <c r="A230">
        <v>0</v>
      </c>
      <c r="B230" t="s">
        <v>314</v>
      </c>
      <c r="C230" t="s">
        <v>441</v>
      </c>
      <c r="D230" t="s">
        <v>2</v>
      </c>
      <c r="E230" t="s">
        <v>441</v>
      </c>
      <c r="F230" t="s">
        <v>13</v>
      </c>
      <c r="G230" t="s">
        <v>525</v>
      </c>
    </row>
    <row r="231" spans="1:7" x14ac:dyDescent="0.3">
      <c r="A231">
        <v>0</v>
      </c>
      <c r="B231" t="s">
        <v>105</v>
      </c>
      <c r="C231" t="s">
        <v>115</v>
      </c>
      <c r="D231" t="s">
        <v>2</v>
      </c>
      <c r="E231" t="s">
        <v>115</v>
      </c>
      <c r="F231" t="s">
        <v>13</v>
      </c>
      <c r="G231" t="s">
        <v>525</v>
      </c>
    </row>
    <row r="232" spans="1:7" x14ac:dyDescent="0.3">
      <c r="A232">
        <v>0</v>
      </c>
      <c r="B232" t="s">
        <v>312</v>
      </c>
      <c r="C232" t="s">
        <v>484</v>
      </c>
      <c r="D232" t="s">
        <v>2</v>
      </c>
      <c r="E232" t="s">
        <v>484</v>
      </c>
      <c r="F232" t="s">
        <v>13</v>
      </c>
      <c r="G232" t="s">
        <v>525</v>
      </c>
    </row>
    <row r="233" spans="1:7" x14ac:dyDescent="0.3">
      <c r="A233">
        <v>0</v>
      </c>
      <c r="B233" t="s">
        <v>312</v>
      </c>
      <c r="C233" t="s">
        <v>311</v>
      </c>
      <c r="D233" t="s">
        <v>2</v>
      </c>
      <c r="E233" t="s">
        <v>311</v>
      </c>
      <c r="F233" t="s">
        <v>13</v>
      </c>
      <c r="G233" t="s">
        <v>525</v>
      </c>
    </row>
    <row r="234" spans="1:7" x14ac:dyDescent="0.3">
      <c r="A234">
        <v>0</v>
      </c>
      <c r="B234" t="s">
        <v>312</v>
      </c>
      <c r="C234" t="s">
        <v>365</v>
      </c>
      <c r="D234" t="s">
        <v>2</v>
      </c>
      <c r="E234" t="s">
        <v>365</v>
      </c>
      <c r="F234" t="s">
        <v>13</v>
      </c>
      <c r="G234" t="s">
        <v>525</v>
      </c>
    </row>
    <row r="235" spans="1:7" x14ac:dyDescent="0.3">
      <c r="A235">
        <v>0</v>
      </c>
      <c r="B235" t="s">
        <v>314</v>
      </c>
      <c r="C235" t="s">
        <v>350</v>
      </c>
      <c r="D235" t="s">
        <v>2</v>
      </c>
      <c r="E235" t="s">
        <v>350</v>
      </c>
      <c r="F235" t="s">
        <v>13</v>
      </c>
      <c r="G235" t="s">
        <v>525</v>
      </c>
    </row>
    <row r="236" spans="1:7" x14ac:dyDescent="0.3">
      <c r="A236">
        <v>0</v>
      </c>
      <c r="B236" t="s">
        <v>105</v>
      </c>
      <c r="C236" t="s">
        <v>123</v>
      </c>
      <c r="D236" t="s">
        <v>2</v>
      </c>
      <c r="E236" t="s">
        <v>123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396</v>
      </c>
      <c r="D237" t="s">
        <v>2</v>
      </c>
      <c r="E237" t="s">
        <v>396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428</v>
      </c>
      <c r="D238" t="s">
        <v>2</v>
      </c>
      <c r="E238" t="s">
        <v>428</v>
      </c>
      <c r="F238" t="s">
        <v>13</v>
      </c>
      <c r="G238" t="s">
        <v>525</v>
      </c>
    </row>
    <row r="239" spans="1:7" x14ac:dyDescent="0.3">
      <c r="A239">
        <v>0</v>
      </c>
      <c r="B239" t="s">
        <v>312</v>
      </c>
      <c r="C239" t="s">
        <v>383</v>
      </c>
      <c r="D239" t="s">
        <v>2</v>
      </c>
      <c r="E239" t="s">
        <v>383</v>
      </c>
      <c r="F239" t="s">
        <v>13</v>
      </c>
      <c r="G239" t="s">
        <v>525</v>
      </c>
    </row>
    <row r="240" spans="1:7" x14ac:dyDescent="0.3">
      <c r="A240">
        <v>0</v>
      </c>
      <c r="B240" t="s">
        <v>312</v>
      </c>
      <c r="C240" t="s">
        <v>426</v>
      </c>
      <c r="D240" t="s">
        <v>2</v>
      </c>
      <c r="E240" t="s">
        <v>426</v>
      </c>
      <c r="F240" t="s">
        <v>13</v>
      </c>
      <c r="G240" t="s">
        <v>525</v>
      </c>
    </row>
    <row r="241" spans="1:7" x14ac:dyDescent="0.3">
      <c r="A241">
        <v>0</v>
      </c>
      <c r="B241" t="s">
        <v>312</v>
      </c>
      <c r="C241" t="s">
        <v>437</v>
      </c>
      <c r="D241" t="s">
        <v>2</v>
      </c>
      <c r="E241" t="s">
        <v>437</v>
      </c>
      <c r="F241" t="s">
        <v>13</v>
      </c>
      <c r="G241" t="s">
        <v>525</v>
      </c>
    </row>
    <row r="242" spans="1:7" x14ac:dyDescent="0.3">
      <c r="A242">
        <v>0</v>
      </c>
      <c r="B242" t="s">
        <v>312</v>
      </c>
      <c r="C242" t="s">
        <v>454</v>
      </c>
      <c r="D242" t="s">
        <v>2</v>
      </c>
      <c r="E242" t="s">
        <v>454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425</v>
      </c>
      <c r="D243" t="s">
        <v>2</v>
      </c>
      <c r="E243" t="s">
        <v>425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344</v>
      </c>
      <c r="D244" t="s">
        <v>2</v>
      </c>
      <c r="E244" t="s">
        <v>344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t="s">
        <v>407</v>
      </c>
      <c r="D245" t="s">
        <v>2</v>
      </c>
      <c r="E245" t="s">
        <v>407</v>
      </c>
      <c r="F245" t="s">
        <v>13</v>
      </c>
      <c r="G245" t="s">
        <v>525</v>
      </c>
    </row>
    <row r="246" spans="1:7" x14ac:dyDescent="0.3">
      <c r="A246">
        <v>0</v>
      </c>
      <c r="B246" t="s">
        <v>314</v>
      </c>
      <c r="C246" t="s">
        <v>413</v>
      </c>
      <c r="D246" t="s">
        <v>2</v>
      </c>
      <c r="E246" t="s">
        <v>413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392</v>
      </c>
      <c r="D247" t="s">
        <v>2</v>
      </c>
      <c r="E247" t="s">
        <v>392</v>
      </c>
      <c r="F247" t="s">
        <v>13</v>
      </c>
      <c r="G247" t="s">
        <v>525</v>
      </c>
    </row>
    <row r="248" spans="1:7" x14ac:dyDescent="0.3">
      <c r="A248">
        <v>0</v>
      </c>
      <c r="B248" t="s">
        <v>319</v>
      </c>
      <c r="C248" t="s">
        <v>422</v>
      </c>
      <c r="D248" t="s">
        <v>2</v>
      </c>
      <c r="E248" t="s">
        <v>422</v>
      </c>
      <c r="F248" t="s">
        <v>13</v>
      </c>
      <c r="G248" t="s">
        <v>525</v>
      </c>
    </row>
    <row r="249" spans="1:7" x14ac:dyDescent="0.3">
      <c r="A249">
        <v>0</v>
      </c>
      <c r="B249" t="s">
        <v>314</v>
      </c>
      <c r="C249" t="s">
        <v>495</v>
      </c>
      <c r="D249" t="s">
        <v>494</v>
      </c>
      <c r="E249" t="s">
        <v>495</v>
      </c>
      <c r="F249" t="s">
        <v>13</v>
      </c>
      <c r="G249" t="s">
        <v>525</v>
      </c>
    </row>
    <row r="250" spans="1:7" x14ac:dyDescent="0.3">
      <c r="A250">
        <v>0</v>
      </c>
      <c r="B250" t="s">
        <v>314</v>
      </c>
      <c r="C250" t="s">
        <v>497</v>
      </c>
      <c r="D250" t="s">
        <v>494</v>
      </c>
      <c r="E250" t="s">
        <v>497</v>
      </c>
      <c r="F250" t="s">
        <v>13</v>
      </c>
      <c r="G250" t="s">
        <v>525</v>
      </c>
    </row>
    <row r="251" spans="1:7" x14ac:dyDescent="0.3">
      <c r="A251">
        <v>0</v>
      </c>
      <c r="B251" t="s">
        <v>314</v>
      </c>
      <c r="C251" t="s">
        <v>496</v>
      </c>
      <c r="D251" t="s">
        <v>494</v>
      </c>
      <c r="E251" t="s">
        <v>496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513</v>
      </c>
      <c r="D252" t="s">
        <v>498</v>
      </c>
      <c r="E252" t="s">
        <v>513</v>
      </c>
      <c r="F252" t="s">
        <v>13</v>
      </c>
      <c r="G252" t="s">
        <v>525</v>
      </c>
    </row>
    <row r="253" spans="1:7" x14ac:dyDescent="0.3">
      <c r="A253">
        <v>0</v>
      </c>
      <c r="B253" t="s">
        <v>312</v>
      </c>
      <c r="C253" t="s">
        <v>515</v>
      </c>
      <c r="D253" t="s">
        <v>498</v>
      </c>
      <c r="E253" t="s">
        <v>515</v>
      </c>
      <c r="F253" t="s">
        <v>13</v>
      </c>
      <c r="G253" t="s">
        <v>525</v>
      </c>
    </row>
    <row r="254" spans="1:7" x14ac:dyDescent="0.3">
      <c r="A254">
        <v>0</v>
      </c>
      <c r="B254" t="s">
        <v>312</v>
      </c>
      <c r="C254" t="s">
        <v>509</v>
      </c>
      <c r="D254" t="s">
        <v>498</v>
      </c>
      <c r="E254" t="s">
        <v>509</v>
      </c>
      <c r="F254" t="s">
        <v>13</v>
      </c>
      <c r="G254" t="s">
        <v>525</v>
      </c>
    </row>
    <row r="255" spans="1:7" x14ac:dyDescent="0.3">
      <c r="A255">
        <v>0</v>
      </c>
      <c r="B255" t="s">
        <v>312</v>
      </c>
      <c r="C255" t="s">
        <v>502</v>
      </c>
      <c r="D255" t="s">
        <v>498</v>
      </c>
      <c r="E255" t="s">
        <v>502</v>
      </c>
      <c r="F255" t="s">
        <v>13</v>
      </c>
      <c r="G255" t="s">
        <v>525</v>
      </c>
    </row>
    <row r="256" spans="1:7" x14ac:dyDescent="0.3">
      <c r="A256">
        <v>0</v>
      </c>
      <c r="B256" t="s">
        <v>312</v>
      </c>
      <c r="C256" t="s">
        <v>500</v>
      </c>
      <c r="D256" t="s">
        <v>498</v>
      </c>
      <c r="E256" t="s">
        <v>500</v>
      </c>
      <c r="F256" t="s">
        <v>13</v>
      </c>
      <c r="G256" t="s">
        <v>525</v>
      </c>
    </row>
    <row r="257" spans="1:7" x14ac:dyDescent="0.3">
      <c r="A257">
        <v>0</v>
      </c>
      <c r="B257" t="s">
        <v>507</v>
      </c>
      <c r="C257" t="s">
        <v>506</v>
      </c>
      <c r="D257" t="s">
        <v>498</v>
      </c>
      <c r="E257" t="s">
        <v>506</v>
      </c>
      <c r="F257" t="s">
        <v>13</v>
      </c>
      <c r="G257" t="s">
        <v>525</v>
      </c>
    </row>
    <row r="258" spans="1:7" x14ac:dyDescent="0.3">
      <c r="A258">
        <v>0</v>
      </c>
      <c r="B258" t="s">
        <v>312</v>
      </c>
      <c r="C258" t="s">
        <v>514</v>
      </c>
      <c r="D258" t="s">
        <v>498</v>
      </c>
      <c r="E258" t="s">
        <v>514</v>
      </c>
      <c r="F258" t="s">
        <v>13</v>
      </c>
      <c r="G258" t="s">
        <v>525</v>
      </c>
    </row>
    <row r="259" spans="1:7" x14ac:dyDescent="0.3">
      <c r="A259">
        <v>0</v>
      </c>
      <c r="B259" t="s">
        <v>312</v>
      </c>
      <c r="C259" t="s">
        <v>499</v>
      </c>
      <c r="D259" t="s">
        <v>498</v>
      </c>
      <c r="E259" t="s">
        <v>499</v>
      </c>
      <c r="F259" t="s">
        <v>13</v>
      </c>
      <c r="G259" t="s">
        <v>525</v>
      </c>
    </row>
    <row r="260" spans="1:7" x14ac:dyDescent="0.3">
      <c r="A260">
        <v>0</v>
      </c>
      <c r="B260" t="s">
        <v>312</v>
      </c>
      <c r="C260" t="s">
        <v>508</v>
      </c>
      <c r="D260" t="s">
        <v>498</v>
      </c>
      <c r="E260" t="s">
        <v>508</v>
      </c>
      <c r="F260" t="s">
        <v>13</v>
      </c>
      <c r="G260" t="s">
        <v>525</v>
      </c>
    </row>
    <row r="261" spans="1:7" x14ac:dyDescent="0.3">
      <c r="A261">
        <v>0</v>
      </c>
      <c r="B261" t="s">
        <v>312</v>
      </c>
      <c r="C261" t="s">
        <v>519</v>
      </c>
      <c r="D261" t="s">
        <v>498</v>
      </c>
      <c r="E261" t="s">
        <v>519</v>
      </c>
      <c r="F261" t="s">
        <v>13</v>
      </c>
      <c r="G261" t="s">
        <v>525</v>
      </c>
    </row>
    <row r="262" spans="1:7" x14ac:dyDescent="0.3">
      <c r="A262">
        <v>0</v>
      </c>
      <c r="B262" t="s">
        <v>312</v>
      </c>
      <c r="C262" t="s">
        <v>510</v>
      </c>
      <c r="D262" t="s">
        <v>498</v>
      </c>
      <c r="E262" t="s">
        <v>510</v>
      </c>
      <c r="F262" t="s">
        <v>13</v>
      </c>
      <c r="G262" t="s">
        <v>525</v>
      </c>
    </row>
    <row r="263" spans="1:7" x14ac:dyDescent="0.3">
      <c r="A263">
        <v>0</v>
      </c>
      <c r="B263" t="s">
        <v>312</v>
      </c>
      <c r="C263" t="s">
        <v>521</v>
      </c>
      <c r="D263" t="s">
        <v>498</v>
      </c>
      <c r="E263" t="s">
        <v>521</v>
      </c>
      <c r="F263" t="s">
        <v>13</v>
      </c>
      <c r="G263" t="s">
        <v>525</v>
      </c>
    </row>
    <row r="264" spans="1:7" x14ac:dyDescent="0.3">
      <c r="A264">
        <v>0</v>
      </c>
      <c r="B264" t="s">
        <v>312</v>
      </c>
      <c r="C264" t="s">
        <v>501</v>
      </c>
      <c r="D264" t="s">
        <v>498</v>
      </c>
      <c r="E264" t="s">
        <v>501</v>
      </c>
      <c r="F264" t="s">
        <v>13</v>
      </c>
      <c r="G264" t="s">
        <v>525</v>
      </c>
    </row>
    <row r="265" spans="1:7" x14ac:dyDescent="0.3">
      <c r="A265">
        <v>0</v>
      </c>
      <c r="B265" t="s">
        <v>312</v>
      </c>
      <c r="C265" t="s">
        <v>504</v>
      </c>
      <c r="D265" t="s">
        <v>498</v>
      </c>
      <c r="E265" t="s">
        <v>504</v>
      </c>
      <c r="F265" t="s">
        <v>13</v>
      </c>
      <c r="G265" t="s">
        <v>525</v>
      </c>
    </row>
    <row r="266" spans="1:7" x14ac:dyDescent="0.3">
      <c r="A266">
        <v>0</v>
      </c>
      <c r="B266" t="s">
        <v>312</v>
      </c>
      <c r="C266" t="s">
        <v>520</v>
      </c>
      <c r="D266" t="s">
        <v>498</v>
      </c>
      <c r="E266" t="s">
        <v>520</v>
      </c>
      <c r="F266" t="s">
        <v>13</v>
      </c>
      <c r="G266" t="s">
        <v>525</v>
      </c>
    </row>
    <row r="267" spans="1:7" x14ac:dyDescent="0.3">
      <c r="A267">
        <v>0</v>
      </c>
      <c r="B267" t="s">
        <v>312</v>
      </c>
      <c r="C267" t="s">
        <v>523</v>
      </c>
      <c r="D267" t="s">
        <v>498</v>
      </c>
      <c r="E267" t="s">
        <v>523</v>
      </c>
      <c r="F267" t="s">
        <v>13</v>
      </c>
      <c r="G267" t="s">
        <v>525</v>
      </c>
    </row>
    <row r="268" spans="1:7" x14ac:dyDescent="0.3">
      <c r="A268">
        <v>0</v>
      </c>
      <c r="B268" t="s">
        <v>312</v>
      </c>
      <c r="C268" t="s">
        <v>503</v>
      </c>
      <c r="D268" t="s">
        <v>498</v>
      </c>
      <c r="E268" t="s">
        <v>503</v>
      </c>
      <c r="F268" t="s">
        <v>13</v>
      </c>
      <c r="G268" t="s">
        <v>525</v>
      </c>
    </row>
    <row r="269" spans="1:7" x14ac:dyDescent="0.3">
      <c r="A269">
        <v>0</v>
      </c>
      <c r="B269" t="s">
        <v>312</v>
      </c>
      <c r="C269" t="s">
        <v>512</v>
      </c>
      <c r="D269" t="s">
        <v>498</v>
      </c>
      <c r="E269" t="s">
        <v>512</v>
      </c>
      <c r="F269" t="s">
        <v>13</v>
      </c>
      <c r="G269" t="s">
        <v>525</v>
      </c>
    </row>
    <row r="270" spans="1:7" x14ac:dyDescent="0.3">
      <c r="A270">
        <v>0</v>
      </c>
      <c r="B270" t="s">
        <v>312</v>
      </c>
      <c r="C270" t="s">
        <v>505</v>
      </c>
      <c r="D270" t="s">
        <v>498</v>
      </c>
      <c r="E270" t="s">
        <v>505</v>
      </c>
      <c r="F270" t="s">
        <v>13</v>
      </c>
      <c r="G270" t="s">
        <v>525</v>
      </c>
    </row>
    <row r="271" spans="1:7" x14ac:dyDescent="0.3">
      <c r="A271">
        <v>0</v>
      </c>
      <c r="B271" t="s">
        <v>312</v>
      </c>
      <c r="C271" t="s">
        <v>518</v>
      </c>
      <c r="D271" t="s">
        <v>498</v>
      </c>
      <c r="E271" t="s">
        <v>518</v>
      </c>
      <c r="F271" t="s">
        <v>13</v>
      </c>
      <c r="G271" t="s">
        <v>525</v>
      </c>
    </row>
    <row r="272" spans="1:7" x14ac:dyDescent="0.3">
      <c r="A272">
        <v>0</v>
      </c>
      <c r="B272" t="s">
        <v>312</v>
      </c>
      <c r="C272" t="s">
        <v>522</v>
      </c>
      <c r="D272" t="s">
        <v>498</v>
      </c>
      <c r="E272" t="s">
        <v>522</v>
      </c>
      <c r="F272" t="s">
        <v>13</v>
      </c>
      <c r="G272" t="s">
        <v>525</v>
      </c>
    </row>
    <row r="273" spans="1:7" x14ac:dyDescent="0.3">
      <c r="A273">
        <v>0</v>
      </c>
      <c r="B273" t="s">
        <v>312</v>
      </c>
      <c r="C273" t="s">
        <v>516</v>
      </c>
      <c r="D273" t="s">
        <v>498</v>
      </c>
      <c r="E273" t="s">
        <v>516</v>
      </c>
      <c r="F273" t="s">
        <v>13</v>
      </c>
      <c r="G273" t="s">
        <v>525</v>
      </c>
    </row>
    <row r="274" spans="1:7" x14ac:dyDescent="0.3">
      <c r="A274">
        <v>0</v>
      </c>
      <c r="B274" t="s">
        <v>312</v>
      </c>
      <c r="C274" t="s">
        <v>517</v>
      </c>
      <c r="D274" t="s">
        <v>498</v>
      </c>
      <c r="E274" t="s">
        <v>517</v>
      </c>
      <c r="F274" t="s">
        <v>13</v>
      </c>
      <c r="G274" t="s">
        <v>525</v>
      </c>
    </row>
    <row r="275" spans="1:7" x14ac:dyDescent="0.3">
      <c r="A275">
        <v>0</v>
      </c>
      <c r="B275" t="s">
        <v>16</v>
      </c>
      <c r="C275" s="2" t="s">
        <v>22</v>
      </c>
      <c r="D275" t="s">
        <v>2</v>
      </c>
      <c r="E275" s="2" t="s">
        <v>22</v>
      </c>
      <c r="F275" t="s">
        <v>13</v>
      </c>
      <c r="G275" t="s">
        <v>525</v>
      </c>
    </row>
    <row r="276" spans="1:7" x14ac:dyDescent="0.3">
      <c r="A276">
        <v>0</v>
      </c>
      <c r="B276" t="s">
        <v>16</v>
      </c>
      <c r="C276" s="2" t="s">
        <v>49</v>
      </c>
      <c r="D276" t="s">
        <v>2</v>
      </c>
      <c r="E276" s="2" t="s">
        <v>49</v>
      </c>
      <c r="F276" t="s">
        <v>13</v>
      </c>
      <c r="G276" t="s">
        <v>525</v>
      </c>
    </row>
    <row r="277" spans="1:7" x14ac:dyDescent="0.3">
      <c r="A277">
        <v>0</v>
      </c>
      <c r="B277" t="s">
        <v>312</v>
      </c>
      <c r="C277" s="2" t="s">
        <v>55</v>
      </c>
      <c r="D277" t="s">
        <v>2</v>
      </c>
      <c r="E277" s="2" t="s">
        <v>55</v>
      </c>
      <c r="F277" t="s">
        <v>13</v>
      </c>
      <c r="G277" t="s">
        <v>525</v>
      </c>
    </row>
    <row r="278" spans="1:7" x14ac:dyDescent="0.3">
      <c r="A278">
        <v>0</v>
      </c>
      <c r="B278" t="s">
        <v>312</v>
      </c>
      <c r="C278" t="s">
        <v>59</v>
      </c>
      <c r="D278" t="s">
        <v>2</v>
      </c>
      <c r="E278" t="s">
        <v>59</v>
      </c>
      <c r="F278" t="s">
        <v>13</v>
      </c>
      <c r="G278" t="s">
        <v>525</v>
      </c>
    </row>
    <row r="279" spans="1:7" x14ac:dyDescent="0.3">
      <c r="A279">
        <v>0</v>
      </c>
      <c r="B279" t="s">
        <v>16</v>
      </c>
      <c r="C279" s="2" t="s">
        <v>61</v>
      </c>
      <c r="D279" t="s">
        <v>2</v>
      </c>
      <c r="E279" s="2" t="s">
        <v>61</v>
      </c>
      <c r="F279" t="s">
        <v>13</v>
      </c>
      <c r="G279" t="s">
        <v>525</v>
      </c>
    </row>
    <row r="280" spans="1:7" x14ac:dyDescent="0.3">
      <c r="A280">
        <v>0</v>
      </c>
      <c r="B280" t="s">
        <v>312</v>
      </c>
      <c r="C280" s="2" t="s">
        <v>67</v>
      </c>
      <c r="D280" t="s">
        <v>2</v>
      </c>
      <c r="E280" s="2" t="s">
        <v>67</v>
      </c>
      <c r="F280" t="s">
        <v>13</v>
      </c>
      <c r="G280" t="s">
        <v>525</v>
      </c>
    </row>
    <row r="281" spans="1:7" x14ac:dyDescent="0.3">
      <c r="A281">
        <v>0</v>
      </c>
      <c r="B281" t="s">
        <v>312</v>
      </c>
      <c r="C281" t="s">
        <v>73</v>
      </c>
      <c r="D281" t="s">
        <v>2</v>
      </c>
      <c r="E281" t="s">
        <v>73</v>
      </c>
      <c r="F281" t="s">
        <v>13</v>
      </c>
      <c r="G281" t="s">
        <v>525</v>
      </c>
    </row>
    <row r="282" spans="1:7" x14ac:dyDescent="0.3">
      <c r="A282">
        <v>0</v>
      </c>
      <c r="B282" t="s">
        <v>312</v>
      </c>
      <c r="C282" t="s">
        <v>79</v>
      </c>
      <c r="D282" t="s">
        <v>2</v>
      </c>
      <c r="E282" t="s">
        <v>79</v>
      </c>
      <c r="F282" t="s">
        <v>13</v>
      </c>
      <c r="G282" t="s">
        <v>525</v>
      </c>
    </row>
    <row r="283" spans="1:7" x14ac:dyDescent="0.3">
      <c r="A283">
        <v>0</v>
      </c>
      <c r="B283" t="s">
        <v>312</v>
      </c>
      <c r="C283" t="s">
        <v>82</v>
      </c>
      <c r="D283" t="s">
        <v>2</v>
      </c>
      <c r="E283" t="s">
        <v>82</v>
      </c>
      <c r="F283" t="s">
        <v>13</v>
      </c>
      <c r="G283" t="s">
        <v>525</v>
      </c>
    </row>
    <row r="284" spans="1:7" x14ac:dyDescent="0.3">
      <c r="A284">
        <v>0</v>
      </c>
      <c r="B284" t="s">
        <v>312</v>
      </c>
      <c r="C284" t="s">
        <v>85</v>
      </c>
      <c r="D284" t="s">
        <v>2</v>
      </c>
      <c r="E284" t="s">
        <v>85</v>
      </c>
      <c r="F284" t="s">
        <v>13</v>
      </c>
      <c r="G284" t="s">
        <v>525</v>
      </c>
    </row>
    <row r="285" spans="1:7" x14ac:dyDescent="0.3">
      <c r="A285">
        <v>0</v>
      </c>
      <c r="B285" t="s">
        <v>312</v>
      </c>
      <c r="C285" t="s">
        <v>88</v>
      </c>
      <c r="D285" t="s">
        <v>2</v>
      </c>
      <c r="E285" t="s">
        <v>88</v>
      </c>
      <c r="F285" t="s">
        <v>13</v>
      </c>
      <c r="G285" t="s">
        <v>525</v>
      </c>
    </row>
    <row r="286" spans="1:7" x14ac:dyDescent="0.3">
      <c r="A286">
        <v>0</v>
      </c>
      <c r="B286" t="s">
        <v>312</v>
      </c>
      <c r="C286" t="s">
        <v>91</v>
      </c>
      <c r="D286" t="s">
        <v>2</v>
      </c>
      <c r="E286" t="s">
        <v>91</v>
      </c>
      <c r="F286" t="s">
        <v>13</v>
      </c>
      <c r="G286" t="s">
        <v>525</v>
      </c>
    </row>
    <row r="287" spans="1:7" x14ac:dyDescent="0.3">
      <c r="A287">
        <v>0</v>
      </c>
      <c r="B287" t="s">
        <v>312</v>
      </c>
      <c r="C287" t="s">
        <v>94</v>
      </c>
      <c r="D287" t="s">
        <v>2</v>
      </c>
      <c r="E287" t="s">
        <v>94</v>
      </c>
      <c r="F287" t="s">
        <v>13</v>
      </c>
      <c r="G287" t="s">
        <v>525</v>
      </c>
    </row>
    <row r="288" spans="1:7" x14ac:dyDescent="0.3">
      <c r="A288">
        <v>0</v>
      </c>
      <c r="B288" t="s">
        <v>312</v>
      </c>
      <c r="C288" t="s">
        <v>97</v>
      </c>
      <c r="D288" t="s">
        <v>2</v>
      </c>
      <c r="E288" t="s">
        <v>97</v>
      </c>
      <c r="F288" t="s">
        <v>13</v>
      </c>
      <c r="G288" t="s">
        <v>525</v>
      </c>
    </row>
    <row r="289" spans="1:7" x14ac:dyDescent="0.3">
      <c r="A289">
        <v>0</v>
      </c>
      <c r="B289" t="s">
        <v>312</v>
      </c>
      <c r="C289" t="s">
        <v>100</v>
      </c>
      <c r="D289" t="s">
        <v>2</v>
      </c>
      <c r="E289" t="s">
        <v>100</v>
      </c>
      <c r="F289" t="s">
        <v>13</v>
      </c>
      <c r="G289" t="s">
        <v>525</v>
      </c>
    </row>
    <row r="301" spans="1:7" x14ac:dyDescent="0.3">
      <c r="C301" s="2"/>
      <c r="E301" s="2"/>
    </row>
    <row r="302" spans="1:7" x14ac:dyDescent="0.3">
      <c r="C302" s="2"/>
      <c r="E302" s="2"/>
    </row>
    <row r="303" spans="1:7" x14ac:dyDescent="0.3">
      <c r="C303" s="2"/>
      <c r="E303" s="2"/>
    </row>
    <row r="305" spans="3:5" x14ac:dyDescent="0.3">
      <c r="C305" s="2"/>
      <c r="E305" s="2"/>
    </row>
    <row r="306" spans="3:5" x14ac:dyDescent="0.3">
      <c r="C306" s="2"/>
      <c r="E306" s="2"/>
    </row>
  </sheetData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89"/>
  <sheetViews>
    <sheetView topLeftCell="A16" workbookViewId="0">
      <selection activeCell="A30" sqref="A30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0.935415</v>
      </c>
      <c r="B2" t="s">
        <v>16</v>
      </c>
      <c r="C2" t="s">
        <v>625</v>
      </c>
      <c r="D2" t="s">
        <v>2</v>
      </c>
      <c r="E2" s="4" t="s">
        <v>49</v>
      </c>
      <c r="F2" s="4" t="s">
        <v>13</v>
      </c>
      <c r="G2" t="s">
        <v>525</v>
      </c>
      <c r="H2" t="s">
        <v>626</v>
      </c>
    </row>
    <row r="3" spans="1:9" x14ac:dyDescent="0.3">
      <c r="A3">
        <v>2.1250000000000004</v>
      </c>
      <c r="B3" t="s">
        <v>57</v>
      </c>
      <c r="C3" t="s">
        <v>627</v>
      </c>
      <c r="D3" t="s">
        <v>2</v>
      </c>
      <c r="E3" s="2" t="s">
        <v>315</v>
      </c>
      <c r="F3" t="s">
        <v>13</v>
      </c>
      <c r="G3" t="s">
        <v>525</v>
      </c>
      <c r="H3" t="s">
        <v>626</v>
      </c>
    </row>
    <row r="4" spans="1:9" x14ac:dyDescent="0.3">
      <c r="A4">
        <v>0.10250000000000001</v>
      </c>
      <c r="B4" t="s">
        <v>57</v>
      </c>
      <c r="C4" t="s">
        <v>628</v>
      </c>
      <c r="D4" t="s">
        <v>2</v>
      </c>
      <c r="E4" s="2" t="s">
        <v>345</v>
      </c>
      <c r="F4" t="s">
        <v>13</v>
      </c>
      <c r="G4" t="s">
        <v>525</v>
      </c>
      <c r="H4" t="s">
        <v>626</v>
      </c>
    </row>
    <row r="5" spans="1:9" x14ac:dyDescent="0.3">
      <c r="A5">
        <v>0.10250000000000001</v>
      </c>
      <c r="B5" t="s">
        <v>57</v>
      </c>
      <c r="C5" t="s">
        <v>564</v>
      </c>
      <c r="D5" t="s">
        <v>2</v>
      </c>
      <c r="E5" t="s">
        <v>352</v>
      </c>
      <c r="F5" t="s">
        <v>13</v>
      </c>
      <c r="G5" t="s">
        <v>525</v>
      </c>
      <c r="H5" t="s">
        <v>626</v>
      </c>
    </row>
    <row r="6" spans="1:9" x14ac:dyDescent="0.3">
      <c r="A6">
        <v>2.8124999999999995E-3</v>
      </c>
      <c r="B6" t="s">
        <v>57</v>
      </c>
      <c r="C6" t="s">
        <v>629</v>
      </c>
      <c r="D6" t="s">
        <v>2</v>
      </c>
      <c r="E6" t="s">
        <v>352</v>
      </c>
      <c r="F6" t="s">
        <v>13</v>
      </c>
      <c r="G6" t="s">
        <v>525</v>
      </c>
      <c r="H6" t="s">
        <v>626</v>
      </c>
    </row>
    <row r="7" spans="1:9" x14ac:dyDescent="0.3">
      <c r="A7">
        <v>0.12187500000000001</v>
      </c>
      <c r="B7" t="s">
        <v>57</v>
      </c>
      <c r="C7" t="s">
        <v>630</v>
      </c>
      <c r="D7" t="s">
        <v>2</v>
      </c>
      <c r="E7" t="s">
        <v>431</v>
      </c>
      <c r="F7" t="s">
        <v>13</v>
      </c>
      <c r="G7" t="s">
        <v>525</v>
      </c>
      <c r="H7" t="s">
        <v>626</v>
      </c>
    </row>
    <row r="8" spans="1:9" x14ac:dyDescent="0.3">
      <c r="A8">
        <v>1.2874999999999999E-2</v>
      </c>
      <c r="B8" t="s">
        <v>57</v>
      </c>
      <c r="C8" t="s">
        <v>631</v>
      </c>
      <c r="D8" t="s">
        <v>2</v>
      </c>
      <c r="E8" t="s">
        <v>382</v>
      </c>
      <c r="F8" t="s">
        <v>13</v>
      </c>
      <c r="G8" t="s">
        <v>525</v>
      </c>
      <c r="H8" t="s">
        <v>626</v>
      </c>
    </row>
    <row r="9" spans="1:9" x14ac:dyDescent="0.3">
      <c r="A9">
        <v>7.2499999999999995E-4</v>
      </c>
      <c r="B9" t="s">
        <v>57</v>
      </c>
      <c r="C9" t="s">
        <v>632</v>
      </c>
      <c r="D9" t="s">
        <v>2</v>
      </c>
      <c r="E9" t="s">
        <v>382</v>
      </c>
      <c r="F9" t="s">
        <v>13</v>
      </c>
      <c r="G9" t="s">
        <v>525</v>
      </c>
      <c r="H9" t="s">
        <v>626</v>
      </c>
    </row>
    <row r="10" spans="1:9" x14ac:dyDescent="0.3">
      <c r="A10">
        <v>8.8125</v>
      </c>
      <c r="B10" t="s">
        <v>57</v>
      </c>
      <c r="C10" t="s">
        <v>633</v>
      </c>
      <c r="D10" t="s">
        <v>2</v>
      </c>
      <c r="E10" t="s">
        <v>371</v>
      </c>
      <c r="F10" t="s">
        <v>13</v>
      </c>
      <c r="G10" t="s">
        <v>525</v>
      </c>
      <c r="H10" t="s">
        <v>626</v>
      </c>
    </row>
    <row r="11" spans="1:9" x14ac:dyDescent="0.3">
      <c r="A11">
        <v>8.8125</v>
      </c>
      <c r="B11" t="s">
        <v>57</v>
      </c>
      <c r="C11" t="s">
        <v>634</v>
      </c>
      <c r="D11" t="s">
        <v>2</v>
      </c>
      <c r="E11" t="s">
        <v>371</v>
      </c>
      <c r="F11" t="s">
        <v>13</v>
      </c>
      <c r="G11" t="s">
        <v>525</v>
      </c>
      <c r="H11" t="s">
        <v>626</v>
      </c>
    </row>
    <row r="12" spans="1:9" x14ac:dyDescent="0.3">
      <c r="A12">
        <v>0.29499999999999998</v>
      </c>
      <c r="B12" t="s">
        <v>57</v>
      </c>
      <c r="C12" t="s">
        <v>635</v>
      </c>
      <c r="D12" t="s">
        <v>2</v>
      </c>
      <c r="E12" s="18" t="s">
        <v>431</v>
      </c>
      <c r="F12" t="s">
        <v>13</v>
      </c>
      <c r="G12" t="s">
        <v>525</v>
      </c>
      <c r="H12" t="s">
        <v>626</v>
      </c>
    </row>
    <row r="13" spans="1:9" x14ac:dyDescent="0.3">
      <c r="A13">
        <v>0.34562500000000002</v>
      </c>
      <c r="B13" t="s">
        <v>57</v>
      </c>
      <c r="C13" t="s">
        <v>636</v>
      </c>
      <c r="D13" t="s">
        <v>2</v>
      </c>
      <c r="E13" s="18" t="s">
        <v>431</v>
      </c>
      <c r="F13" t="s">
        <v>13</v>
      </c>
      <c r="G13" t="s">
        <v>525</v>
      </c>
      <c r="H13" t="s">
        <v>626</v>
      </c>
    </row>
    <row r="14" spans="1:9" x14ac:dyDescent="0.3">
      <c r="A14">
        <v>2.3749999999999997E-2</v>
      </c>
      <c r="B14" t="s">
        <v>57</v>
      </c>
      <c r="C14" t="s">
        <v>637</v>
      </c>
      <c r="D14" t="s">
        <v>2</v>
      </c>
      <c r="E14" s="18" t="s">
        <v>431</v>
      </c>
      <c r="F14" t="s">
        <v>13</v>
      </c>
      <c r="G14" t="s">
        <v>525</v>
      </c>
      <c r="H14" t="s">
        <v>626</v>
      </c>
    </row>
    <row r="15" spans="1:9" x14ac:dyDescent="0.3">
      <c r="A15">
        <v>0.87499999999999989</v>
      </c>
      <c r="B15" t="s">
        <v>57</v>
      </c>
      <c r="C15" t="s">
        <v>638</v>
      </c>
      <c r="D15" t="s">
        <v>2</v>
      </c>
      <c r="E15" s="18" t="s">
        <v>431</v>
      </c>
      <c r="F15" t="s">
        <v>13</v>
      </c>
      <c r="G15" t="s">
        <v>525</v>
      </c>
      <c r="H15" t="s">
        <v>626</v>
      </c>
    </row>
    <row r="16" spans="1:9" x14ac:dyDescent="0.3">
      <c r="A16">
        <v>0.11187499999999999</v>
      </c>
      <c r="B16" t="s">
        <v>57</v>
      </c>
      <c r="C16" t="s">
        <v>639</v>
      </c>
      <c r="D16" t="s">
        <v>2</v>
      </c>
      <c r="E16" t="s">
        <v>100</v>
      </c>
      <c r="F16" s="4" t="s">
        <v>13</v>
      </c>
      <c r="G16" t="s">
        <v>525</v>
      </c>
      <c r="H16" t="s">
        <v>626</v>
      </c>
    </row>
    <row r="17" spans="1:8" x14ac:dyDescent="0.3">
      <c r="A17">
        <v>1.1662610106629545E-8</v>
      </c>
      <c r="B17" t="s">
        <v>314</v>
      </c>
      <c r="C17" t="s">
        <v>640</v>
      </c>
      <c r="D17" t="s">
        <v>2</v>
      </c>
      <c r="E17" s="2" t="s">
        <v>341</v>
      </c>
      <c r="F17" t="s">
        <v>13</v>
      </c>
      <c r="G17" t="s">
        <v>525</v>
      </c>
      <c r="H17" t="s">
        <v>626</v>
      </c>
    </row>
    <row r="18" spans="1:8" x14ac:dyDescent="0.3">
      <c r="A18">
        <v>6.2375000000000007E-2</v>
      </c>
      <c r="B18" t="s">
        <v>57</v>
      </c>
      <c r="C18" t="s">
        <v>641</v>
      </c>
      <c r="D18" t="s">
        <v>2</v>
      </c>
      <c r="E18" s="18" t="s">
        <v>85</v>
      </c>
      <c r="F18" s="4" t="s">
        <v>13</v>
      </c>
      <c r="G18" t="s">
        <v>525</v>
      </c>
      <c r="H18" t="s">
        <v>626</v>
      </c>
    </row>
    <row r="19" spans="1:8" x14ac:dyDescent="0.3">
      <c r="A19">
        <v>1.5874999999999997E-2</v>
      </c>
      <c r="B19" t="s">
        <v>57</v>
      </c>
      <c r="C19" t="s">
        <v>642</v>
      </c>
      <c r="D19" t="s">
        <v>2</v>
      </c>
      <c r="E19" t="s">
        <v>149</v>
      </c>
      <c r="F19" t="s">
        <v>13</v>
      </c>
      <c r="G19" t="s">
        <v>525</v>
      </c>
      <c r="H19" t="s">
        <v>626</v>
      </c>
    </row>
    <row r="20" spans="1:8" x14ac:dyDescent="0.3">
      <c r="A20">
        <v>1.4687499999999998E-4</v>
      </c>
      <c r="B20" t="s">
        <v>57</v>
      </c>
      <c r="C20" t="s">
        <v>643</v>
      </c>
      <c r="D20" t="s">
        <v>2</v>
      </c>
      <c r="E20" t="s">
        <v>149</v>
      </c>
      <c r="F20" t="s">
        <v>13</v>
      </c>
      <c r="G20" t="s">
        <v>525</v>
      </c>
      <c r="H20" t="s">
        <v>626</v>
      </c>
    </row>
    <row r="21" spans="1:8" x14ac:dyDescent="0.3">
      <c r="A21">
        <v>5.1437499999999997E-2</v>
      </c>
      <c r="B21" t="s">
        <v>57</v>
      </c>
      <c r="C21" t="s">
        <v>644</v>
      </c>
      <c r="D21" t="s">
        <v>2</v>
      </c>
      <c r="E21" t="s">
        <v>149</v>
      </c>
      <c r="F21" t="s">
        <v>13</v>
      </c>
      <c r="G21" t="s">
        <v>525</v>
      </c>
      <c r="H21" t="s">
        <v>626</v>
      </c>
    </row>
    <row r="22" spans="1:8" x14ac:dyDescent="0.3">
      <c r="A22">
        <v>1.1562499999999998E-2</v>
      </c>
      <c r="B22" t="s">
        <v>57</v>
      </c>
      <c r="C22" t="s">
        <v>645</v>
      </c>
      <c r="D22" t="s">
        <v>2</v>
      </c>
      <c r="E22" t="s">
        <v>149</v>
      </c>
      <c r="F22" t="s">
        <v>13</v>
      </c>
      <c r="G22" t="s">
        <v>525</v>
      </c>
      <c r="H22" t="s">
        <v>626</v>
      </c>
    </row>
    <row r="23" spans="1:8" x14ac:dyDescent="0.3">
      <c r="A23">
        <v>0.76249999999999996</v>
      </c>
      <c r="B23" t="s">
        <v>57</v>
      </c>
      <c r="C23" t="s">
        <v>646</v>
      </c>
      <c r="D23" t="s">
        <v>2</v>
      </c>
      <c r="E23" s="2" t="s">
        <v>418</v>
      </c>
      <c r="F23" t="s">
        <v>13</v>
      </c>
      <c r="G23" t="s">
        <v>525</v>
      </c>
      <c r="H23" t="s">
        <v>626</v>
      </c>
    </row>
    <row r="24" spans="1:8" x14ac:dyDescent="0.3">
      <c r="A24">
        <v>1.249999999999998</v>
      </c>
      <c r="B24" t="s">
        <v>57</v>
      </c>
      <c r="C24" t="s">
        <v>647</v>
      </c>
      <c r="D24" t="s">
        <v>2</v>
      </c>
      <c r="E24" s="2" t="s">
        <v>488</v>
      </c>
      <c r="F24" t="s">
        <v>13</v>
      </c>
      <c r="G24" t="s">
        <v>525</v>
      </c>
      <c r="H24" t="s">
        <v>626</v>
      </c>
    </row>
    <row r="25" spans="1:8" x14ac:dyDescent="0.3">
      <c r="A25">
        <v>13.975424859373687</v>
      </c>
      <c r="B25" t="s">
        <v>542</v>
      </c>
      <c r="C25" t="s">
        <v>648</v>
      </c>
      <c r="D25" t="s">
        <v>2</v>
      </c>
      <c r="E25" t="s">
        <v>111</v>
      </c>
      <c r="F25" t="s">
        <v>13</v>
      </c>
      <c r="G25" t="s">
        <v>525</v>
      </c>
      <c r="H25" t="s">
        <v>626</v>
      </c>
    </row>
    <row r="26" spans="1:8" x14ac:dyDescent="0.3">
      <c r="A26">
        <v>2.034883720930234E-4</v>
      </c>
      <c r="B26" s="2" t="s">
        <v>57</v>
      </c>
      <c r="C26" t="s">
        <v>649</v>
      </c>
      <c r="D26" t="s">
        <v>2</v>
      </c>
      <c r="E26" s="18" t="s">
        <v>369</v>
      </c>
      <c r="F26" t="s">
        <v>13</v>
      </c>
      <c r="G26" t="s">
        <v>525</v>
      </c>
      <c r="H26" t="s">
        <v>626</v>
      </c>
    </row>
    <row r="27" spans="1:8" x14ac:dyDescent="0.3">
      <c r="A27">
        <f>$A$2*'[1]Cell prod EU'!I19</f>
        <v>1.6738962380192472E-6</v>
      </c>
      <c r="B27" t="s">
        <v>314</v>
      </c>
      <c r="C27" t="s">
        <v>620</v>
      </c>
      <c r="D27" t="s">
        <v>2</v>
      </c>
      <c r="E27" s="2" t="s">
        <v>455</v>
      </c>
      <c r="F27" t="s">
        <v>13</v>
      </c>
      <c r="G27" t="s">
        <v>525</v>
      </c>
      <c r="H27" t="s">
        <v>621</v>
      </c>
    </row>
    <row r="28" spans="1:8" x14ac:dyDescent="0.3">
      <c r="A28">
        <f>$A$2*'[1]Cell prod EU'!I20</f>
        <v>2.8194035329337413E-6</v>
      </c>
      <c r="B28" s="2" t="s">
        <v>314</v>
      </c>
      <c r="C28" t="s">
        <v>622</v>
      </c>
      <c r="D28" t="s">
        <v>2</v>
      </c>
      <c r="E28" s="2" t="s">
        <v>409</v>
      </c>
      <c r="F28" t="s">
        <v>13</v>
      </c>
      <c r="G28" t="s">
        <v>525</v>
      </c>
      <c r="H28" t="s">
        <v>621</v>
      </c>
    </row>
    <row r="29" spans="1:8" x14ac:dyDescent="0.3">
      <c r="A29">
        <f>$A$2*'[1]Cell prod EU'!I21</f>
        <v>2.8671594828940705E-7</v>
      </c>
      <c r="B29" s="2" t="s">
        <v>314</v>
      </c>
      <c r="C29" t="s">
        <v>623</v>
      </c>
      <c r="D29" t="s">
        <v>2</v>
      </c>
      <c r="E29" s="2" t="s">
        <v>443</v>
      </c>
      <c r="F29" t="s">
        <v>13</v>
      </c>
      <c r="G29" t="s">
        <v>525</v>
      </c>
      <c r="H29" t="s">
        <v>621</v>
      </c>
    </row>
    <row r="30" spans="1:8" x14ac:dyDescent="0.3">
      <c r="A30">
        <v>3.0000000000000035E-5</v>
      </c>
      <c r="B30" s="2" t="s">
        <v>319</v>
      </c>
      <c r="C30" t="s">
        <v>650</v>
      </c>
      <c r="D30" t="s">
        <v>2</v>
      </c>
      <c r="E30" s="2" t="s">
        <v>378</v>
      </c>
      <c r="F30" t="s">
        <v>13</v>
      </c>
      <c r="G30" t="s">
        <v>525</v>
      </c>
      <c r="H30" t="s">
        <v>626</v>
      </c>
    </row>
    <row r="31" spans="1:8" x14ac:dyDescent="0.3">
      <c r="A31">
        <v>4.2937500000000061E-6</v>
      </c>
      <c r="B31" s="2" t="s">
        <v>319</v>
      </c>
      <c r="C31" t="s">
        <v>651</v>
      </c>
      <c r="D31" t="s">
        <v>2</v>
      </c>
      <c r="E31" s="2" t="s">
        <v>378</v>
      </c>
      <c r="F31" t="s">
        <v>13</v>
      </c>
      <c r="G31" t="s">
        <v>525</v>
      </c>
      <c r="H31" t="s">
        <v>626</v>
      </c>
    </row>
    <row r="32" spans="1:8" x14ac:dyDescent="0.3">
      <c r="A32">
        <v>2.8062499999999923E-5</v>
      </c>
      <c r="B32" s="2" t="s">
        <v>319</v>
      </c>
      <c r="C32" t="s">
        <v>652</v>
      </c>
      <c r="D32" t="s">
        <v>2</v>
      </c>
      <c r="E32" s="2" t="s">
        <v>429</v>
      </c>
      <c r="F32" t="s">
        <v>13</v>
      </c>
      <c r="G32" t="s">
        <v>525</v>
      </c>
      <c r="H32" t="s">
        <v>626</v>
      </c>
    </row>
    <row r="33" spans="1:8" x14ac:dyDescent="0.3">
      <c r="A33">
        <v>1.6062500000000007E-6</v>
      </c>
      <c r="B33" s="2" t="s">
        <v>319</v>
      </c>
      <c r="C33" t="s">
        <v>653</v>
      </c>
      <c r="D33" t="s">
        <v>2</v>
      </c>
      <c r="E33" s="2" t="s">
        <v>404</v>
      </c>
      <c r="F33" t="s">
        <v>13</v>
      </c>
      <c r="G33" t="s">
        <v>525</v>
      </c>
      <c r="H33" t="s">
        <v>626</v>
      </c>
    </row>
    <row r="34" spans="1:8" x14ac:dyDescent="0.3">
      <c r="A34">
        <v>5.0069541029207232E-7</v>
      </c>
      <c r="B34" t="s">
        <v>314</v>
      </c>
      <c r="C34" t="s">
        <v>654</v>
      </c>
      <c r="D34" t="s">
        <v>2</v>
      </c>
      <c r="E34" s="2" t="s">
        <v>449</v>
      </c>
      <c r="F34" t="s">
        <v>13</v>
      </c>
      <c r="G34" t="s">
        <v>525</v>
      </c>
      <c r="H34" t="s">
        <v>655</v>
      </c>
    </row>
    <row r="35" spans="1:8" x14ac:dyDescent="0.3">
      <c r="A35">
        <v>2.7538247566063979E-6</v>
      </c>
      <c r="B35" t="s">
        <v>314</v>
      </c>
      <c r="C35" t="s">
        <v>656</v>
      </c>
      <c r="D35" t="s">
        <v>2</v>
      </c>
      <c r="E35" s="2" t="s">
        <v>487</v>
      </c>
      <c r="F35" t="s">
        <v>13</v>
      </c>
      <c r="G35" t="s">
        <v>525</v>
      </c>
      <c r="H35" t="s">
        <v>655</v>
      </c>
    </row>
    <row r="36" spans="1:8" x14ac:dyDescent="0.3">
      <c r="A36">
        <v>5.4242002781641165E-7</v>
      </c>
      <c r="B36" t="s">
        <v>314</v>
      </c>
      <c r="C36" t="s">
        <v>495</v>
      </c>
      <c r="D36" t="s">
        <v>494</v>
      </c>
      <c r="E36" t="s">
        <v>495</v>
      </c>
      <c r="F36" t="s">
        <v>13</v>
      </c>
      <c r="G36" t="s">
        <v>525</v>
      </c>
      <c r="H36" t="s">
        <v>655</v>
      </c>
    </row>
    <row r="37" spans="1:8" x14ac:dyDescent="0.3">
      <c r="A37">
        <v>1.808066759388039E-6</v>
      </c>
      <c r="B37" t="s">
        <v>314</v>
      </c>
      <c r="C37" t="s">
        <v>496</v>
      </c>
      <c r="D37" t="s">
        <v>494</v>
      </c>
      <c r="E37" s="2" t="s">
        <v>496</v>
      </c>
      <c r="F37" t="s">
        <v>13</v>
      </c>
      <c r="G37" t="s">
        <v>525</v>
      </c>
      <c r="H37" t="s">
        <v>655</v>
      </c>
    </row>
    <row r="38" spans="1:8" x14ac:dyDescent="0.3">
      <c r="A38">
        <v>3.9777468706536858E-6</v>
      </c>
      <c r="B38" t="s">
        <v>314</v>
      </c>
      <c r="C38" t="s">
        <v>497</v>
      </c>
      <c r="D38" t="s">
        <v>494</v>
      </c>
      <c r="E38" s="2" t="s">
        <v>497</v>
      </c>
      <c r="F38" t="s">
        <v>13</v>
      </c>
      <c r="G38" t="s">
        <v>525</v>
      </c>
      <c r="H38" t="s">
        <v>655</v>
      </c>
    </row>
    <row r="39" spans="1:8" x14ac:dyDescent="0.3">
      <c r="A39">
        <v>1.9500000000000001E-7</v>
      </c>
      <c r="B39" t="s">
        <v>507</v>
      </c>
      <c r="C39" t="s">
        <v>506</v>
      </c>
      <c r="D39" t="s">
        <v>498</v>
      </c>
      <c r="E39" s="2" t="s">
        <v>506</v>
      </c>
      <c r="F39" t="s">
        <v>13</v>
      </c>
      <c r="G39" t="s">
        <v>525</v>
      </c>
      <c r="H39" t="s">
        <v>655</v>
      </c>
    </row>
    <row r="40" spans="1:8" x14ac:dyDescent="0.3">
      <c r="A40">
        <v>8.0625000000000002E-3</v>
      </c>
      <c r="B40" t="s">
        <v>57</v>
      </c>
      <c r="C40" t="s">
        <v>657</v>
      </c>
      <c r="D40" t="s">
        <v>498</v>
      </c>
      <c r="E40" t="s">
        <v>513</v>
      </c>
      <c r="F40" t="s">
        <v>13</v>
      </c>
      <c r="G40" t="s">
        <v>525</v>
      </c>
      <c r="H40" t="s">
        <v>626</v>
      </c>
    </row>
    <row r="41" spans="1:8" x14ac:dyDescent="0.3">
      <c r="A41">
        <v>2.1812499999999999E-2</v>
      </c>
      <c r="B41" t="s">
        <v>57</v>
      </c>
      <c r="C41" t="s">
        <v>502</v>
      </c>
      <c r="D41" t="s">
        <v>498</v>
      </c>
      <c r="E41" t="s">
        <v>502</v>
      </c>
      <c r="F41" t="s">
        <v>13</v>
      </c>
      <c r="G41" t="s">
        <v>525</v>
      </c>
      <c r="H41" t="s">
        <v>626</v>
      </c>
    </row>
    <row r="42" spans="1:8" x14ac:dyDescent="0.3">
      <c r="A42">
        <v>6.4837499999999997E-4</v>
      </c>
      <c r="B42" t="s">
        <v>57</v>
      </c>
      <c r="C42" t="s">
        <v>535</v>
      </c>
      <c r="D42" t="s">
        <v>498</v>
      </c>
      <c r="E42" t="s">
        <v>502</v>
      </c>
      <c r="F42" t="s">
        <v>13</v>
      </c>
      <c r="G42" t="s">
        <v>525</v>
      </c>
      <c r="H42" t="s">
        <v>658</v>
      </c>
    </row>
    <row r="43" spans="1:8" x14ac:dyDescent="0.3">
      <c r="A43">
        <v>8.7499999999999996E-8</v>
      </c>
      <c r="B43" t="s">
        <v>57</v>
      </c>
      <c r="C43" t="s">
        <v>500</v>
      </c>
      <c r="D43" t="s">
        <v>498</v>
      </c>
      <c r="E43" t="s">
        <v>500</v>
      </c>
      <c r="F43" t="s">
        <v>13</v>
      </c>
      <c r="G43" t="s">
        <v>525</v>
      </c>
      <c r="H43" t="s">
        <v>658</v>
      </c>
    </row>
    <row r="44" spans="1:8" x14ac:dyDescent="0.3">
      <c r="A44">
        <v>5.249999999999999E-9</v>
      </c>
      <c r="B44" t="s">
        <v>57</v>
      </c>
      <c r="C44" t="s">
        <v>511</v>
      </c>
      <c r="D44" t="s">
        <v>498</v>
      </c>
      <c r="E44" t="s">
        <v>511</v>
      </c>
      <c r="F44" t="s">
        <v>13</v>
      </c>
      <c r="G44" t="s">
        <v>525</v>
      </c>
      <c r="H44" t="s">
        <v>658</v>
      </c>
    </row>
    <row r="45" spans="1:8" x14ac:dyDescent="0.3">
      <c r="A45">
        <v>0</v>
      </c>
      <c r="B45" t="s">
        <v>312</v>
      </c>
      <c r="C45" t="s">
        <v>483</v>
      </c>
      <c r="D45" t="s">
        <v>2</v>
      </c>
      <c r="E45" t="s">
        <v>483</v>
      </c>
      <c r="F45" t="s">
        <v>13</v>
      </c>
      <c r="G45" t="s">
        <v>525</v>
      </c>
    </row>
    <row r="46" spans="1:8" x14ac:dyDescent="0.3">
      <c r="A46">
        <v>0</v>
      </c>
      <c r="B46" t="s">
        <v>105</v>
      </c>
      <c r="C46" t="s">
        <v>125</v>
      </c>
      <c r="D46" t="s">
        <v>2</v>
      </c>
      <c r="E46" t="s">
        <v>125</v>
      </c>
      <c r="F46" t="s">
        <v>13</v>
      </c>
      <c r="G46" t="s">
        <v>525</v>
      </c>
    </row>
    <row r="47" spans="1:8" x14ac:dyDescent="0.3">
      <c r="A47">
        <v>0</v>
      </c>
      <c r="B47" t="s">
        <v>319</v>
      </c>
      <c r="C47" t="s">
        <v>461</v>
      </c>
      <c r="D47" t="s">
        <v>2</v>
      </c>
      <c r="E47" t="s">
        <v>461</v>
      </c>
      <c r="F47" t="s">
        <v>13</v>
      </c>
      <c r="G47" t="s">
        <v>525</v>
      </c>
    </row>
    <row r="48" spans="1:8" x14ac:dyDescent="0.3">
      <c r="A48">
        <v>0</v>
      </c>
      <c r="B48" t="s">
        <v>314</v>
      </c>
      <c r="C48" t="s">
        <v>395</v>
      </c>
      <c r="D48" t="s">
        <v>2</v>
      </c>
      <c r="E48" t="s">
        <v>395</v>
      </c>
      <c r="F48" t="s">
        <v>13</v>
      </c>
      <c r="G48" t="s">
        <v>525</v>
      </c>
    </row>
    <row r="49" spans="1:7" x14ac:dyDescent="0.3">
      <c r="A49">
        <v>0</v>
      </c>
      <c r="B49" t="s">
        <v>312</v>
      </c>
      <c r="C49" t="s">
        <v>399</v>
      </c>
      <c r="D49" t="s">
        <v>2</v>
      </c>
      <c r="E49" t="s">
        <v>399</v>
      </c>
      <c r="F49" t="s">
        <v>13</v>
      </c>
      <c r="G49" t="s">
        <v>525</v>
      </c>
    </row>
    <row r="50" spans="1:7" x14ac:dyDescent="0.3">
      <c r="A50">
        <v>0</v>
      </c>
      <c r="B50" t="s">
        <v>314</v>
      </c>
      <c r="C50" t="s">
        <v>432</v>
      </c>
      <c r="D50" t="s">
        <v>2</v>
      </c>
      <c r="E50" t="s">
        <v>432</v>
      </c>
      <c r="F50" t="s">
        <v>13</v>
      </c>
      <c r="G50" t="s">
        <v>525</v>
      </c>
    </row>
    <row r="51" spans="1:7" x14ac:dyDescent="0.3">
      <c r="A51">
        <v>0</v>
      </c>
      <c r="B51" t="s">
        <v>312</v>
      </c>
      <c r="C51" t="s">
        <v>325</v>
      </c>
      <c r="D51" t="s">
        <v>2</v>
      </c>
      <c r="E51" t="s">
        <v>325</v>
      </c>
      <c r="F51" t="s">
        <v>13</v>
      </c>
      <c r="G51" t="s">
        <v>525</v>
      </c>
    </row>
    <row r="52" spans="1:7" x14ac:dyDescent="0.3">
      <c r="A52">
        <v>0</v>
      </c>
      <c r="B52" t="s">
        <v>314</v>
      </c>
      <c r="C52" t="s">
        <v>372</v>
      </c>
      <c r="D52" t="s">
        <v>2</v>
      </c>
      <c r="E52" t="s">
        <v>372</v>
      </c>
      <c r="F52" t="s">
        <v>13</v>
      </c>
      <c r="G52" t="s">
        <v>525</v>
      </c>
    </row>
    <row r="53" spans="1:7" x14ac:dyDescent="0.3">
      <c r="A53">
        <v>0</v>
      </c>
      <c r="B53" t="s">
        <v>314</v>
      </c>
      <c r="C53" t="s">
        <v>260</v>
      </c>
      <c r="D53" t="s">
        <v>2</v>
      </c>
      <c r="E53" t="s">
        <v>260</v>
      </c>
      <c r="F53" t="s">
        <v>13</v>
      </c>
      <c r="G53" t="s">
        <v>525</v>
      </c>
    </row>
    <row r="54" spans="1:7" x14ac:dyDescent="0.3">
      <c r="A54">
        <v>0</v>
      </c>
      <c r="B54" t="s">
        <v>312</v>
      </c>
      <c r="C54" t="s">
        <v>330</v>
      </c>
      <c r="D54" t="s">
        <v>2</v>
      </c>
      <c r="E54" t="s">
        <v>330</v>
      </c>
      <c r="F54" t="s">
        <v>13</v>
      </c>
      <c r="G54" t="s">
        <v>525</v>
      </c>
    </row>
    <row r="55" spans="1:7" x14ac:dyDescent="0.3">
      <c r="A55">
        <v>0</v>
      </c>
      <c r="B55" t="s">
        <v>105</v>
      </c>
      <c r="C55" t="s">
        <v>401</v>
      </c>
      <c r="D55" t="s">
        <v>2</v>
      </c>
      <c r="E55" t="s">
        <v>401</v>
      </c>
      <c r="F55" t="s">
        <v>13</v>
      </c>
      <c r="G55" t="s">
        <v>525</v>
      </c>
    </row>
    <row r="56" spans="1:7" x14ac:dyDescent="0.3">
      <c r="A56">
        <v>0</v>
      </c>
      <c r="B56" t="s">
        <v>312</v>
      </c>
      <c r="C56" t="s">
        <v>416</v>
      </c>
      <c r="D56" t="s">
        <v>2</v>
      </c>
      <c r="E56" t="s">
        <v>416</v>
      </c>
      <c r="F56" t="s">
        <v>13</v>
      </c>
      <c r="G56" t="s">
        <v>525</v>
      </c>
    </row>
    <row r="57" spans="1:7" x14ac:dyDescent="0.3">
      <c r="A57">
        <v>0</v>
      </c>
      <c r="B57" t="s">
        <v>319</v>
      </c>
      <c r="C57" t="s">
        <v>375</v>
      </c>
      <c r="D57" t="s">
        <v>2</v>
      </c>
      <c r="E57" t="s">
        <v>375</v>
      </c>
      <c r="F57" t="s">
        <v>13</v>
      </c>
      <c r="G57" t="s">
        <v>525</v>
      </c>
    </row>
    <row r="58" spans="1:7" x14ac:dyDescent="0.3">
      <c r="A58">
        <v>0</v>
      </c>
      <c r="B58" t="s">
        <v>312</v>
      </c>
      <c r="C58" t="s">
        <v>333</v>
      </c>
      <c r="D58" t="s">
        <v>2</v>
      </c>
      <c r="E58" t="s">
        <v>333</v>
      </c>
      <c r="F58" t="s">
        <v>13</v>
      </c>
      <c r="G58" t="s">
        <v>525</v>
      </c>
    </row>
    <row r="59" spans="1:7" x14ac:dyDescent="0.3">
      <c r="A59">
        <v>0</v>
      </c>
      <c r="B59" t="s">
        <v>57</v>
      </c>
      <c r="C59" t="s">
        <v>118</v>
      </c>
      <c r="D59" t="s">
        <v>2</v>
      </c>
      <c r="E59" t="s">
        <v>118</v>
      </c>
      <c r="F59" t="s">
        <v>13</v>
      </c>
      <c r="G59" t="s">
        <v>525</v>
      </c>
    </row>
    <row r="60" spans="1:7" x14ac:dyDescent="0.3">
      <c r="A60">
        <v>0</v>
      </c>
      <c r="B60" t="s">
        <v>312</v>
      </c>
      <c r="C60" t="s">
        <v>406</v>
      </c>
      <c r="D60" t="s">
        <v>2</v>
      </c>
      <c r="E60" t="s">
        <v>406</v>
      </c>
      <c r="F60" t="s">
        <v>13</v>
      </c>
      <c r="G60" t="s">
        <v>525</v>
      </c>
    </row>
    <row r="61" spans="1:7" x14ac:dyDescent="0.3">
      <c r="A61">
        <v>0</v>
      </c>
      <c r="B61" t="s">
        <v>312</v>
      </c>
      <c r="C61" t="s">
        <v>315</v>
      </c>
      <c r="D61" t="s">
        <v>2</v>
      </c>
      <c r="E61" t="s">
        <v>315</v>
      </c>
      <c r="F61" t="s">
        <v>13</v>
      </c>
      <c r="G61" t="s">
        <v>525</v>
      </c>
    </row>
    <row r="62" spans="1:7" x14ac:dyDescent="0.3">
      <c r="A62">
        <v>0</v>
      </c>
      <c r="B62" t="s">
        <v>312</v>
      </c>
      <c r="C62" t="s">
        <v>358</v>
      </c>
      <c r="D62" t="s">
        <v>2</v>
      </c>
      <c r="E62" t="s">
        <v>358</v>
      </c>
      <c r="F62" t="s">
        <v>13</v>
      </c>
      <c r="G62" t="s">
        <v>525</v>
      </c>
    </row>
    <row r="63" spans="1:7" x14ac:dyDescent="0.3">
      <c r="A63">
        <v>0</v>
      </c>
      <c r="B63" t="s">
        <v>314</v>
      </c>
      <c r="C63" t="s">
        <v>444</v>
      </c>
      <c r="D63" t="s">
        <v>2</v>
      </c>
      <c r="E63" t="s">
        <v>444</v>
      </c>
      <c r="F63" t="s">
        <v>13</v>
      </c>
      <c r="G63" t="s">
        <v>525</v>
      </c>
    </row>
    <row r="64" spans="1:7" x14ac:dyDescent="0.3">
      <c r="A64">
        <v>0</v>
      </c>
      <c r="B64" t="s">
        <v>312</v>
      </c>
      <c r="C64" t="s">
        <v>439</v>
      </c>
      <c r="D64" t="s">
        <v>2</v>
      </c>
      <c r="E64" t="s">
        <v>439</v>
      </c>
      <c r="F64" t="s">
        <v>13</v>
      </c>
      <c r="G64" t="s">
        <v>525</v>
      </c>
    </row>
    <row r="65" spans="1:7" x14ac:dyDescent="0.3">
      <c r="A65">
        <v>0</v>
      </c>
      <c r="B65" t="s">
        <v>312</v>
      </c>
      <c r="C65" t="s">
        <v>381</v>
      </c>
      <c r="D65" t="s">
        <v>2</v>
      </c>
      <c r="E65" t="s">
        <v>381</v>
      </c>
      <c r="F65" t="s">
        <v>13</v>
      </c>
      <c r="G65" t="s">
        <v>525</v>
      </c>
    </row>
    <row r="66" spans="1:7" x14ac:dyDescent="0.3">
      <c r="A66">
        <v>0</v>
      </c>
      <c r="B66" t="s">
        <v>312</v>
      </c>
      <c r="C66" t="s">
        <v>418</v>
      </c>
      <c r="D66" t="s">
        <v>2</v>
      </c>
      <c r="E66" t="s">
        <v>418</v>
      </c>
      <c r="F66" t="s">
        <v>13</v>
      </c>
      <c r="G66" t="s">
        <v>525</v>
      </c>
    </row>
    <row r="67" spans="1:7" x14ac:dyDescent="0.3">
      <c r="A67">
        <v>0</v>
      </c>
      <c r="B67" t="s">
        <v>314</v>
      </c>
      <c r="C67" t="s">
        <v>465</v>
      </c>
      <c r="D67" t="s">
        <v>2</v>
      </c>
      <c r="E67" t="s">
        <v>465</v>
      </c>
      <c r="F67" t="s">
        <v>13</v>
      </c>
      <c r="G67" t="s">
        <v>525</v>
      </c>
    </row>
    <row r="68" spans="1:7" x14ac:dyDescent="0.3">
      <c r="A68">
        <v>0</v>
      </c>
      <c r="B68" t="s">
        <v>105</v>
      </c>
      <c r="C68" t="s">
        <v>103</v>
      </c>
      <c r="D68" t="s">
        <v>2</v>
      </c>
      <c r="E68" t="s">
        <v>103</v>
      </c>
      <c r="F68" t="s">
        <v>13</v>
      </c>
      <c r="G68" t="s">
        <v>525</v>
      </c>
    </row>
    <row r="69" spans="1:7" x14ac:dyDescent="0.3">
      <c r="A69">
        <v>0</v>
      </c>
      <c r="B69" t="s">
        <v>312</v>
      </c>
      <c r="C69" t="s">
        <v>320</v>
      </c>
      <c r="D69" t="s">
        <v>2</v>
      </c>
      <c r="E69" t="s">
        <v>320</v>
      </c>
      <c r="F69" t="s">
        <v>13</v>
      </c>
      <c r="G69" t="s">
        <v>525</v>
      </c>
    </row>
    <row r="70" spans="1:7" x14ac:dyDescent="0.3">
      <c r="A70">
        <v>0</v>
      </c>
      <c r="B70" t="s">
        <v>312</v>
      </c>
      <c r="C70" t="s">
        <v>334</v>
      </c>
      <c r="D70" t="s">
        <v>2</v>
      </c>
      <c r="E70" t="s">
        <v>334</v>
      </c>
      <c r="F70" t="s">
        <v>13</v>
      </c>
      <c r="G70" t="s">
        <v>525</v>
      </c>
    </row>
    <row r="71" spans="1:7" x14ac:dyDescent="0.3">
      <c r="A71">
        <v>0</v>
      </c>
      <c r="B71" t="s">
        <v>312</v>
      </c>
      <c r="C71" t="s">
        <v>435</v>
      </c>
      <c r="D71" t="s">
        <v>2</v>
      </c>
      <c r="E71" t="s">
        <v>435</v>
      </c>
      <c r="F71" t="s">
        <v>13</v>
      </c>
      <c r="G71" t="s">
        <v>525</v>
      </c>
    </row>
    <row r="72" spans="1:7" x14ac:dyDescent="0.3">
      <c r="A72">
        <v>0</v>
      </c>
      <c r="B72" t="s">
        <v>319</v>
      </c>
      <c r="C72" t="s">
        <v>456</v>
      </c>
      <c r="D72" t="s">
        <v>2</v>
      </c>
      <c r="E72" t="s">
        <v>456</v>
      </c>
      <c r="F72" t="s">
        <v>13</v>
      </c>
      <c r="G72" t="s">
        <v>525</v>
      </c>
    </row>
    <row r="73" spans="1:7" x14ac:dyDescent="0.3">
      <c r="A73">
        <v>0</v>
      </c>
      <c r="B73" t="s">
        <v>312</v>
      </c>
      <c r="C73" t="s">
        <v>474</v>
      </c>
      <c r="D73" t="s">
        <v>2</v>
      </c>
      <c r="E73" t="s">
        <v>474</v>
      </c>
      <c r="F73" t="s">
        <v>13</v>
      </c>
      <c r="G73" t="s">
        <v>525</v>
      </c>
    </row>
    <row r="74" spans="1:7" x14ac:dyDescent="0.3">
      <c r="A74">
        <v>0</v>
      </c>
      <c r="B74" t="s">
        <v>319</v>
      </c>
      <c r="C74" t="s">
        <v>318</v>
      </c>
      <c r="D74" t="s">
        <v>2</v>
      </c>
      <c r="E74" t="s">
        <v>318</v>
      </c>
      <c r="F74" t="s">
        <v>13</v>
      </c>
      <c r="G74" t="s">
        <v>525</v>
      </c>
    </row>
    <row r="75" spans="1:7" x14ac:dyDescent="0.3">
      <c r="A75">
        <v>0</v>
      </c>
      <c r="B75" t="s">
        <v>314</v>
      </c>
      <c r="C75" t="s">
        <v>475</v>
      </c>
      <c r="D75" t="s">
        <v>2</v>
      </c>
      <c r="E75" t="s">
        <v>475</v>
      </c>
      <c r="F75" t="s">
        <v>13</v>
      </c>
      <c r="G75" t="s">
        <v>525</v>
      </c>
    </row>
    <row r="76" spans="1:7" x14ac:dyDescent="0.3">
      <c r="A76">
        <v>0</v>
      </c>
      <c r="B76" t="s">
        <v>314</v>
      </c>
      <c r="C76" t="s">
        <v>449</v>
      </c>
      <c r="D76" t="s">
        <v>2</v>
      </c>
      <c r="E76" t="s">
        <v>449</v>
      </c>
      <c r="F76" t="s">
        <v>13</v>
      </c>
      <c r="G76" t="s">
        <v>525</v>
      </c>
    </row>
    <row r="77" spans="1:7" x14ac:dyDescent="0.3">
      <c r="A77">
        <v>0</v>
      </c>
      <c r="B77" t="s">
        <v>314</v>
      </c>
      <c r="C77" t="s">
        <v>176</v>
      </c>
      <c r="D77" t="s">
        <v>2</v>
      </c>
      <c r="E77" t="s">
        <v>176</v>
      </c>
      <c r="F77" t="s">
        <v>13</v>
      </c>
      <c r="G77" t="s">
        <v>525</v>
      </c>
    </row>
    <row r="78" spans="1:7" x14ac:dyDescent="0.3">
      <c r="A78">
        <v>0</v>
      </c>
      <c r="B78" t="s">
        <v>312</v>
      </c>
      <c r="C78" t="s">
        <v>388</v>
      </c>
      <c r="D78" t="s">
        <v>2</v>
      </c>
      <c r="E78" t="s">
        <v>388</v>
      </c>
      <c r="F78" t="s">
        <v>13</v>
      </c>
      <c r="G78" t="s">
        <v>525</v>
      </c>
    </row>
    <row r="79" spans="1:7" x14ac:dyDescent="0.3">
      <c r="A79">
        <v>0</v>
      </c>
      <c r="B79" t="s">
        <v>319</v>
      </c>
      <c r="C79" t="s">
        <v>429</v>
      </c>
      <c r="D79" t="s">
        <v>2</v>
      </c>
      <c r="E79" t="s">
        <v>429</v>
      </c>
      <c r="F79" t="s">
        <v>13</v>
      </c>
      <c r="G79" t="s">
        <v>525</v>
      </c>
    </row>
    <row r="80" spans="1:7" x14ac:dyDescent="0.3">
      <c r="A80">
        <v>0</v>
      </c>
      <c r="B80" t="s">
        <v>312</v>
      </c>
      <c r="C80" t="s">
        <v>272</v>
      </c>
      <c r="D80" t="s">
        <v>2</v>
      </c>
      <c r="E80" t="s">
        <v>272</v>
      </c>
      <c r="F80" t="s">
        <v>13</v>
      </c>
      <c r="G80" t="s">
        <v>525</v>
      </c>
    </row>
    <row r="81" spans="1:7" x14ac:dyDescent="0.3">
      <c r="A81">
        <v>0</v>
      </c>
      <c r="B81" t="s">
        <v>312</v>
      </c>
      <c r="C81" t="s">
        <v>410</v>
      </c>
      <c r="D81" t="s">
        <v>2</v>
      </c>
      <c r="E81" t="s">
        <v>410</v>
      </c>
      <c r="F81" t="s">
        <v>13</v>
      </c>
      <c r="G81" t="s">
        <v>525</v>
      </c>
    </row>
    <row r="82" spans="1:7" x14ac:dyDescent="0.3">
      <c r="A82">
        <v>0</v>
      </c>
      <c r="B82" t="s">
        <v>319</v>
      </c>
      <c r="C82" t="s">
        <v>363</v>
      </c>
      <c r="D82" t="s">
        <v>2</v>
      </c>
      <c r="E82" t="s">
        <v>363</v>
      </c>
      <c r="F82" t="s">
        <v>13</v>
      </c>
      <c r="G82" t="s">
        <v>525</v>
      </c>
    </row>
    <row r="83" spans="1:7" x14ac:dyDescent="0.3">
      <c r="A83">
        <v>0</v>
      </c>
      <c r="B83" t="s">
        <v>312</v>
      </c>
      <c r="C83" t="s">
        <v>382</v>
      </c>
      <c r="D83" t="s">
        <v>2</v>
      </c>
      <c r="E83" t="s">
        <v>382</v>
      </c>
      <c r="F83" t="s">
        <v>13</v>
      </c>
      <c r="G83" t="s">
        <v>525</v>
      </c>
    </row>
    <row r="84" spans="1:7" x14ac:dyDescent="0.3">
      <c r="A84">
        <v>0</v>
      </c>
      <c r="B84" t="s">
        <v>312</v>
      </c>
      <c r="C84" t="s">
        <v>424</v>
      </c>
      <c r="D84" t="s">
        <v>2</v>
      </c>
      <c r="E84" t="s">
        <v>424</v>
      </c>
      <c r="F84" t="s">
        <v>13</v>
      </c>
      <c r="G84" t="s">
        <v>525</v>
      </c>
    </row>
    <row r="85" spans="1:7" x14ac:dyDescent="0.3">
      <c r="A85">
        <v>0</v>
      </c>
      <c r="B85" t="s">
        <v>314</v>
      </c>
      <c r="C85" t="s">
        <v>351</v>
      </c>
      <c r="D85" t="s">
        <v>2</v>
      </c>
      <c r="E85" t="s">
        <v>351</v>
      </c>
      <c r="F85" t="s">
        <v>13</v>
      </c>
      <c r="G85" t="s">
        <v>525</v>
      </c>
    </row>
    <row r="86" spans="1:7" x14ac:dyDescent="0.3">
      <c r="A86">
        <v>0</v>
      </c>
      <c r="B86" t="s">
        <v>312</v>
      </c>
      <c r="C86" t="s">
        <v>347</v>
      </c>
      <c r="D86" t="s">
        <v>2</v>
      </c>
      <c r="E86" t="s">
        <v>347</v>
      </c>
      <c r="F86" t="s">
        <v>13</v>
      </c>
      <c r="G86" t="s">
        <v>525</v>
      </c>
    </row>
    <row r="87" spans="1:7" x14ac:dyDescent="0.3">
      <c r="A87">
        <v>0</v>
      </c>
      <c r="B87" t="s">
        <v>314</v>
      </c>
      <c r="C87" t="s">
        <v>453</v>
      </c>
      <c r="D87" t="s">
        <v>2</v>
      </c>
      <c r="E87" t="s">
        <v>453</v>
      </c>
      <c r="F87" t="s">
        <v>13</v>
      </c>
      <c r="G87" t="s">
        <v>525</v>
      </c>
    </row>
    <row r="88" spans="1:7" x14ac:dyDescent="0.3">
      <c r="A88">
        <v>0</v>
      </c>
      <c r="B88" t="s">
        <v>319</v>
      </c>
      <c r="C88" t="s">
        <v>457</v>
      </c>
      <c r="D88" t="s">
        <v>2</v>
      </c>
      <c r="E88" t="s">
        <v>457</v>
      </c>
      <c r="F88" t="s">
        <v>13</v>
      </c>
      <c r="G88" t="s">
        <v>525</v>
      </c>
    </row>
    <row r="89" spans="1:7" x14ac:dyDescent="0.3">
      <c r="A89">
        <v>0</v>
      </c>
      <c r="B89" t="s">
        <v>312</v>
      </c>
      <c r="C89" t="s">
        <v>485</v>
      </c>
      <c r="D89" t="s">
        <v>2</v>
      </c>
      <c r="E89" t="s">
        <v>485</v>
      </c>
      <c r="F89" t="s">
        <v>13</v>
      </c>
      <c r="G89" t="s">
        <v>525</v>
      </c>
    </row>
    <row r="90" spans="1:7" x14ac:dyDescent="0.3">
      <c r="A90">
        <v>0</v>
      </c>
      <c r="B90" t="s">
        <v>312</v>
      </c>
      <c r="C90" t="s">
        <v>355</v>
      </c>
      <c r="D90" t="s">
        <v>2</v>
      </c>
      <c r="E90" t="s">
        <v>355</v>
      </c>
      <c r="F90" t="s">
        <v>13</v>
      </c>
      <c r="G90" t="s">
        <v>525</v>
      </c>
    </row>
    <row r="91" spans="1:7" x14ac:dyDescent="0.3">
      <c r="A91">
        <v>0</v>
      </c>
      <c r="B91" t="s">
        <v>312</v>
      </c>
      <c r="C91" t="s">
        <v>338</v>
      </c>
      <c r="D91" t="s">
        <v>2</v>
      </c>
      <c r="E91" t="s">
        <v>338</v>
      </c>
      <c r="F91" t="s">
        <v>13</v>
      </c>
      <c r="G91" t="s">
        <v>525</v>
      </c>
    </row>
    <row r="92" spans="1:7" x14ac:dyDescent="0.3">
      <c r="A92">
        <v>0</v>
      </c>
      <c r="B92" t="s">
        <v>312</v>
      </c>
      <c r="C92" t="s">
        <v>394</v>
      </c>
      <c r="D92" t="s">
        <v>2</v>
      </c>
      <c r="E92" t="s">
        <v>394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438</v>
      </c>
      <c r="D93" t="s">
        <v>2</v>
      </c>
      <c r="E93" t="s">
        <v>438</v>
      </c>
      <c r="F93" t="s">
        <v>13</v>
      </c>
      <c r="G93" t="s">
        <v>525</v>
      </c>
    </row>
    <row r="94" spans="1:7" x14ac:dyDescent="0.3">
      <c r="A94">
        <v>0</v>
      </c>
      <c r="B94" t="s">
        <v>312</v>
      </c>
      <c r="C94" t="s">
        <v>486</v>
      </c>
      <c r="D94" t="s">
        <v>2</v>
      </c>
      <c r="E94" t="s">
        <v>486</v>
      </c>
      <c r="F94" t="s">
        <v>13</v>
      </c>
      <c r="G94" t="s">
        <v>525</v>
      </c>
    </row>
    <row r="95" spans="1:7" x14ac:dyDescent="0.3">
      <c r="A95">
        <v>0</v>
      </c>
      <c r="B95" t="s">
        <v>319</v>
      </c>
      <c r="C95" t="s">
        <v>419</v>
      </c>
      <c r="D95" t="s">
        <v>2</v>
      </c>
      <c r="E95" t="s">
        <v>419</v>
      </c>
      <c r="F95" t="s">
        <v>13</v>
      </c>
      <c r="G95" t="s">
        <v>525</v>
      </c>
    </row>
    <row r="96" spans="1:7" x14ac:dyDescent="0.3">
      <c r="A96">
        <v>0</v>
      </c>
      <c r="B96" t="s">
        <v>57</v>
      </c>
      <c r="C96" t="s">
        <v>353</v>
      </c>
      <c r="D96" t="s">
        <v>2</v>
      </c>
      <c r="E96" t="s">
        <v>353</v>
      </c>
      <c r="F96" t="s">
        <v>13</v>
      </c>
      <c r="G96" t="s">
        <v>525</v>
      </c>
    </row>
    <row r="97" spans="1:7" x14ac:dyDescent="0.3">
      <c r="A97">
        <v>0</v>
      </c>
      <c r="B97" t="s">
        <v>319</v>
      </c>
      <c r="C97" t="s">
        <v>489</v>
      </c>
      <c r="D97" t="s">
        <v>2</v>
      </c>
      <c r="E97" t="s">
        <v>489</v>
      </c>
      <c r="F97" t="s">
        <v>13</v>
      </c>
      <c r="G97" t="s">
        <v>525</v>
      </c>
    </row>
    <row r="98" spans="1:7" x14ac:dyDescent="0.3">
      <c r="A98">
        <v>0</v>
      </c>
      <c r="B98" t="s">
        <v>312</v>
      </c>
      <c r="C98" t="s">
        <v>386</v>
      </c>
      <c r="D98" t="s">
        <v>2</v>
      </c>
      <c r="E98" t="s">
        <v>386</v>
      </c>
      <c r="F98" t="s">
        <v>13</v>
      </c>
      <c r="G98" t="s">
        <v>525</v>
      </c>
    </row>
    <row r="99" spans="1:7" x14ac:dyDescent="0.3">
      <c r="A99">
        <v>0</v>
      </c>
      <c r="B99" t="s">
        <v>319</v>
      </c>
      <c r="C99" t="s">
        <v>389</v>
      </c>
      <c r="D99" t="s">
        <v>2</v>
      </c>
      <c r="E99" t="s">
        <v>389</v>
      </c>
      <c r="F99" t="s">
        <v>13</v>
      </c>
      <c r="G99" t="s">
        <v>525</v>
      </c>
    </row>
    <row r="100" spans="1:7" x14ac:dyDescent="0.3">
      <c r="A100">
        <v>0</v>
      </c>
      <c r="B100" t="s">
        <v>312</v>
      </c>
      <c r="C100" t="s">
        <v>340</v>
      </c>
      <c r="D100" t="s">
        <v>2</v>
      </c>
      <c r="E100" t="s">
        <v>340</v>
      </c>
      <c r="F100" t="s">
        <v>13</v>
      </c>
      <c r="G100" t="s">
        <v>525</v>
      </c>
    </row>
    <row r="101" spans="1:7" x14ac:dyDescent="0.3">
      <c r="A101">
        <v>0</v>
      </c>
      <c r="B101" t="s">
        <v>312</v>
      </c>
      <c r="C101" t="s">
        <v>368</v>
      </c>
      <c r="D101" t="s">
        <v>2</v>
      </c>
      <c r="E101" t="s">
        <v>368</v>
      </c>
      <c r="F101" t="s">
        <v>13</v>
      </c>
      <c r="G101" t="s">
        <v>525</v>
      </c>
    </row>
    <row r="102" spans="1:7" x14ac:dyDescent="0.3">
      <c r="A102">
        <v>0</v>
      </c>
      <c r="B102" t="s">
        <v>312</v>
      </c>
      <c r="C102" t="s">
        <v>328</v>
      </c>
      <c r="D102" t="s">
        <v>2</v>
      </c>
      <c r="E102" t="s">
        <v>328</v>
      </c>
      <c r="F102" t="s">
        <v>13</v>
      </c>
      <c r="G102" t="s">
        <v>525</v>
      </c>
    </row>
    <row r="103" spans="1:7" x14ac:dyDescent="0.3">
      <c r="A103">
        <v>0</v>
      </c>
      <c r="B103" t="s">
        <v>312</v>
      </c>
      <c r="C103" t="s">
        <v>479</v>
      </c>
      <c r="D103" t="s">
        <v>2</v>
      </c>
      <c r="E103" t="s">
        <v>479</v>
      </c>
      <c r="F103" t="s">
        <v>13</v>
      </c>
      <c r="G103" t="s">
        <v>525</v>
      </c>
    </row>
    <row r="104" spans="1:7" x14ac:dyDescent="0.3">
      <c r="A104">
        <v>0</v>
      </c>
      <c r="B104" t="s">
        <v>57</v>
      </c>
      <c r="C104" t="s">
        <v>116</v>
      </c>
      <c r="D104" t="s">
        <v>2</v>
      </c>
      <c r="E104" t="s">
        <v>116</v>
      </c>
      <c r="F104" t="s">
        <v>13</v>
      </c>
      <c r="G104" t="s">
        <v>525</v>
      </c>
    </row>
    <row r="105" spans="1:7" x14ac:dyDescent="0.3">
      <c r="A105">
        <v>0</v>
      </c>
      <c r="B105" t="s">
        <v>312</v>
      </c>
      <c r="C105" t="s">
        <v>352</v>
      </c>
      <c r="D105" t="s">
        <v>2</v>
      </c>
      <c r="E105" t="s">
        <v>352</v>
      </c>
      <c r="F105" t="s">
        <v>13</v>
      </c>
      <c r="G105" t="s">
        <v>525</v>
      </c>
    </row>
    <row r="106" spans="1:7" x14ac:dyDescent="0.3">
      <c r="A106">
        <v>0</v>
      </c>
      <c r="B106" t="s">
        <v>312</v>
      </c>
      <c r="C106" t="s">
        <v>417</v>
      </c>
      <c r="D106" t="s">
        <v>2</v>
      </c>
      <c r="E106" t="s">
        <v>417</v>
      </c>
      <c r="F106" t="s">
        <v>13</v>
      </c>
      <c r="G106" t="s">
        <v>525</v>
      </c>
    </row>
    <row r="107" spans="1:7" x14ac:dyDescent="0.3">
      <c r="A107">
        <v>0</v>
      </c>
      <c r="B107" t="s">
        <v>312</v>
      </c>
      <c r="C107" t="s">
        <v>447</v>
      </c>
      <c r="D107" t="s">
        <v>2</v>
      </c>
      <c r="E107" t="s">
        <v>447</v>
      </c>
      <c r="F107" t="s">
        <v>13</v>
      </c>
      <c r="G107" t="s">
        <v>525</v>
      </c>
    </row>
    <row r="108" spans="1:7" x14ac:dyDescent="0.3">
      <c r="A108">
        <v>0</v>
      </c>
      <c r="B108" t="s">
        <v>319</v>
      </c>
      <c r="C108" t="s">
        <v>329</v>
      </c>
      <c r="D108" t="s">
        <v>2</v>
      </c>
      <c r="E108" t="s">
        <v>329</v>
      </c>
      <c r="F108" t="s">
        <v>13</v>
      </c>
      <c r="G108" t="s">
        <v>525</v>
      </c>
    </row>
    <row r="109" spans="1:7" x14ac:dyDescent="0.3">
      <c r="A109">
        <v>0</v>
      </c>
      <c r="B109" t="s">
        <v>312</v>
      </c>
      <c r="C109" t="s">
        <v>252</v>
      </c>
      <c r="D109" t="s">
        <v>2</v>
      </c>
      <c r="E109" t="s">
        <v>252</v>
      </c>
      <c r="F109" t="s">
        <v>13</v>
      </c>
      <c r="G109" t="s">
        <v>525</v>
      </c>
    </row>
    <row r="110" spans="1:7" x14ac:dyDescent="0.3">
      <c r="A110">
        <v>0</v>
      </c>
      <c r="B110" t="s">
        <v>312</v>
      </c>
      <c r="C110" t="s">
        <v>317</v>
      </c>
      <c r="D110" t="s">
        <v>2</v>
      </c>
      <c r="E110" t="s">
        <v>317</v>
      </c>
      <c r="F110" t="s">
        <v>13</v>
      </c>
      <c r="G110" t="s">
        <v>525</v>
      </c>
    </row>
    <row r="111" spans="1:7" x14ac:dyDescent="0.3">
      <c r="A111">
        <v>0</v>
      </c>
      <c r="B111" t="s">
        <v>312</v>
      </c>
      <c r="C111" t="s">
        <v>436</v>
      </c>
      <c r="D111" t="s">
        <v>2</v>
      </c>
      <c r="E111" t="s">
        <v>436</v>
      </c>
      <c r="F111" t="s">
        <v>13</v>
      </c>
      <c r="G111" t="s">
        <v>525</v>
      </c>
    </row>
    <row r="112" spans="1:7" x14ac:dyDescent="0.3">
      <c r="A112">
        <v>0</v>
      </c>
      <c r="B112" t="s">
        <v>319</v>
      </c>
      <c r="C112" t="s">
        <v>490</v>
      </c>
      <c r="D112" t="s">
        <v>2</v>
      </c>
      <c r="E112" t="s">
        <v>490</v>
      </c>
      <c r="F112" t="s">
        <v>13</v>
      </c>
      <c r="G112" t="s">
        <v>525</v>
      </c>
    </row>
    <row r="113" spans="1:7" x14ac:dyDescent="0.3">
      <c r="A113">
        <v>0</v>
      </c>
      <c r="B113" t="s">
        <v>312</v>
      </c>
      <c r="C113" t="s">
        <v>391</v>
      </c>
      <c r="D113" t="s">
        <v>2</v>
      </c>
      <c r="E113" t="s">
        <v>391</v>
      </c>
      <c r="F113" t="s">
        <v>13</v>
      </c>
      <c r="G113" t="s">
        <v>525</v>
      </c>
    </row>
    <row r="114" spans="1:7" x14ac:dyDescent="0.3">
      <c r="A114">
        <v>0</v>
      </c>
      <c r="B114" t="s">
        <v>312</v>
      </c>
      <c r="C114" t="s">
        <v>235</v>
      </c>
      <c r="D114" t="s">
        <v>2</v>
      </c>
      <c r="E114" t="s">
        <v>235</v>
      </c>
      <c r="F114" t="s">
        <v>13</v>
      </c>
      <c r="G114" t="s">
        <v>525</v>
      </c>
    </row>
    <row r="115" spans="1:7" x14ac:dyDescent="0.3">
      <c r="A115">
        <v>0</v>
      </c>
      <c r="B115" t="s">
        <v>312</v>
      </c>
      <c r="C115" t="s">
        <v>493</v>
      </c>
      <c r="D115" t="s">
        <v>2</v>
      </c>
      <c r="E115" t="s">
        <v>493</v>
      </c>
      <c r="F115" t="s">
        <v>13</v>
      </c>
      <c r="G115" t="s">
        <v>525</v>
      </c>
    </row>
    <row r="116" spans="1:7" x14ac:dyDescent="0.3">
      <c r="A116">
        <v>0</v>
      </c>
      <c r="B116" t="s">
        <v>312</v>
      </c>
      <c r="C116" t="s">
        <v>335</v>
      </c>
      <c r="D116" t="s">
        <v>2</v>
      </c>
      <c r="E116" t="s">
        <v>335</v>
      </c>
      <c r="F116" t="s">
        <v>13</v>
      </c>
      <c r="G116" t="s">
        <v>525</v>
      </c>
    </row>
    <row r="117" spans="1:7" x14ac:dyDescent="0.3">
      <c r="A117">
        <v>0</v>
      </c>
      <c r="B117" t="s">
        <v>312</v>
      </c>
      <c r="C117" t="s">
        <v>354</v>
      </c>
      <c r="D117" t="s">
        <v>2</v>
      </c>
      <c r="E117" t="s">
        <v>354</v>
      </c>
      <c r="F117" t="s">
        <v>13</v>
      </c>
      <c r="G117" t="s">
        <v>525</v>
      </c>
    </row>
    <row r="118" spans="1:7" x14ac:dyDescent="0.3">
      <c r="A118">
        <v>0</v>
      </c>
      <c r="B118" t="s">
        <v>319</v>
      </c>
      <c r="C118" t="s">
        <v>360</v>
      </c>
      <c r="D118" t="s">
        <v>2</v>
      </c>
      <c r="E118" t="s">
        <v>360</v>
      </c>
      <c r="F118" t="s">
        <v>13</v>
      </c>
      <c r="G118" t="s">
        <v>525</v>
      </c>
    </row>
    <row r="119" spans="1:7" x14ac:dyDescent="0.3">
      <c r="A119">
        <v>0</v>
      </c>
      <c r="B119" t="s">
        <v>314</v>
      </c>
      <c r="C119" t="s">
        <v>356</v>
      </c>
      <c r="D119" t="s">
        <v>2</v>
      </c>
      <c r="E119" t="s">
        <v>356</v>
      </c>
      <c r="F119" t="s">
        <v>13</v>
      </c>
      <c r="G119" t="s">
        <v>525</v>
      </c>
    </row>
    <row r="120" spans="1:7" x14ac:dyDescent="0.3">
      <c r="A120">
        <v>0</v>
      </c>
      <c r="B120" t="s">
        <v>312</v>
      </c>
      <c r="C120" t="s">
        <v>405</v>
      </c>
      <c r="D120" t="s">
        <v>2</v>
      </c>
      <c r="E120" t="s">
        <v>405</v>
      </c>
      <c r="F120" t="s">
        <v>13</v>
      </c>
      <c r="G120" t="s">
        <v>525</v>
      </c>
    </row>
    <row r="121" spans="1:7" x14ac:dyDescent="0.3">
      <c r="A121">
        <v>0</v>
      </c>
      <c r="B121" t="s">
        <v>312</v>
      </c>
      <c r="C121" t="s">
        <v>471</v>
      </c>
      <c r="D121" t="s">
        <v>2</v>
      </c>
      <c r="E121" t="s">
        <v>471</v>
      </c>
      <c r="F121" t="s">
        <v>13</v>
      </c>
      <c r="G121" t="s">
        <v>525</v>
      </c>
    </row>
    <row r="122" spans="1:7" x14ac:dyDescent="0.3">
      <c r="A122">
        <v>0</v>
      </c>
      <c r="B122" t="s">
        <v>319</v>
      </c>
      <c r="C122" t="s">
        <v>421</v>
      </c>
      <c r="D122" t="s">
        <v>2</v>
      </c>
      <c r="E122" t="s">
        <v>421</v>
      </c>
      <c r="F122" t="s">
        <v>13</v>
      </c>
      <c r="G122" t="s">
        <v>525</v>
      </c>
    </row>
    <row r="123" spans="1:7" x14ac:dyDescent="0.3">
      <c r="A123">
        <v>0</v>
      </c>
      <c r="B123" t="s">
        <v>312</v>
      </c>
      <c r="C123" t="s">
        <v>321</v>
      </c>
      <c r="D123" t="s">
        <v>2</v>
      </c>
      <c r="E123" t="s">
        <v>321</v>
      </c>
      <c r="F123" t="s">
        <v>13</v>
      </c>
      <c r="G123" t="s">
        <v>525</v>
      </c>
    </row>
    <row r="124" spans="1:7" x14ac:dyDescent="0.3">
      <c r="A124">
        <v>0</v>
      </c>
      <c r="B124" t="s">
        <v>105</v>
      </c>
      <c r="C124" t="s">
        <v>113</v>
      </c>
      <c r="D124" t="s">
        <v>2</v>
      </c>
      <c r="E124" t="s">
        <v>113</v>
      </c>
      <c r="F124" t="s">
        <v>13</v>
      </c>
      <c r="G124" t="s">
        <v>525</v>
      </c>
    </row>
    <row r="125" spans="1:7" x14ac:dyDescent="0.3">
      <c r="A125">
        <v>0</v>
      </c>
      <c r="B125" t="s">
        <v>312</v>
      </c>
      <c r="C125" t="s">
        <v>348</v>
      </c>
      <c r="D125" t="s">
        <v>2</v>
      </c>
      <c r="E125" t="s">
        <v>348</v>
      </c>
      <c r="F125" t="s">
        <v>13</v>
      </c>
      <c r="G125" t="s">
        <v>525</v>
      </c>
    </row>
    <row r="126" spans="1:7" x14ac:dyDescent="0.3">
      <c r="A126">
        <v>0</v>
      </c>
      <c r="B126" t="s">
        <v>105</v>
      </c>
      <c r="C126" t="s">
        <v>469</v>
      </c>
      <c r="D126" t="s">
        <v>2</v>
      </c>
      <c r="E126" t="s">
        <v>469</v>
      </c>
      <c r="F126" t="s">
        <v>13</v>
      </c>
      <c r="G126" t="s">
        <v>525</v>
      </c>
    </row>
    <row r="127" spans="1:7" x14ac:dyDescent="0.3">
      <c r="A127">
        <v>0</v>
      </c>
      <c r="B127" t="s">
        <v>314</v>
      </c>
      <c r="C127" t="s">
        <v>481</v>
      </c>
      <c r="D127" t="s">
        <v>2</v>
      </c>
      <c r="E127" t="s">
        <v>481</v>
      </c>
      <c r="F127" t="s">
        <v>13</v>
      </c>
      <c r="G127" t="s">
        <v>525</v>
      </c>
    </row>
    <row r="128" spans="1:7" x14ac:dyDescent="0.3">
      <c r="A128">
        <v>0</v>
      </c>
      <c r="B128" t="s">
        <v>312</v>
      </c>
      <c r="C128" t="s">
        <v>398</v>
      </c>
      <c r="D128" t="s">
        <v>2</v>
      </c>
      <c r="E128" t="s">
        <v>398</v>
      </c>
      <c r="F128" t="s">
        <v>13</v>
      </c>
      <c r="G128" t="s">
        <v>525</v>
      </c>
    </row>
    <row r="129" spans="1:7" x14ac:dyDescent="0.3">
      <c r="A129">
        <v>0</v>
      </c>
      <c r="B129" t="s">
        <v>314</v>
      </c>
      <c r="C129" t="s">
        <v>342</v>
      </c>
      <c r="D129" t="s">
        <v>2</v>
      </c>
      <c r="E129" t="s">
        <v>342</v>
      </c>
      <c r="F129" t="s">
        <v>13</v>
      </c>
      <c r="G129" t="s">
        <v>525</v>
      </c>
    </row>
    <row r="130" spans="1:7" x14ac:dyDescent="0.3">
      <c r="A130">
        <v>0</v>
      </c>
      <c r="B130" t="s">
        <v>312</v>
      </c>
      <c r="C130" t="s">
        <v>322</v>
      </c>
      <c r="D130" t="s">
        <v>2</v>
      </c>
      <c r="E130" t="s">
        <v>322</v>
      </c>
      <c r="F130" t="s">
        <v>13</v>
      </c>
      <c r="G130" t="s">
        <v>525</v>
      </c>
    </row>
    <row r="131" spans="1:7" x14ac:dyDescent="0.3">
      <c r="A131">
        <v>0</v>
      </c>
      <c r="B131" t="s">
        <v>314</v>
      </c>
      <c r="C131" t="s">
        <v>409</v>
      </c>
      <c r="D131" t="s">
        <v>2</v>
      </c>
      <c r="E131" t="s">
        <v>409</v>
      </c>
      <c r="F131" t="s">
        <v>13</v>
      </c>
      <c r="G131" t="s">
        <v>525</v>
      </c>
    </row>
    <row r="132" spans="1:7" x14ac:dyDescent="0.3">
      <c r="A132">
        <v>0</v>
      </c>
      <c r="B132" t="s">
        <v>314</v>
      </c>
      <c r="C132" t="s">
        <v>480</v>
      </c>
      <c r="D132" t="s">
        <v>2</v>
      </c>
      <c r="E132" t="s">
        <v>480</v>
      </c>
      <c r="F132" t="s">
        <v>13</v>
      </c>
      <c r="G132" t="s">
        <v>525</v>
      </c>
    </row>
    <row r="133" spans="1:7" x14ac:dyDescent="0.3">
      <c r="A133">
        <v>0</v>
      </c>
      <c r="B133" t="s">
        <v>105</v>
      </c>
      <c r="C133" t="s">
        <v>121</v>
      </c>
      <c r="D133" t="s">
        <v>2</v>
      </c>
      <c r="E133" t="s">
        <v>121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359</v>
      </c>
      <c r="D134" t="s">
        <v>2</v>
      </c>
      <c r="E134" t="s">
        <v>359</v>
      </c>
      <c r="F134" t="s">
        <v>13</v>
      </c>
      <c r="G134" t="s">
        <v>525</v>
      </c>
    </row>
    <row r="135" spans="1:7" x14ac:dyDescent="0.3">
      <c r="A135">
        <v>0</v>
      </c>
      <c r="B135" t="s">
        <v>319</v>
      </c>
      <c r="C135" t="s">
        <v>468</v>
      </c>
      <c r="D135" t="s">
        <v>2</v>
      </c>
      <c r="E135" t="s">
        <v>468</v>
      </c>
      <c r="F135" t="s">
        <v>13</v>
      </c>
      <c r="G135" t="s">
        <v>525</v>
      </c>
    </row>
    <row r="136" spans="1:7" x14ac:dyDescent="0.3">
      <c r="A136">
        <v>0</v>
      </c>
      <c r="B136" t="s">
        <v>319</v>
      </c>
      <c r="C136" t="s">
        <v>458</v>
      </c>
      <c r="D136" t="s">
        <v>2</v>
      </c>
      <c r="E136" t="s">
        <v>458</v>
      </c>
      <c r="F136" t="s">
        <v>13</v>
      </c>
      <c r="G136" t="s">
        <v>525</v>
      </c>
    </row>
    <row r="137" spans="1:7" x14ac:dyDescent="0.3">
      <c r="A137">
        <v>0</v>
      </c>
      <c r="B137" t="s">
        <v>312</v>
      </c>
      <c r="C137" t="s">
        <v>370</v>
      </c>
      <c r="D137" t="s">
        <v>2</v>
      </c>
      <c r="E137" t="s">
        <v>370</v>
      </c>
      <c r="F137" t="s">
        <v>13</v>
      </c>
      <c r="G137" t="s">
        <v>525</v>
      </c>
    </row>
    <row r="138" spans="1:7" x14ac:dyDescent="0.3">
      <c r="A138">
        <v>0</v>
      </c>
      <c r="B138" t="s">
        <v>57</v>
      </c>
      <c r="C138" t="s">
        <v>114</v>
      </c>
      <c r="D138" t="s">
        <v>2</v>
      </c>
      <c r="E138" t="s">
        <v>114</v>
      </c>
      <c r="F138" t="s">
        <v>13</v>
      </c>
      <c r="G138" t="s">
        <v>525</v>
      </c>
    </row>
    <row r="139" spans="1:7" x14ac:dyDescent="0.3">
      <c r="A139">
        <v>0</v>
      </c>
      <c r="B139" t="s">
        <v>319</v>
      </c>
      <c r="C139" t="s">
        <v>404</v>
      </c>
      <c r="D139" t="s">
        <v>2</v>
      </c>
      <c r="E139" t="s">
        <v>404</v>
      </c>
      <c r="F139" t="s">
        <v>13</v>
      </c>
      <c r="G139" t="s">
        <v>525</v>
      </c>
    </row>
    <row r="140" spans="1:7" x14ac:dyDescent="0.3">
      <c r="A140">
        <v>0</v>
      </c>
      <c r="B140" t="s">
        <v>312</v>
      </c>
      <c r="C140" t="s">
        <v>369</v>
      </c>
      <c r="D140" t="s">
        <v>2</v>
      </c>
      <c r="E140" t="s">
        <v>369</v>
      </c>
      <c r="F140" t="s">
        <v>13</v>
      </c>
      <c r="G140" t="s">
        <v>525</v>
      </c>
    </row>
    <row r="141" spans="1:7" x14ac:dyDescent="0.3">
      <c r="A141">
        <v>0</v>
      </c>
      <c r="B141" t="s">
        <v>57</v>
      </c>
      <c r="C141" t="s">
        <v>122</v>
      </c>
      <c r="D141" t="s">
        <v>2</v>
      </c>
      <c r="E141" t="s">
        <v>122</v>
      </c>
      <c r="F141" t="s">
        <v>13</v>
      </c>
      <c r="G141" t="s">
        <v>525</v>
      </c>
    </row>
    <row r="142" spans="1:7" x14ac:dyDescent="0.3">
      <c r="A142">
        <v>0</v>
      </c>
      <c r="B142" t="s">
        <v>319</v>
      </c>
      <c r="C142" t="s">
        <v>390</v>
      </c>
      <c r="D142" t="s">
        <v>2</v>
      </c>
      <c r="E142" t="s">
        <v>390</v>
      </c>
      <c r="F142" t="s">
        <v>13</v>
      </c>
      <c r="G142" t="s">
        <v>525</v>
      </c>
    </row>
    <row r="143" spans="1:7" x14ac:dyDescent="0.3">
      <c r="A143">
        <v>0</v>
      </c>
      <c r="B143" t="s">
        <v>312</v>
      </c>
      <c r="C143" t="s">
        <v>492</v>
      </c>
      <c r="D143" t="s">
        <v>2</v>
      </c>
      <c r="E143" t="s">
        <v>492</v>
      </c>
      <c r="F143" t="s">
        <v>13</v>
      </c>
      <c r="G143" t="s">
        <v>525</v>
      </c>
    </row>
    <row r="144" spans="1:7" x14ac:dyDescent="0.3">
      <c r="A144">
        <v>0</v>
      </c>
      <c r="B144" t="s">
        <v>312</v>
      </c>
      <c r="C144" t="s">
        <v>345</v>
      </c>
      <c r="D144" t="s">
        <v>2</v>
      </c>
      <c r="E144" t="s">
        <v>345</v>
      </c>
      <c r="F144" t="s">
        <v>13</v>
      </c>
      <c r="G144" t="s">
        <v>525</v>
      </c>
    </row>
    <row r="145" spans="1:7" x14ac:dyDescent="0.3">
      <c r="A145">
        <v>0</v>
      </c>
      <c r="B145" t="s">
        <v>314</v>
      </c>
      <c r="C145" t="s">
        <v>374</v>
      </c>
      <c r="D145" t="s">
        <v>2</v>
      </c>
      <c r="E145" t="s">
        <v>374</v>
      </c>
      <c r="F145" t="s">
        <v>13</v>
      </c>
      <c r="G145" t="s">
        <v>525</v>
      </c>
    </row>
    <row r="146" spans="1:7" x14ac:dyDescent="0.3">
      <c r="A146">
        <v>0</v>
      </c>
      <c r="B146" t="s">
        <v>105</v>
      </c>
      <c r="C146" t="s">
        <v>124</v>
      </c>
      <c r="D146" t="s">
        <v>2</v>
      </c>
      <c r="E146" t="s">
        <v>124</v>
      </c>
      <c r="F146" t="s">
        <v>13</v>
      </c>
      <c r="G146" t="s">
        <v>525</v>
      </c>
    </row>
    <row r="147" spans="1:7" x14ac:dyDescent="0.3">
      <c r="A147">
        <v>0</v>
      </c>
      <c r="B147" t="s">
        <v>312</v>
      </c>
      <c r="C147" t="s">
        <v>440</v>
      </c>
      <c r="D147" t="s">
        <v>2</v>
      </c>
      <c r="E147" t="s">
        <v>440</v>
      </c>
      <c r="F147" t="s">
        <v>13</v>
      </c>
      <c r="G147" t="s">
        <v>525</v>
      </c>
    </row>
    <row r="148" spans="1:7" x14ac:dyDescent="0.3">
      <c r="A148">
        <v>0</v>
      </c>
      <c r="B148" t="s">
        <v>312</v>
      </c>
      <c r="C148" t="s">
        <v>316</v>
      </c>
      <c r="D148" t="s">
        <v>2</v>
      </c>
      <c r="E148" t="s">
        <v>316</v>
      </c>
      <c r="F148" t="s">
        <v>13</v>
      </c>
      <c r="G148" t="s">
        <v>525</v>
      </c>
    </row>
    <row r="149" spans="1:7" x14ac:dyDescent="0.3">
      <c r="A149">
        <v>0</v>
      </c>
      <c r="B149" t="s">
        <v>312</v>
      </c>
      <c r="C149" t="s">
        <v>427</v>
      </c>
      <c r="D149" t="s">
        <v>2</v>
      </c>
      <c r="E149" t="s">
        <v>427</v>
      </c>
      <c r="F149" t="s">
        <v>13</v>
      </c>
      <c r="G149" t="s">
        <v>525</v>
      </c>
    </row>
    <row r="150" spans="1:7" x14ac:dyDescent="0.3">
      <c r="A150">
        <v>0</v>
      </c>
      <c r="B150" t="s">
        <v>312</v>
      </c>
      <c r="C150" t="s">
        <v>332</v>
      </c>
      <c r="D150" t="s">
        <v>2</v>
      </c>
      <c r="E150" t="s">
        <v>332</v>
      </c>
      <c r="F150" t="s">
        <v>13</v>
      </c>
      <c r="G150" t="s">
        <v>525</v>
      </c>
    </row>
    <row r="151" spans="1:7" x14ac:dyDescent="0.3">
      <c r="A151">
        <v>0</v>
      </c>
      <c r="B151" t="s">
        <v>312</v>
      </c>
      <c r="C151" t="s">
        <v>336</v>
      </c>
      <c r="D151" t="s">
        <v>2</v>
      </c>
      <c r="E151" t="s">
        <v>336</v>
      </c>
      <c r="F151" t="s">
        <v>13</v>
      </c>
      <c r="G151" t="s">
        <v>525</v>
      </c>
    </row>
    <row r="152" spans="1:7" x14ac:dyDescent="0.3">
      <c r="A152">
        <v>0</v>
      </c>
      <c r="B152" t="s">
        <v>314</v>
      </c>
      <c r="C152" t="s">
        <v>393</v>
      </c>
      <c r="D152" t="s">
        <v>2</v>
      </c>
      <c r="E152" t="s">
        <v>393</v>
      </c>
      <c r="F152" t="s">
        <v>13</v>
      </c>
      <c r="G152" t="s">
        <v>525</v>
      </c>
    </row>
    <row r="153" spans="1:7" x14ac:dyDescent="0.3">
      <c r="A153">
        <v>0</v>
      </c>
      <c r="B153" t="s">
        <v>312</v>
      </c>
      <c r="C153" t="s">
        <v>339</v>
      </c>
      <c r="D153" t="s">
        <v>2</v>
      </c>
      <c r="E153" t="s">
        <v>339</v>
      </c>
      <c r="F153" t="s">
        <v>13</v>
      </c>
      <c r="G153" t="s">
        <v>525</v>
      </c>
    </row>
    <row r="154" spans="1:7" x14ac:dyDescent="0.3">
      <c r="A154">
        <v>0</v>
      </c>
      <c r="B154" t="s">
        <v>312</v>
      </c>
      <c r="C154" t="s">
        <v>400</v>
      </c>
      <c r="D154" t="s">
        <v>2</v>
      </c>
      <c r="E154" t="s">
        <v>400</v>
      </c>
      <c r="F154" t="s">
        <v>13</v>
      </c>
      <c r="G154" t="s">
        <v>525</v>
      </c>
    </row>
    <row r="155" spans="1:7" x14ac:dyDescent="0.3">
      <c r="A155">
        <v>0</v>
      </c>
      <c r="B155" t="s">
        <v>312</v>
      </c>
      <c r="C155" t="s">
        <v>380</v>
      </c>
      <c r="D155" t="s">
        <v>2</v>
      </c>
      <c r="E155" t="s">
        <v>380</v>
      </c>
      <c r="F155" t="s">
        <v>13</v>
      </c>
      <c r="G155" t="s">
        <v>525</v>
      </c>
    </row>
    <row r="156" spans="1:7" x14ac:dyDescent="0.3">
      <c r="A156">
        <v>0</v>
      </c>
      <c r="B156" t="s">
        <v>312</v>
      </c>
      <c r="C156" t="s">
        <v>442</v>
      </c>
      <c r="D156" t="s">
        <v>2</v>
      </c>
      <c r="E156" t="s">
        <v>442</v>
      </c>
      <c r="F156" t="s">
        <v>13</v>
      </c>
      <c r="G156" t="s">
        <v>525</v>
      </c>
    </row>
    <row r="157" spans="1:7" x14ac:dyDescent="0.3">
      <c r="A157">
        <v>0</v>
      </c>
      <c r="B157" t="s">
        <v>314</v>
      </c>
      <c r="C157" t="s">
        <v>349</v>
      </c>
      <c r="D157" t="s">
        <v>2</v>
      </c>
      <c r="E157" t="s">
        <v>349</v>
      </c>
      <c r="F157" t="s">
        <v>13</v>
      </c>
      <c r="G157" t="s">
        <v>525</v>
      </c>
    </row>
    <row r="158" spans="1:7" x14ac:dyDescent="0.3">
      <c r="A158">
        <v>0</v>
      </c>
      <c r="B158" t="s">
        <v>57</v>
      </c>
      <c r="C158" t="s">
        <v>470</v>
      </c>
      <c r="D158" t="s">
        <v>2</v>
      </c>
      <c r="E158" t="s">
        <v>470</v>
      </c>
      <c r="F158" t="s">
        <v>13</v>
      </c>
      <c r="G158" t="s">
        <v>525</v>
      </c>
    </row>
    <row r="159" spans="1:7" x14ac:dyDescent="0.3">
      <c r="A159">
        <v>0</v>
      </c>
      <c r="B159" t="s">
        <v>319</v>
      </c>
      <c r="C159" t="s">
        <v>463</v>
      </c>
      <c r="D159" t="s">
        <v>2</v>
      </c>
      <c r="E159" t="s">
        <v>463</v>
      </c>
      <c r="F159" t="s">
        <v>13</v>
      </c>
      <c r="G159" t="s">
        <v>525</v>
      </c>
    </row>
    <row r="160" spans="1:7" x14ac:dyDescent="0.3">
      <c r="A160">
        <v>0</v>
      </c>
      <c r="B160" t="s">
        <v>314</v>
      </c>
      <c r="C160" t="s">
        <v>343</v>
      </c>
      <c r="D160" t="s">
        <v>2</v>
      </c>
      <c r="E160" t="s">
        <v>343</v>
      </c>
      <c r="F160" t="s">
        <v>13</v>
      </c>
      <c r="G160" t="s">
        <v>525</v>
      </c>
    </row>
    <row r="161" spans="1:7" x14ac:dyDescent="0.3">
      <c r="A161">
        <v>0</v>
      </c>
      <c r="B161" t="s">
        <v>312</v>
      </c>
      <c r="C161" t="s">
        <v>371</v>
      </c>
      <c r="D161" t="s">
        <v>2</v>
      </c>
      <c r="E161" t="s">
        <v>371</v>
      </c>
      <c r="F161" t="s">
        <v>13</v>
      </c>
      <c r="G161" t="s">
        <v>525</v>
      </c>
    </row>
    <row r="162" spans="1:7" x14ac:dyDescent="0.3">
      <c r="A162">
        <v>0</v>
      </c>
      <c r="B162" t="s">
        <v>312</v>
      </c>
      <c r="C162" t="s">
        <v>366</v>
      </c>
      <c r="D162" t="s">
        <v>2</v>
      </c>
      <c r="E162" t="s">
        <v>366</v>
      </c>
      <c r="F162" t="s">
        <v>13</v>
      </c>
      <c r="G162" t="s">
        <v>525</v>
      </c>
    </row>
    <row r="163" spans="1:7" x14ac:dyDescent="0.3">
      <c r="A163">
        <v>0</v>
      </c>
      <c r="B163" t="s">
        <v>312</v>
      </c>
      <c r="C163" t="s">
        <v>384</v>
      </c>
      <c r="D163" t="s">
        <v>2</v>
      </c>
      <c r="E163" t="s">
        <v>384</v>
      </c>
      <c r="F163" t="s">
        <v>13</v>
      </c>
      <c r="G163" t="s">
        <v>525</v>
      </c>
    </row>
    <row r="164" spans="1:7" x14ac:dyDescent="0.3">
      <c r="A164">
        <v>0</v>
      </c>
      <c r="B164" t="s">
        <v>319</v>
      </c>
      <c r="C164" t="s">
        <v>464</v>
      </c>
      <c r="D164" t="s">
        <v>2</v>
      </c>
      <c r="E164" t="s">
        <v>464</v>
      </c>
      <c r="F164" t="s">
        <v>13</v>
      </c>
      <c r="G164" t="s">
        <v>525</v>
      </c>
    </row>
    <row r="165" spans="1:7" x14ac:dyDescent="0.3">
      <c r="A165">
        <v>0</v>
      </c>
      <c r="B165" t="s">
        <v>312</v>
      </c>
      <c r="C165" t="s">
        <v>323</v>
      </c>
      <c r="D165" t="s">
        <v>2</v>
      </c>
      <c r="E165" t="s">
        <v>323</v>
      </c>
      <c r="F165" t="s">
        <v>13</v>
      </c>
      <c r="G165" t="s">
        <v>525</v>
      </c>
    </row>
    <row r="166" spans="1:7" x14ac:dyDescent="0.3">
      <c r="A166">
        <v>0</v>
      </c>
      <c r="B166" t="s">
        <v>314</v>
      </c>
      <c r="C166" t="s">
        <v>414</v>
      </c>
      <c r="D166" t="s">
        <v>2</v>
      </c>
      <c r="E166" t="s">
        <v>414</v>
      </c>
      <c r="F166" t="s">
        <v>13</v>
      </c>
      <c r="G166" t="s">
        <v>525</v>
      </c>
    </row>
    <row r="167" spans="1:7" x14ac:dyDescent="0.3">
      <c r="A167">
        <v>0</v>
      </c>
      <c r="B167" t="s">
        <v>312</v>
      </c>
      <c r="C167" t="s">
        <v>261</v>
      </c>
      <c r="D167" t="s">
        <v>2</v>
      </c>
      <c r="E167" t="s">
        <v>261</v>
      </c>
      <c r="F167" t="s">
        <v>13</v>
      </c>
      <c r="G167" t="s">
        <v>525</v>
      </c>
    </row>
    <row r="168" spans="1:7" x14ac:dyDescent="0.3">
      <c r="A168">
        <v>0</v>
      </c>
      <c r="B168" t="s">
        <v>319</v>
      </c>
      <c r="C168" t="s">
        <v>364</v>
      </c>
      <c r="D168" t="s">
        <v>2</v>
      </c>
      <c r="E168" t="s">
        <v>364</v>
      </c>
      <c r="F168" t="s">
        <v>13</v>
      </c>
      <c r="G168" t="s">
        <v>525</v>
      </c>
    </row>
    <row r="169" spans="1:7" x14ac:dyDescent="0.3">
      <c r="A169">
        <v>0</v>
      </c>
      <c r="B169" t="s">
        <v>312</v>
      </c>
      <c r="C169" t="s">
        <v>373</v>
      </c>
      <c r="D169" t="s">
        <v>2</v>
      </c>
      <c r="E169" t="s">
        <v>373</v>
      </c>
      <c r="F169" t="s">
        <v>13</v>
      </c>
      <c r="G169" t="s">
        <v>525</v>
      </c>
    </row>
    <row r="170" spans="1:7" x14ac:dyDescent="0.3">
      <c r="A170">
        <v>0</v>
      </c>
      <c r="B170" t="s">
        <v>312</v>
      </c>
      <c r="C170" t="s">
        <v>482</v>
      </c>
      <c r="D170" t="s">
        <v>2</v>
      </c>
      <c r="E170" t="s">
        <v>482</v>
      </c>
      <c r="F170" t="s">
        <v>13</v>
      </c>
      <c r="G170" t="s">
        <v>525</v>
      </c>
    </row>
    <row r="171" spans="1:7" x14ac:dyDescent="0.3">
      <c r="A171">
        <v>0</v>
      </c>
      <c r="B171" t="s">
        <v>312</v>
      </c>
      <c r="C171" t="s">
        <v>412</v>
      </c>
      <c r="D171" t="s">
        <v>2</v>
      </c>
      <c r="E171" t="s">
        <v>412</v>
      </c>
      <c r="F171" t="s">
        <v>13</v>
      </c>
      <c r="G171" t="s">
        <v>525</v>
      </c>
    </row>
    <row r="172" spans="1:7" x14ac:dyDescent="0.3">
      <c r="A172">
        <v>0</v>
      </c>
      <c r="B172" t="s">
        <v>312</v>
      </c>
      <c r="C172" t="s">
        <v>434</v>
      </c>
      <c r="D172" t="s">
        <v>2</v>
      </c>
      <c r="E172" t="s">
        <v>434</v>
      </c>
      <c r="F172" t="s">
        <v>13</v>
      </c>
      <c r="G172" t="s">
        <v>525</v>
      </c>
    </row>
    <row r="173" spans="1:7" x14ac:dyDescent="0.3">
      <c r="A173">
        <v>0</v>
      </c>
      <c r="B173" t="s">
        <v>314</v>
      </c>
      <c r="C173" t="s">
        <v>443</v>
      </c>
      <c r="D173" t="s">
        <v>2</v>
      </c>
      <c r="E173" t="s">
        <v>443</v>
      </c>
      <c r="F173" t="s">
        <v>13</v>
      </c>
      <c r="G173" t="s">
        <v>525</v>
      </c>
    </row>
    <row r="174" spans="1:7" x14ac:dyDescent="0.3">
      <c r="A174">
        <v>0</v>
      </c>
      <c r="B174" t="s">
        <v>319</v>
      </c>
      <c r="C174" t="s">
        <v>430</v>
      </c>
      <c r="D174" t="s">
        <v>2</v>
      </c>
      <c r="E174" t="s">
        <v>430</v>
      </c>
      <c r="F174" t="s">
        <v>13</v>
      </c>
      <c r="G174" t="s">
        <v>525</v>
      </c>
    </row>
    <row r="175" spans="1:7" x14ac:dyDescent="0.3">
      <c r="A175">
        <v>0</v>
      </c>
      <c r="B175" t="s">
        <v>314</v>
      </c>
      <c r="C175" t="s">
        <v>408</v>
      </c>
      <c r="D175" t="s">
        <v>2</v>
      </c>
      <c r="E175" t="s">
        <v>408</v>
      </c>
      <c r="F175" t="s">
        <v>13</v>
      </c>
      <c r="G175" t="s">
        <v>525</v>
      </c>
    </row>
    <row r="176" spans="1:7" x14ac:dyDescent="0.3">
      <c r="A176">
        <v>0</v>
      </c>
      <c r="B176" t="s">
        <v>312</v>
      </c>
      <c r="C176" t="s">
        <v>138</v>
      </c>
      <c r="D176" t="s">
        <v>2</v>
      </c>
      <c r="E176" t="s">
        <v>138</v>
      </c>
      <c r="F176" t="s">
        <v>13</v>
      </c>
      <c r="G176" t="s">
        <v>525</v>
      </c>
    </row>
    <row r="177" spans="1:7" x14ac:dyDescent="0.3">
      <c r="A177">
        <v>0</v>
      </c>
      <c r="B177" t="s">
        <v>312</v>
      </c>
      <c r="C177" t="s">
        <v>275</v>
      </c>
      <c r="D177" t="s">
        <v>2</v>
      </c>
      <c r="E177" t="s">
        <v>275</v>
      </c>
      <c r="F177" t="s">
        <v>13</v>
      </c>
      <c r="G177" t="s">
        <v>525</v>
      </c>
    </row>
    <row r="178" spans="1:7" x14ac:dyDescent="0.3">
      <c r="A178">
        <v>0</v>
      </c>
      <c r="B178" t="s">
        <v>312</v>
      </c>
      <c r="C178" t="s">
        <v>337</v>
      </c>
      <c r="D178" t="s">
        <v>2</v>
      </c>
      <c r="E178" t="s">
        <v>337</v>
      </c>
      <c r="F178" t="s">
        <v>13</v>
      </c>
      <c r="G178" t="s">
        <v>525</v>
      </c>
    </row>
    <row r="179" spans="1:7" x14ac:dyDescent="0.3">
      <c r="A179">
        <v>0</v>
      </c>
      <c r="B179" t="s">
        <v>312</v>
      </c>
      <c r="C179" t="s">
        <v>331</v>
      </c>
      <c r="D179" t="s">
        <v>2</v>
      </c>
      <c r="E179" t="s">
        <v>331</v>
      </c>
      <c r="F179" t="s">
        <v>13</v>
      </c>
      <c r="G179" t="s">
        <v>525</v>
      </c>
    </row>
    <row r="180" spans="1:7" x14ac:dyDescent="0.3">
      <c r="A180">
        <v>0</v>
      </c>
      <c r="B180" t="s">
        <v>312</v>
      </c>
      <c r="C180" t="s">
        <v>452</v>
      </c>
      <c r="D180" t="s">
        <v>2</v>
      </c>
      <c r="E180" t="s">
        <v>452</v>
      </c>
      <c r="F180" t="s">
        <v>13</v>
      </c>
      <c r="G180" t="s">
        <v>525</v>
      </c>
    </row>
    <row r="181" spans="1:7" x14ac:dyDescent="0.3">
      <c r="A181">
        <v>0</v>
      </c>
      <c r="B181" t="s">
        <v>319</v>
      </c>
      <c r="C181" t="s">
        <v>477</v>
      </c>
      <c r="D181" t="s">
        <v>2</v>
      </c>
      <c r="E181" t="s">
        <v>477</v>
      </c>
      <c r="F181" t="s">
        <v>13</v>
      </c>
      <c r="G181" t="s">
        <v>525</v>
      </c>
    </row>
    <row r="182" spans="1:7" x14ac:dyDescent="0.3">
      <c r="A182">
        <v>0</v>
      </c>
      <c r="B182" t="s">
        <v>312</v>
      </c>
      <c r="C182" t="s">
        <v>446</v>
      </c>
      <c r="D182" t="s">
        <v>2</v>
      </c>
      <c r="E182" t="s">
        <v>446</v>
      </c>
      <c r="F182" t="s">
        <v>13</v>
      </c>
      <c r="G182" t="s">
        <v>525</v>
      </c>
    </row>
    <row r="183" spans="1:7" x14ac:dyDescent="0.3">
      <c r="A183">
        <v>0</v>
      </c>
      <c r="B183" t="s">
        <v>319</v>
      </c>
      <c r="C183" t="s">
        <v>491</v>
      </c>
      <c r="D183" t="s">
        <v>2</v>
      </c>
      <c r="E183" t="s">
        <v>491</v>
      </c>
      <c r="F183" t="s">
        <v>13</v>
      </c>
      <c r="G183" t="s">
        <v>525</v>
      </c>
    </row>
    <row r="184" spans="1:7" x14ac:dyDescent="0.3">
      <c r="A184">
        <v>0</v>
      </c>
      <c r="B184" t="s">
        <v>312</v>
      </c>
      <c r="C184" t="s">
        <v>326</v>
      </c>
      <c r="D184" t="s">
        <v>2</v>
      </c>
      <c r="E184" t="s">
        <v>326</v>
      </c>
      <c r="F184" t="s">
        <v>13</v>
      </c>
      <c r="G184" t="s">
        <v>525</v>
      </c>
    </row>
    <row r="185" spans="1:7" x14ac:dyDescent="0.3">
      <c r="A185">
        <v>0</v>
      </c>
      <c r="B185" t="s">
        <v>319</v>
      </c>
      <c r="C185" t="s">
        <v>415</v>
      </c>
      <c r="D185" t="s">
        <v>2</v>
      </c>
      <c r="E185" t="s">
        <v>415</v>
      </c>
      <c r="F185" t="s">
        <v>13</v>
      </c>
      <c r="G185" t="s">
        <v>525</v>
      </c>
    </row>
    <row r="186" spans="1:7" x14ac:dyDescent="0.3">
      <c r="A186">
        <v>0</v>
      </c>
      <c r="B186" t="s">
        <v>314</v>
      </c>
      <c r="C186" t="s">
        <v>451</v>
      </c>
      <c r="D186" t="s">
        <v>2</v>
      </c>
      <c r="E186" t="s">
        <v>451</v>
      </c>
      <c r="F186" t="s">
        <v>13</v>
      </c>
      <c r="G186" t="s">
        <v>525</v>
      </c>
    </row>
    <row r="187" spans="1:7" x14ac:dyDescent="0.3">
      <c r="A187">
        <v>0</v>
      </c>
      <c r="B187" t="s">
        <v>314</v>
      </c>
      <c r="C187" t="s">
        <v>448</v>
      </c>
      <c r="D187" t="s">
        <v>2</v>
      </c>
      <c r="E187" t="s">
        <v>448</v>
      </c>
      <c r="F187" t="s">
        <v>13</v>
      </c>
      <c r="G187" t="s">
        <v>525</v>
      </c>
    </row>
    <row r="188" spans="1:7" x14ac:dyDescent="0.3">
      <c r="A188">
        <v>0</v>
      </c>
      <c r="B188" t="s">
        <v>312</v>
      </c>
      <c r="C188" t="s">
        <v>423</v>
      </c>
      <c r="D188" t="s">
        <v>2</v>
      </c>
      <c r="E188" t="s">
        <v>423</v>
      </c>
      <c r="F188" t="s">
        <v>13</v>
      </c>
      <c r="G188" t="s">
        <v>525</v>
      </c>
    </row>
    <row r="189" spans="1:7" x14ac:dyDescent="0.3">
      <c r="A189">
        <v>0</v>
      </c>
      <c r="B189" t="s">
        <v>319</v>
      </c>
      <c r="C189" t="s">
        <v>361</v>
      </c>
      <c r="D189" t="s">
        <v>2</v>
      </c>
      <c r="E189" t="s">
        <v>361</v>
      </c>
      <c r="F189" t="s">
        <v>13</v>
      </c>
      <c r="G189" t="s">
        <v>525</v>
      </c>
    </row>
    <row r="190" spans="1:7" x14ac:dyDescent="0.3">
      <c r="A190">
        <v>0</v>
      </c>
      <c r="B190" t="s">
        <v>314</v>
      </c>
      <c r="C190" t="s">
        <v>467</v>
      </c>
      <c r="D190" t="s">
        <v>2</v>
      </c>
      <c r="E190" t="s">
        <v>467</v>
      </c>
      <c r="F190" t="s">
        <v>13</v>
      </c>
      <c r="G190" t="s">
        <v>525</v>
      </c>
    </row>
    <row r="191" spans="1:7" x14ac:dyDescent="0.3">
      <c r="A191">
        <v>0</v>
      </c>
      <c r="B191" t="s">
        <v>319</v>
      </c>
      <c r="C191" t="s">
        <v>420</v>
      </c>
      <c r="D191" t="s">
        <v>2</v>
      </c>
      <c r="E191" t="s">
        <v>420</v>
      </c>
      <c r="F191" t="s">
        <v>13</v>
      </c>
      <c r="G191" t="s">
        <v>525</v>
      </c>
    </row>
    <row r="192" spans="1:7" x14ac:dyDescent="0.3">
      <c r="A192">
        <v>0</v>
      </c>
      <c r="B192" t="s">
        <v>314</v>
      </c>
      <c r="C192" t="s">
        <v>487</v>
      </c>
      <c r="D192" t="s">
        <v>2</v>
      </c>
      <c r="E192" t="s">
        <v>487</v>
      </c>
      <c r="F192" t="s">
        <v>13</v>
      </c>
      <c r="G192" t="s">
        <v>525</v>
      </c>
    </row>
    <row r="193" spans="1:7" x14ac:dyDescent="0.3">
      <c r="A193">
        <v>0</v>
      </c>
      <c r="B193" t="s">
        <v>312</v>
      </c>
      <c r="C193" t="s">
        <v>149</v>
      </c>
      <c r="D193" t="s">
        <v>2</v>
      </c>
      <c r="E193" t="s">
        <v>149</v>
      </c>
      <c r="F193" t="s">
        <v>13</v>
      </c>
      <c r="G193" t="s">
        <v>525</v>
      </c>
    </row>
    <row r="194" spans="1:7" x14ac:dyDescent="0.3">
      <c r="A194">
        <v>0</v>
      </c>
      <c r="B194" t="s">
        <v>314</v>
      </c>
      <c r="C194" t="s">
        <v>377</v>
      </c>
      <c r="D194" t="s">
        <v>2</v>
      </c>
      <c r="E194" t="s">
        <v>377</v>
      </c>
      <c r="F194" t="s">
        <v>13</v>
      </c>
      <c r="G194" t="s">
        <v>525</v>
      </c>
    </row>
    <row r="195" spans="1:7" x14ac:dyDescent="0.3">
      <c r="A195">
        <v>0</v>
      </c>
      <c r="B195" t="s">
        <v>312</v>
      </c>
      <c r="C195" t="s">
        <v>403</v>
      </c>
      <c r="D195" t="s">
        <v>2</v>
      </c>
      <c r="E195" t="s">
        <v>403</v>
      </c>
      <c r="F195" t="s">
        <v>13</v>
      </c>
      <c r="G195" t="s">
        <v>525</v>
      </c>
    </row>
    <row r="196" spans="1:7" x14ac:dyDescent="0.3">
      <c r="A196">
        <v>0</v>
      </c>
      <c r="B196" t="s">
        <v>312</v>
      </c>
      <c r="C196" t="s">
        <v>387</v>
      </c>
      <c r="D196" t="s">
        <v>2</v>
      </c>
      <c r="E196" t="s">
        <v>387</v>
      </c>
      <c r="F196" t="s">
        <v>13</v>
      </c>
      <c r="G196" t="s">
        <v>525</v>
      </c>
    </row>
    <row r="197" spans="1:7" x14ac:dyDescent="0.3">
      <c r="A197">
        <v>0</v>
      </c>
      <c r="B197" t="s">
        <v>312</v>
      </c>
      <c r="C197" t="s">
        <v>431</v>
      </c>
      <c r="D197" t="s">
        <v>2</v>
      </c>
      <c r="E197" t="s">
        <v>431</v>
      </c>
      <c r="F197" t="s">
        <v>13</v>
      </c>
      <c r="G197" t="s">
        <v>525</v>
      </c>
    </row>
    <row r="198" spans="1:7" x14ac:dyDescent="0.3">
      <c r="A198">
        <v>0</v>
      </c>
      <c r="B198" t="s">
        <v>319</v>
      </c>
      <c r="C198" t="s">
        <v>459</v>
      </c>
      <c r="D198" t="s">
        <v>2</v>
      </c>
      <c r="E198" t="s">
        <v>459</v>
      </c>
      <c r="F198" t="s">
        <v>13</v>
      </c>
      <c r="G198" t="s">
        <v>525</v>
      </c>
    </row>
    <row r="199" spans="1:7" x14ac:dyDescent="0.3">
      <c r="A199">
        <v>0</v>
      </c>
      <c r="B199" t="s">
        <v>314</v>
      </c>
      <c r="C199" t="s">
        <v>376</v>
      </c>
      <c r="D199" t="s">
        <v>2</v>
      </c>
      <c r="E199" t="s">
        <v>376</v>
      </c>
      <c r="F199" t="s">
        <v>13</v>
      </c>
      <c r="G199" t="s">
        <v>525</v>
      </c>
    </row>
    <row r="200" spans="1:7" x14ac:dyDescent="0.3">
      <c r="A200">
        <v>0</v>
      </c>
      <c r="B200" t="s">
        <v>312</v>
      </c>
      <c r="C200" t="s">
        <v>379</v>
      </c>
      <c r="D200" t="s">
        <v>2</v>
      </c>
      <c r="E200" t="s">
        <v>379</v>
      </c>
      <c r="F200" t="s">
        <v>13</v>
      </c>
      <c r="G200" t="s">
        <v>525</v>
      </c>
    </row>
    <row r="201" spans="1:7" x14ac:dyDescent="0.3">
      <c r="A201">
        <v>0</v>
      </c>
      <c r="B201" t="s">
        <v>314</v>
      </c>
      <c r="C201" t="s">
        <v>445</v>
      </c>
      <c r="D201" t="s">
        <v>2</v>
      </c>
      <c r="E201" t="s">
        <v>445</v>
      </c>
      <c r="F201" t="s">
        <v>13</v>
      </c>
      <c r="G201" t="s">
        <v>525</v>
      </c>
    </row>
    <row r="202" spans="1:7" x14ac:dyDescent="0.3">
      <c r="A202">
        <v>0</v>
      </c>
      <c r="B202" t="s">
        <v>319</v>
      </c>
      <c r="C202" t="s">
        <v>460</v>
      </c>
      <c r="D202" t="s">
        <v>2</v>
      </c>
      <c r="E202" t="s">
        <v>460</v>
      </c>
      <c r="F202" t="s">
        <v>13</v>
      </c>
      <c r="G202" t="s">
        <v>525</v>
      </c>
    </row>
    <row r="203" spans="1:7" x14ac:dyDescent="0.3">
      <c r="A203">
        <v>0</v>
      </c>
      <c r="B203" t="s">
        <v>314</v>
      </c>
      <c r="C203" t="s">
        <v>450</v>
      </c>
      <c r="D203" t="s">
        <v>2</v>
      </c>
      <c r="E203" t="s">
        <v>450</v>
      </c>
      <c r="F203" t="s">
        <v>13</v>
      </c>
      <c r="G203" t="s">
        <v>525</v>
      </c>
    </row>
    <row r="204" spans="1:7" x14ac:dyDescent="0.3">
      <c r="A204">
        <v>0</v>
      </c>
      <c r="B204" t="s">
        <v>312</v>
      </c>
      <c r="C204" t="s">
        <v>473</v>
      </c>
      <c r="D204" t="s">
        <v>2</v>
      </c>
      <c r="E204" t="s">
        <v>473</v>
      </c>
      <c r="F204" t="s">
        <v>13</v>
      </c>
      <c r="G204" t="s">
        <v>525</v>
      </c>
    </row>
    <row r="205" spans="1:7" x14ac:dyDescent="0.3">
      <c r="A205">
        <v>0</v>
      </c>
      <c r="B205" t="s">
        <v>314</v>
      </c>
      <c r="C205" t="s">
        <v>313</v>
      </c>
      <c r="D205" t="s">
        <v>2</v>
      </c>
      <c r="E205" t="s">
        <v>313</v>
      </c>
      <c r="F205" t="s">
        <v>13</v>
      </c>
      <c r="G205" t="s">
        <v>525</v>
      </c>
    </row>
    <row r="206" spans="1:7" x14ac:dyDescent="0.3">
      <c r="A206">
        <v>0</v>
      </c>
      <c r="B206" t="s">
        <v>312</v>
      </c>
      <c r="C206" t="s">
        <v>472</v>
      </c>
      <c r="D206" t="s">
        <v>2</v>
      </c>
      <c r="E206" t="s">
        <v>472</v>
      </c>
      <c r="F206" t="s">
        <v>13</v>
      </c>
      <c r="G206" t="s">
        <v>525</v>
      </c>
    </row>
    <row r="207" spans="1:7" x14ac:dyDescent="0.3">
      <c r="A207">
        <v>0</v>
      </c>
      <c r="B207" t="s">
        <v>312</v>
      </c>
      <c r="C207" t="s">
        <v>402</v>
      </c>
      <c r="D207" t="s">
        <v>2</v>
      </c>
      <c r="E207" t="s">
        <v>402</v>
      </c>
      <c r="F207" t="s">
        <v>13</v>
      </c>
      <c r="G207" t="s">
        <v>525</v>
      </c>
    </row>
    <row r="208" spans="1:7" x14ac:dyDescent="0.3">
      <c r="A208">
        <v>0</v>
      </c>
      <c r="B208" t="s">
        <v>314</v>
      </c>
      <c r="C208" t="s">
        <v>455</v>
      </c>
      <c r="D208" t="s">
        <v>2</v>
      </c>
      <c r="E208" t="s">
        <v>455</v>
      </c>
      <c r="F208" t="s">
        <v>13</v>
      </c>
      <c r="G208" t="s">
        <v>525</v>
      </c>
    </row>
    <row r="209" spans="1:7" x14ac:dyDescent="0.3">
      <c r="A209">
        <v>0</v>
      </c>
      <c r="B209" t="s">
        <v>312</v>
      </c>
      <c r="C209" t="s">
        <v>411</v>
      </c>
      <c r="D209" t="s">
        <v>2</v>
      </c>
      <c r="E209" t="s">
        <v>411</v>
      </c>
      <c r="F209" t="s">
        <v>13</v>
      </c>
      <c r="G209" t="s">
        <v>525</v>
      </c>
    </row>
    <row r="210" spans="1:7" x14ac:dyDescent="0.3">
      <c r="A210">
        <v>0</v>
      </c>
      <c r="B210" t="s">
        <v>312</v>
      </c>
      <c r="C210" t="s">
        <v>488</v>
      </c>
      <c r="D210" t="s">
        <v>2</v>
      </c>
      <c r="E210" t="s">
        <v>488</v>
      </c>
      <c r="F210" t="s">
        <v>13</v>
      </c>
      <c r="G210" t="s">
        <v>525</v>
      </c>
    </row>
    <row r="211" spans="1:7" x14ac:dyDescent="0.3">
      <c r="A211">
        <v>0</v>
      </c>
      <c r="B211" t="s">
        <v>319</v>
      </c>
      <c r="C211" t="s">
        <v>462</v>
      </c>
      <c r="D211" t="s">
        <v>2</v>
      </c>
      <c r="E211" t="s">
        <v>462</v>
      </c>
      <c r="F211" t="s">
        <v>13</v>
      </c>
      <c r="G211" t="s">
        <v>525</v>
      </c>
    </row>
    <row r="212" spans="1:7" x14ac:dyDescent="0.3">
      <c r="A212">
        <v>0</v>
      </c>
      <c r="B212" t="s">
        <v>312</v>
      </c>
      <c r="C212" t="s">
        <v>246</v>
      </c>
      <c r="D212" t="s">
        <v>2</v>
      </c>
      <c r="E212" t="s">
        <v>246</v>
      </c>
      <c r="F212" t="s">
        <v>13</v>
      </c>
      <c r="G212" t="s">
        <v>525</v>
      </c>
    </row>
    <row r="213" spans="1:7" x14ac:dyDescent="0.3">
      <c r="A213">
        <v>0</v>
      </c>
      <c r="B213" t="s">
        <v>312</v>
      </c>
      <c r="C213" t="s">
        <v>357</v>
      </c>
      <c r="D213" t="s">
        <v>2</v>
      </c>
      <c r="E213" t="s">
        <v>357</v>
      </c>
      <c r="F213" t="s">
        <v>13</v>
      </c>
      <c r="G213" t="s">
        <v>525</v>
      </c>
    </row>
    <row r="214" spans="1:7" x14ac:dyDescent="0.3">
      <c r="A214">
        <v>0</v>
      </c>
      <c r="B214" t="s">
        <v>314</v>
      </c>
      <c r="C214" t="s">
        <v>341</v>
      </c>
      <c r="D214" t="s">
        <v>2</v>
      </c>
      <c r="E214" t="s">
        <v>341</v>
      </c>
      <c r="F214" t="s">
        <v>13</v>
      </c>
      <c r="G214" t="s">
        <v>525</v>
      </c>
    </row>
    <row r="215" spans="1:7" x14ac:dyDescent="0.3">
      <c r="A215">
        <v>0</v>
      </c>
      <c r="B215" t="s">
        <v>319</v>
      </c>
      <c r="C215" t="s">
        <v>466</v>
      </c>
      <c r="D215" t="s">
        <v>2</v>
      </c>
      <c r="E215" t="s">
        <v>466</v>
      </c>
      <c r="F215" t="s">
        <v>13</v>
      </c>
      <c r="G215" t="s">
        <v>525</v>
      </c>
    </row>
    <row r="216" spans="1:7" x14ac:dyDescent="0.3">
      <c r="A216">
        <v>0</v>
      </c>
      <c r="B216" t="s">
        <v>319</v>
      </c>
      <c r="C216" t="s">
        <v>362</v>
      </c>
      <c r="D216" t="s">
        <v>2</v>
      </c>
      <c r="E216" t="s">
        <v>362</v>
      </c>
      <c r="F216" t="s">
        <v>13</v>
      </c>
      <c r="G216" t="s">
        <v>525</v>
      </c>
    </row>
    <row r="217" spans="1:7" x14ac:dyDescent="0.3">
      <c r="A217">
        <v>0</v>
      </c>
      <c r="B217" t="s">
        <v>312</v>
      </c>
      <c r="C217" t="s">
        <v>433</v>
      </c>
      <c r="D217" t="s">
        <v>2</v>
      </c>
      <c r="E217" t="s">
        <v>433</v>
      </c>
      <c r="F217" t="s">
        <v>13</v>
      </c>
      <c r="G217" t="s">
        <v>525</v>
      </c>
    </row>
    <row r="218" spans="1:7" x14ac:dyDescent="0.3">
      <c r="A218">
        <v>0</v>
      </c>
      <c r="B218" t="s">
        <v>312</v>
      </c>
      <c r="C218" t="s">
        <v>397</v>
      </c>
      <c r="D218" t="s">
        <v>2</v>
      </c>
      <c r="E218" t="s">
        <v>397</v>
      </c>
      <c r="F218" t="s">
        <v>13</v>
      </c>
      <c r="G218" t="s">
        <v>525</v>
      </c>
    </row>
    <row r="219" spans="1:7" x14ac:dyDescent="0.3">
      <c r="A219">
        <v>0</v>
      </c>
      <c r="B219" t="s">
        <v>319</v>
      </c>
      <c r="C219" t="s">
        <v>378</v>
      </c>
      <c r="D219" t="s">
        <v>2</v>
      </c>
      <c r="E219" t="s">
        <v>378</v>
      </c>
      <c r="F219" t="s">
        <v>13</v>
      </c>
      <c r="G219" t="s">
        <v>525</v>
      </c>
    </row>
    <row r="220" spans="1:7" x14ac:dyDescent="0.3">
      <c r="A220">
        <v>0</v>
      </c>
      <c r="B220" t="s">
        <v>105</v>
      </c>
      <c r="C220" t="s">
        <v>117</v>
      </c>
      <c r="D220" t="s">
        <v>2</v>
      </c>
      <c r="E220" t="s">
        <v>117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476</v>
      </c>
      <c r="D221" t="s">
        <v>2</v>
      </c>
      <c r="E221" t="s">
        <v>476</v>
      </c>
      <c r="F221" t="s">
        <v>13</v>
      </c>
      <c r="G221" t="s">
        <v>525</v>
      </c>
    </row>
    <row r="222" spans="1:7" x14ac:dyDescent="0.3">
      <c r="A222">
        <v>0</v>
      </c>
      <c r="B222" t="s">
        <v>319</v>
      </c>
      <c r="C222" t="s">
        <v>478</v>
      </c>
      <c r="D222" t="s">
        <v>2</v>
      </c>
      <c r="E222" t="s">
        <v>478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367</v>
      </c>
      <c r="D223" t="s">
        <v>2</v>
      </c>
      <c r="E223" t="s">
        <v>367</v>
      </c>
      <c r="F223" t="s">
        <v>13</v>
      </c>
      <c r="G223" t="s">
        <v>525</v>
      </c>
    </row>
    <row r="224" spans="1:7" x14ac:dyDescent="0.3">
      <c r="A224">
        <v>0</v>
      </c>
      <c r="B224" t="s">
        <v>312</v>
      </c>
      <c r="C224" t="s">
        <v>346</v>
      </c>
      <c r="D224" t="s">
        <v>2</v>
      </c>
      <c r="E224" t="s">
        <v>346</v>
      </c>
      <c r="F224" t="s">
        <v>13</v>
      </c>
      <c r="G224" t="s">
        <v>525</v>
      </c>
    </row>
    <row r="225" spans="1:7" x14ac:dyDescent="0.3">
      <c r="A225">
        <v>0</v>
      </c>
      <c r="B225" t="s">
        <v>105</v>
      </c>
      <c r="C225" t="s">
        <v>119</v>
      </c>
      <c r="D225" t="s">
        <v>2</v>
      </c>
      <c r="E225" t="s">
        <v>119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385</v>
      </c>
      <c r="D226" t="s">
        <v>2</v>
      </c>
      <c r="E226" t="s">
        <v>385</v>
      </c>
      <c r="F226" t="s">
        <v>13</v>
      </c>
      <c r="G226" t="s">
        <v>525</v>
      </c>
    </row>
    <row r="227" spans="1:7" x14ac:dyDescent="0.3">
      <c r="A227">
        <v>0</v>
      </c>
      <c r="B227" t="s">
        <v>57</v>
      </c>
      <c r="C227" t="s">
        <v>120</v>
      </c>
      <c r="D227" t="s">
        <v>2</v>
      </c>
      <c r="E227" t="s">
        <v>120</v>
      </c>
      <c r="F227" t="s">
        <v>13</v>
      </c>
      <c r="G227" t="s">
        <v>525</v>
      </c>
    </row>
    <row r="228" spans="1:7" x14ac:dyDescent="0.3">
      <c r="A228">
        <v>0</v>
      </c>
      <c r="B228" t="s">
        <v>312</v>
      </c>
      <c r="C228" t="s">
        <v>324</v>
      </c>
      <c r="D228" t="s">
        <v>2</v>
      </c>
      <c r="E228" t="s">
        <v>324</v>
      </c>
      <c r="F228" t="s">
        <v>13</v>
      </c>
      <c r="G228" t="s">
        <v>525</v>
      </c>
    </row>
    <row r="229" spans="1:7" x14ac:dyDescent="0.3">
      <c r="A229">
        <v>0</v>
      </c>
      <c r="B229" t="s">
        <v>312</v>
      </c>
      <c r="C229" t="s">
        <v>327</v>
      </c>
      <c r="D229" t="s">
        <v>2</v>
      </c>
      <c r="E229" t="s">
        <v>327</v>
      </c>
      <c r="F229" t="s">
        <v>13</v>
      </c>
      <c r="G229" t="s">
        <v>525</v>
      </c>
    </row>
    <row r="230" spans="1:7" x14ac:dyDescent="0.3">
      <c r="A230">
        <v>0</v>
      </c>
      <c r="B230" t="s">
        <v>314</v>
      </c>
      <c r="C230" t="s">
        <v>441</v>
      </c>
      <c r="D230" t="s">
        <v>2</v>
      </c>
      <c r="E230" t="s">
        <v>441</v>
      </c>
      <c r="F230" t="s">
        <v>13</v>
      </c>
      <c r="G230" t="s">
        <v>525</v>
      </c>
    </row>
    <row r="231" spans="1:7" x14ac:dyDescent="0.3">
      <c r="A231">
        <v>0</v>
      </c>
      <c r="B231" t="s">
        <v>105</v>
      </c>
      <c r="C231" t="s">
        <v>115</v>
      </c>
      <c r="D231" t="s">
        <v>2</v>
      </c>
      <c r="E231" t="s">
        <v>115</v>
      </c>
      <c r="F231" t="s">
        <v>13</v>
      </c>
      <c r="G231" t="s">
        <v>525</v>
      </c>
    </row>
    <row r="232" spans="1:7" x14ac:dyDescent="0.3">
      <c r="A232">
        <v>0</v>
      </c>
      <c r="B232" t="s">
        <v>312</v>
      </c>
      <c r="C232" t="s">
        <v>484</v>
      </c>
      <c r="D232" t="s">
        <v>2</v>
      </c>
      <c r="E232" t="s">
        <v>484</v>
      </c>
      <c r="F232" t="s">
        <v>13</v>
      </c>
      <c r="G232" t="s">
        <v>525</v>
      </c>
    </row>
    <row r="233" spans="1:7" x14ac:dyDescent="0.3">
      <c r="A233">
        <v>0</v>
      </c>
      <c r="B233" t="s">
        <v>312</v>
      </c>
      <c r="C233" t="s">
        <v>311</v>
      </c>
      <c r="D233" t="s">
        <v>2</v>
      </c>
      <c r="E233" t="s">
        <v>311</v>
      </c>
      <c r="F233" t="s">
        <v>13</v>
      </c>
      <c r="G233" t="s">
        <v>525</v>
      </c>
    </row>
    <row r="234" spans="1:7" x14ac:dyDescent="0.3">
      <c r="A234">
        <v>0</v>
      </c>
      <c r="B234" t="s">
        <v>312</v>
      </c>
      <c r="C234" t="s">
        <v>365</v>
      </c>
      <c r="D234" t="s">
        <v>2</v>
      </c>
      <c r="E234" t="s">
        <v>365</v>
      </c>
      <c r="F234" t="s">
        <v>13</v>
      </c>
      <c r="G234" t="s">
        <v>525</v>
      </c>
    </row>
    <row r="235" spans="1:7" x14ac:dyDescent="0.3">
      <c r="A235">
        <v>0</v>
      </c>
      <c r="B235" t="s">
        <v>314</v>
      </c>
      <c r="C235" t="s">
        <v>350</v>
      </c>
      <c r="D235" t="s">
        <v>2</v>
      </c>
      <c r="E235" t="s">
        <v>350</v>
      </c>
      <c r="F235" t="s">
        <v>13</v>
      </c>
      <c r="G235" t="s">
        <v>525</v>
      </c>
    </row>
    <row r="236" spans="1:7" x14ac:dyDescent="0.3">
      <c r="A236">
        <v>0</v>
      </c>
      <c r="B236" t="s">
        <v>105</v>
      </c>
      <c r="C236" t="s">
        <v>123</v>
      </c>
      <c r="D236" t="s">
        <v>2</v>
      </c>
      <c r="E236" t="s">
        <v>123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396</v>
      </c>
      <c r="D237" t="s">
        <v>2</v>
      </c>
      <c r="E237" t="s">
        <v>396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428</v>
      </c>
      <c r="D238" t="s">
        <v>2</v>
      </c>
      <c r="E238" t="s">
        <v>428</v>
      </c>
      <c r="F238" t="s">
        <v>13</v>
      </c>
      <c r="G238" t="s">
        <v>525</v>
      </c>
    </row>
    <row r="239" spans="1:7" x14ac:dyDescent="0.3">
      <c r="A239">
        <v>0</v>
      </c>
      <c r="B239" t="s">
        <v>312</v>
      </c>
      <c r="C239" t="s">
        <v>383</v>
      </c>
      <c r="D239" t="s">
        <v>2</v>
      </c>
      <c r="E239" t="s">
        <v>383</v>
      </c>
      <c r="F239" t="s">
        <v>13</v>
      </c>
      <c r="G239" t="s">
        <v>525</v>
      </c>
    </row>
    <row r="240" spans="1:7" x14ac:dyDescent="0.3">
      <c r="A240">
        <v>0</v>
      </c>
      <c r="B240" t="s">
        <v>312</v>
      </c>
      <c r="C240" t="s">
        <v>426</v>
      </c>
      <c r="D240" t="s">
        <v>2</v>
      </c>
      <c r="E240" t="s">
        <v>426</v>
      </c>
      <c r="F240" t="s">
        <v>13</v>
      </c>
      <c r="G240" t="s">
        <v>525</v>
      </c>
    </row>
    <row r="241" spans="1:7" x14ac:dyDescent="0.3">
      <c r="A241">
        <v>0</v>
      </c>
      <c r="B241" t="s">
        <v>312</v>
      </c>
      <c r="C241" t="s">
        <v>437</v>
      </c>
      <c r="D241" t="s">
        <v>2</v>
      </c>
      <c r="E241" t="s">
        <v>437</v>
      </c>
      <c r="F241" t="s">
        <v>13</v>
      </c>
      <c r="G241" t="s">
        <v>525</v>
      </c>
    </row>
    <row r="242" spans="1:7" x14ac:dyDescent="0.3">
      <c r="A242">
        <v>0</v>
      </c>
      <c r="B242" t="s">
        <v>312</v>
      </c>
      <c r="C242" t="s">
        <v>454</v>
      </c>
      <c r="D242" t="s">
        <v>2</v>
      </c>
      <c r="E242" t="s">
        <v>454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425</v>
      </c>
      <c r="D243" t="s">
        <v>2</v>
      </c>
      <c r="E243" t="s">
        <v>425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344</v>
      </c>
      <c r="D244" t="s">
        <v>2</v>
      </c>
      <c r="E244" t="s">
        <v>344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t="s">
        <v>407</v>
      </c>
      <c r="D245" t="s">
        <v>2</v>
      </c>
      <c r="E245" t="s">
        <v>407</v>
      </c>
      <c r="F245" t="s">
        <v>13</v>
      </c>
      <c r="G245" t="s">
        <v>525</v>
      </c>
    </row>
    <row r="246" spans="1:7" x14ac:dyDescent="0.3">
      <c r="A246">
        <v>0</v>
      </c>
      <c r="B246" t="s">
        <v>314</v>
      </c>
      <c r="C246" t="s">
        <v>413</v>
      </c>
      <c r="D246" t="s">
        <v>2</v>
      </c>
      <c r="E246" t="s">
        <v>413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392</v>
      </c>
      <c r="D247" t="s">
        <v>2</v>
      </c>
      <c r="E247" t="s">
        <v>392</v>
      </c>
      <c r="F247" t="s">
        <v>13</v>
      </c>
      <c r="G247" t="s">
        <v>525</v>
      </c>
    </row>
    <row r="248" spans="1:7" x14ac:dyDescent="0.3">
      <c r="A248">
        <v>0</v>
      </c>
      <c r="B248" t="s">
        <v>319</v>
      </c>
      <c r="C248" t="s">
        <v>422</v>
      </c>
      <c r="D248" t="s">
        <v>2</v>
      </c>
      <c r="E248" t="s">
        <v>422</v>
      </c>
      <c r="F248" t="s">
        <v>13</v>
      </c>
      <c r="G248" t="s">
        <v>525</v>
      </c>
    </row>
    <row r="249" spans="1:7" x14ac:dyDescent="0.3">
      <c r="A249">
        <v>0</v>
      </c>
      <c r="B249" t="s">
        <v>314</v>
      </c>
      <c r="C249" t="s">
        <v>495</v>
      </c>
      <c r="D249" t="s">
        <v>494</v>
      </c>
      <c r="E249" t="s">
        <v>495</v>
      </c>
      <c r="F249" t="s">
        <v>13</v>
      </c>
      <c r="G249" t="s">
        <v>525</v>
      </c>
    </row>
    <row r="250" spans="1:7" x14ac:dyDescent="0.3">
      <c r="A250">
        <v>0</v>
      </c>
      <c r="B250" t="s">
        <v>314</v>
      </c>
      <c r="C250" t="s">
        <v>497</v>
      </c>
      <c r="D250" t="s">
        <v>494</v>
      </c>
      <c r="E250" t="s">
        <v>497</v>
      </c>
      <c r="F250" t="s">
        <v>13</v>
      </c>
      <c r="G250" t="s">
        <v>525</v>
      </c>
    </row>
    <row r="251" spans="1:7" x14ac:dyDescent="0.3">
      <c r="A251">
        <v>0</v>
      </c>
      <c r="B251" t="s">
        <v>314</v>
      </c>
      <c r="C251" t="s">
        <v>496</v>
      </c>
      <c r="D251" t="s">
        <v>494</v>
      </c>
      <c r="E251" t="s">
        <v>496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513</v>
      </c>
      <c r="D252" t="s">
        <v>498</v>
      </c>
      <c r="E252" t="s">
        <v>513</v>
      </c>
      <c r="F252" t="s">
        <v>13</v>
      </c>
      <c r="G252" t="s">
        <v>525</v>
      </c>
    </row>
    <row r="253" spans="1:7" x14ac:dyDescent="0.3">
      <c r="A253">
        <v>0</v>
      </c>
      <c r="B253" t="s">
        <v>312</v>
      </c>
      <c r="C253" t="s">
        <v>515</v>
      </c>
      <c r="D253" t="s">
        <v>498</v>
      </c>
      <c r="E253" t="s">
        <v>515</v>
      </c>
      <c r="F253" t="s">
        <v>13</v>
      </c>
      <c r="G253" t="s">
        <v>525</v>
      </c>
    </row>
    <row r="254" spans="1:7" x14ac:dyDescent="0.3">
      <c r="A254">
        <v>0</v>
      </c>
      <c r="B254" t="s">
        <v>312</v>
      </c>
      <c r="C254" t="s">
        <v>509</v>
      </c>
      <c r="D254" t="s">
        <v>498</v>
      </c>
      <c r="E254" t="s">
        <v>509</v>
      </c>
      <c r="F254" t="s">
        <v>13</v>
      </c>
      <c r="G254" t="s">
        <v>525</v>
      </c>
    </row>
    <row r="255" spans="1:7" x14ac:dyDescent="0.3">
      <c r="A255">
        <v>0</v>
      </c>
      <c r="B255" t="s">
        <v>312</v>
      </c>
      <c r="C255" t="s">
        <v>502</v>
      </c>
      <c r="D255" t="s">
        <v>498</v>
      </c>
      <c r="E255" t="s">
        <v>502</v>
      </c>
      <c r="F255" t="s">
        <v>13</v>
      </c>
      <c r="G255" t="s">
        <v>525</v>
      </c>
    </row>
    <row r="256" spans="1:7" x14ac:dyDescent="0.3">
      <c r="A256">
        <v>0</v>
      </c>
      <c r="B256" t="s">
        <v>312</v>
      </c>
      <c r="C256" t="s">
        <v>500</v>
      </c>
      <c r="D256" t="s">
        <v>498</v>
      </c>
      <c r="E256" t="s">
        <v>500</v>
      </c>
      <c r="F256" t="s">
        <v>13</v>
      </c>
      <c r="G256" t="s">
        <v>525</v>
      </c>
    </row>
    <row r="257" spans="1:7" x14ac:dyDescent="0.3">
      <c r="A257">
        <v>0</v>
      </c>
      <c r="B257" t="s">
        <v>507</v>
      </c>
      <c r="C257" t="s">
        <v>506</v>
      </c>
      <c r="D257" t="s">
        <v>498</v>
      </c>
      <c r="E257" t="s">
        <v>506</v>
      </c>
      <c r="F257" t="s">
        <v>13</v>
      </c>
      <c r="G257" t="s">
        <v>525</v>
      </c>
    </row>
    <row r="258" spans="1:7" x14ac:dyDescent="0.3">
      <c r="A258">
        <v>0</v>
      </c>
      <c r="B258" t="s">
        <v>312</v>
      </c>
      <c r="C258" t="s">
        <v>514</v>
      </c>
      <c r="D258" t="s">
        <v>498</v>
      </c>
      <c r="E258" t="s">
        <v>514</v>
      </c>
      <c r="F258" t="s">
        <v>13</v>
      </c>
      <c r="G258" t="s">
        <v>525</v>
      </c>
    </row>
    <row r="259" spans="1:7" x14ac:dyDescent="0.3">
      <c r="A259">
        <v>0</v>
      </c>
      <c r="B259" t="s">
        <v>312</v>
      </c>
      <c r="C259" t="s">
        <v>499</v>
      </c>
      <c r="D259" t="s">
        <v>498</v>
      </c>
      <c r="E259" t="s">
        <v>499</v>
      </c>
      <c r="F259" t="s">
        <v>13</v>
      </c>
      <c r="G259" t="s">
        <v>525</v>
      </c>
    </row>
    <row r="260" spans="1:7" x14ac:dyDescent="0.3">
      <c r="A260">
        <v>0</v>
      </c>
      <c r="B260" t="s">
        <v>312</v>
      </c>
      <c r="C260" t="s">
        <v>508</v>
      </c>
      <c r="D260" t="s">
        <v>498</v>
      </c>
      <c r="E260" t="s">
        <v>508</v>
      </c>
      <c r="F260" t="s">
        <v>13</v>
      </c>
      <c r="G260" t="s">
        <v>525</v>
      </c>
    </row>
    <row r="261" spans="1:7" x14ac:dyDescent="0.3">
      <c r="A261">
        <v>0</v>
      </c>
      <c r="B261" t="s">
        <v>312</v>
      </c>
      <c r="C261" t="s">
        <v>519</v>
      </c>
      <c r="D261" t="s">
        <v>498</v>
      </c>
      <c r="E261" t="s">
        <v>519</v>
      </c>
      <c r="F261" t="s">
        <v>13</v>
      </c>
      <c r="G261" t="s">
        <v>525</v>
      </c>
    </row>
    <row r="262" spans="1:7" x14ac:dyDescent="0.3">
      <c r="A262">
        <v>0</v>
      </c>
      <c r="B262" t="s">
        <v>312</v>
      </c>
      <c r="C262" t="s">
        <v>510</v>
      </c>
      <c r="D262" t="s">
        <v>498</v>
      </c>
      <c r="E262" t="s">
        <v>510</v>
      </c>
      <c r="F262" t="s">
        <v>13</v>
      </c>
      <c r="G262" t="s">
        <v>525</v>
      </c>
    </row>
    <row r="263" spans="1:7" x14ac:dyDescent="0.3">
      <c r="A263">
        <v>0</v>
      </c>
      <c r="B263" t="s">
        <v>312</v>
      </c>
      <c r="C263" t="s">
        <v>521</v>
      </c>
      <c r="D263" t="s">
        <v>498</v>
      </c>
      <c r="E263" t="s">
        <v>521</v>
      </c>
      <c r="F263" t="s">
        <v>13</v>
      </c>
      <c r="G263" t="s">
        <v>525</v>
      </c>
    </row>
    <row r="264" spans="1:7" x14ac:dyDescent="0.3">
      <c r="A264">
        <v>0</v>
      </c>
      <c r="B264" t="s">
        <v>312</v>
      </c>
      <c r="C264" t="s">
        <v>501</v>
      </c>
      <c r="D264" t="s">
        <v>498</v>
      </c>
      <c r="E264" t="s">
        <v>501</v>
      </c>
      <c r="F264" t="s">
        <v>13</v>
      </c>
      <c r="G264" t="s">
        <v>525</v>
      </c>
    </row>
    <row r="265" spans="1:7" x14ac:dyDescent="0.3">
      <c r="A265">
        <v>0</v>
      </c>
      <c r="B265" t="s">
        <v>312</v>
      </c>
      <c r="C265" t="s">
        <v>504</v>
      </c>
      <c r="D265" t="s">
        <v>498</v>
      </c>
      <c r="E265" t="s">
        <v>504</v>
      </c>
      <c r="F265" t="s">
        <v>13</v>
      </c>
      <c r="G265" t="s">
        <v>525</v>
      </c>
    </row>
    <row r="266" spans="1:7" x14ac:dyDescent="0.3">
      <c r="A266">
        <v>0</v>
      </c>
      <c r="B266" t="s">
        <v>312</v>
      </c>
      <c r="C266" t="s">
        <v>520</v>
      </c>
      <c r="D266" t="s">
        <v>498</v>
      </c>
      <c r="E266" t="s">
        <v>520</v>
      </c>
      <c r="F266" t="s">
        <v>13</v>
      </c>
      <c r="G266" t="s">
        <v>525</v>
      </c>
    </row>
    <row r="267" spans="1:7" x14ac:dyDescent="0.3">
      <c r="A267">
        <v>0</v>
      </c>
      <c r="B267" t="s">
        <v>312</v>
      </c>
      <c r="C267" t="s">
        <v>523</v>
      </c>
      <c r="D267" t="s">
        <v>498</v>
      </c>
      <c r="E267" t="s">
        <v>523</v>
      </c>
      <c r="F267" t="s">
        <v>13</v>
      </c>
      <c r="G267" t="s">
        <v>525</v>
      </c>
    </row>
    <row r="268" spans="1:7" x14ac:dyDescent="0.3">
      <c r="A268">
        <v>0</v>
      </c>
      <c r="B268" t="s">
        <v>312</v>
      </c>
      <c r="C268" t="s">
        <v>503</v>
      </c>
      <c r="D268" t="s">
        <v>498</v>
      </c>
      <c r="E268" t="s">
        <v>503</v>
      </c>
      <c r="F268" t="s">
        <v>13</v>
      </c>
      <c r="G268" t="s">
        <v>525</v>
      </c>
    </row>
    <row r="269" spans="1:7" x14ac:dyDescent="0.3">
      <c r="A269">
        <v>0</v>
      </c>
      <c r="B269" t="s">
        <v>312</v>
      </c>
      <c r="C269" t="s">
        <v>512</v>
      </c>
      <c r="D269" t="s">
        <v>498</v>
      </c>
      <c r="E269" t="s">
        <v>512</v>
      </c>
      <c r="F269" t="s">
        <v>13</v>
      </c>
      <c r="G269" t="s">
        <v>525</v>
      </c>
    </row>
    <row r="270" spans="1:7" x14ac:dyDescent="0.3">
      <c r="A270">
        <v>0</v>
      </c>
      <c r="B270" t="s">
        <v>312</v>
      </c>
      <c r="C270" t="s">
        <v>505</v>
      </c>
      <c r="D270" t="s">
        <v>498</v>
      </c>
      <c r="E270" t="s">
        <v>505</v>
      </c>
      <c r="F270" t="s">
        <v>13</v>
      </c>
      <c r="G270" t="s">
        <v>525</v>
      </c>
    </row>
    <row r="271" spans="1:7" x14ac:dyDescent="0.3">
      <c r="A271">
        <v>0</v>
      </c>
      <c r="B271" t="s">
        <v>312</v>
      </c>
      <c r="C271" t="s">
        <v>518</v>
      </c>
      <c r="D271" t="s">
        <v>498</v>
      </c>
      <c r="E271" t="s">
        <v>518</v>
      </c>
      <c r="F271" t="s">
        <v>13</v>
      </c>
      <c r="G271" t="s">
        <v>525</v>
      </c>
    </row>
    <row r="272" spans="1:7" x14ac:dyDescent="0.3">
      <c r="A272">
        <v>0</v>
      </c>
      <c r="B272" t="s">
        <v>312</v>
      </c>
      <c r="C272" t="s">
        <v>522</v>
      </c>
      <c r="D272" t="s">
        <v>498</v>
      </c>
      <c r="E272" t="s">
        <v>522</v>
      </c>
      <c r="F272" t="s">
        <v>13</v>
      </c>
      <c r="G272" t="s">
        <v>525</v>
      </c>
    </row>
    <row r="273" spans="1:7" x14ac:dyDescent="0.3">
      <c r="A273">
        <v>0</v>
      </c>
      <c r="B273" t="s">
        <v>312</v>
      </c>
      <c r="C273" t="s">
        <v>516</v>
      </c>
      <c r="D273" t="s">
        <v>498</v>
      </c>
      <c r="E273" t="s">
        <v>516</v>
      </c>
      <c r="F273" t="s">
        <v>13</v>
      </c>
      <c r="G273" t="s">
        <v>525</v>
      </c>
    </row>
    <row r="274" spans="1:7" x14ac:dyDescent="0.3">
      <c r="A274">
        <v>0</v>
      </c>
      <c r="B274" t="s">
        <v>312</v>
      </c>
      <c r="C274" t="s">
        <v>517</v>
      </c>
      <c r="D274" t="s">
        <v>498</v>
      </c>
      <c r="E274" t="s">
        <v>517</v>
      </c>
      <c r="F274" t="s">
        <v>13</v>
      </c>
      <c r="G274" t="s">
        <v>525</v>
      </c>
    </row>
    <row r="275" spans="1:7" x14ac:dyDescent="0.3">
      <c r="A275">
        <v>0</v>
      </c>
      <c r="B275" t="s">
        <v>16</v>
      </c>
      <c r="C275" s="2" t="s">
        <v>22</v>
      </c>
      <c r="D275" t="s">
        <v>2</v>
      </c>
      <c r="E275" s="2" t="s">
        <v>22</v>
      </c>
      <c r="F275" t="s">
        <v>13</v>
      </c>
      <c r="G275" t="s">
        <v>525</v>
      </c>
    </row>
    <row r="276" spans="1:7" x14ac:dyDescent="0.3">
      <c r="A276">
        <v>0</v>
      </c>
      <c r="B276" t="s">
        <v>16</v>
      </c>
      <c r="C276" s="2" t="s">
        <v>49</v>
      </c>
      <c r="D276" t="s">
        <v>2</v>
      </c>
      <c r="E276" s="2" t="s">
        <v>49</v>
      </c>
      <c r="F276" t="s">
        <v>13</v>
      </c>
      <c r="G276" t="s">
        <v>525</v>
      </c>
    </row>
    <row r="277" spans="1:7" x14ac:dyDescent="0.3">
      <c r="A277">
        <v>0</v>
      </c>
      <c r="B277" t="s">
        <v>312</v>
      </c>
      <c r="C277" s="2" t="s">
        <v>55</v>
      </c>
      <c r="D277" t="s">
        <v>2</v>
      </c>
      <c r="E277" s="2" t="s">
        <v>55</v>
      </c>
      <c r="F277" t="s">
        <v>13</v>
      </c>
      <c r="G277" t="s">
        <v>525</v>
      </c>
    </row>
    <row r="278" spans="1:7" x14ac:dyDescent="0.3">
      <c r="A278">
        <v>0</v>
      </c>
      <c r="B278" t="s">
        <v>312</v>
      </c>
      <c r="C278" t="s">
        <v>59</v>
      </c>
      <c r="D278" t="s">
        <v>2</v>
      </c>
      <c r="E278" t="s">
        <v>59</v>
      </c>
      <c r="F278" t="s">
        <v>13</v>
      </c>
      <c r="G278" t="s">
        <v>525</v>
      </c>
    </row>
    <row r="279" spans="1:7" x14ac:dyDescent="0.3">
      <c r="A279">
        <v>0</v>
      </c>
      <c r="B279" t="s">
        <v>16</v>
      </c>
      <c r="C279" s="2" t="s">
        <v>61</v>
      </c>
      <c r="D279" t="s">
        <v>2</v>
      </c>
      <c r="E279" s="2" t="s">
        <v>61</v>
      </c>
      <c r="F279" t="s">
        <v>13</v>
      </c>
      <c r="G279" t="s">
        <v>525</v>
      </c>
    </row>
    <row r="280" spans="1:7" x14ac:dyDescent="0.3">
      <c r="A280">
        <v>0</v>
      </c>
      <c r="B280" t="s">
        <v>312</v>
      </c>
      <c r="C280" s="2" t="s">
        <v>67</v>
      </c>
      <c r="D280" t="s">
        <v>2</v>
      </c>
      <c r="E280" s="2" t="s">
        <v>67</v>
      </c>
      <c r="F280" t="s">
        <v>13</v>
      </c>
      <c r="G280" t="s">
        <v>525</v>
      </c>
    </row>
    <row r="281" spans="1:7" x14ac:dyDescent="0.3">
      <c r="A281">
        <v>0</v>
      </c>
      <c r="B281" t="s">
        <v>312</v>
      </c>
      <c r="C281" t="s">
        <v>73</v>
      </c>
      <c r="D281" t="s">
        <v>2</v>
      </c>
      <c r="E281" t="s">
        <v>73</v>
      </c>
      <c r="F281" t="s">
        <v>13</v>
      </c>
      <c r="G281" t="s">
        <v>525</v>
      </c>
    </row>
    <row r="282" spans="1:7" x14ac:dyDescent="0.3">
      <c r="A282">
        <v>0</v>
      </c>
      <c r="B282" t="s">
        <v>312</v>
      </c>
      <c r="C282" t="s">
        <v>79</v>
      </c>
      <c r="D282" t="s">
        <v>2</v>
      </c>
      <c r="E282" t="s">
        <v>79</v>
      </c>
      <c r="F282" t="s">
        <v>13</v>
      </c>
      <c r="G282" t="s">
        <v>525</v>
      </c>
    </row>
    <row r="283" spans="1:7" x14ac:dyDescent="0.3">
      <c r="A283">
        <v>0</v>
      </c>
      <c r="B283" t="s">
        <v>312</v>
      </c>
      <c r="C283" t="s">
        <v>82</v>
      </c>
      <c r="D283" t="s">
        <v>2</v>
      </c>
      <c r="E283" t="s">
        <v>82</v>
      </c>
      <c r="F283" t="s">
        <v>13</v>
      </c>
      <c r="G283" t="s">
        <v>525</v>
      </c>
    </row>
    <row r="284" spans="1:7" x14ac:dyDescent="0.3">
      <c r="A284">
        <v>0</v>
      </c>
      <c r="B284" t="s">
        <v>312</v>
      </c>
      <c r="C284" t="s">
        <v>85</v>
      </c>
      <c r="D284" t="s">
        <v>2</v>
      </c>
      <c r="E284" t="s">
        <v>85</v>
      </c>
      <c r="F284" t="s">
        <v>13</v>
      </c>
      <c r="G284" t="s">
        <v>525</v>
      </c>
    </row>
    <row r="285" spans="1:7" x14ac:dyDescent="0.3">
      <c r="A285">
        <v>0</v>
      </c>
      <c r="B285" t="s">
        <v>312</v>
      </c>
      <c r="C285" t="s">
        <v>88</v>
      </c>
      <c r="D285" t="s">
        <v>2</v>
      </c>
      <c r="E285" t="s">
        <v>88</v>
      </c>
      <c r="F285" t="s">
        <v>13</v>
      </c>
      <c r="G285" t="s">
        <v>525</v>
      </c>
    </row>
    <row r="286" spans="1:7" x14ac:dyDescent="0.3">
      <c r="A286">
        <v>0</v>
      </c>
      <c r="B286" t="s">
        <v>312</v>
      </c>
      <c r="C286" t="s">
        <v>91</v>
      </c>
      <c r="D286" t="s">
        <v>2</v>
      </c>
      <c r="E286" t="s">
        <v>91</v>
      </c>
      <c r="F286" t="s">
        <v>13</v>
      </c>
      <c r="G286" t="s">
        <v>525</v>
      </c>
    </row>
    <row r="287" spans="1:7" x14ac:dyDescent="0.3">
      <c r="A287">
        <v>0</v>
      </c>
      <c r="B287" t="s">
        <v>312</v>
      </c>
      <c r="C287" t="s">
        <v>94</v>
      </c>
      <c r="D287" t="s">
        <v>2</v>
      </c>
      <c r="E287" t="s">
        <v>94</v>
      </c>
      <c r="F287" t="s">
        <v>13</v>
      </c>
      <c r="G287" t="s">
        <v>525</v>
      </c>
    </row>
    <row r="288" spans="1:7" x14ac:dyDescent="0.3">
      <c r="A288">
        <v>0</v>
      </c>
      <c r="B288" t="s">
        <v>312</v>
      </c>
      <c r="C288" t="s">
        <v>97</v>
      </c>
      <c r="D288" t="s">
        <v>2</v>
      </c>
      <c r="E288" t="s">
        <v>97</v>
      </c>
      <c r="F288" t="s">
        <v>13</v>
      </c>
      <c r="G288" t="s">
        <v>525</v>
      </c>
    </row>
    <row r="289" spans="1:7" x14ac:dyDescent="0.3">
      <c r="A289">
        <v>0</v>
      </c>
      <c r="B289" t="s">
        <v>312</v>
      </c>
      <c r="C289" t="s">
        <v>100</v>
      </c>
      <c r="D289" t="s">
        <v>2</v>
      </c>
      <c r="E289" t="s">
        <v>100</v>
      </c>
      <c r="F289" t="s">
        <v>13</v>
      </c>
      <c r="G289" t="s">
        <v>525</v>
      </c>
    </row>
  </sheetData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89"/>
  <sheetViews>
    <sheetView topLeftCell="A22" workbookViewId="0">
      <selection activeCell="C44" sqref="C44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0.935415</v>
      </c>
      <c r="B2" t="s">
        <v>16</v>
      </c>
      <c r="C2" t="s">
        <v>625</v>
      </c>
      <c r="D2" t="s">
        <v>2</v>
      </c>
      <c r="E2" s="4" t="s">
        <v>49</v>
      </c>
      <c r="F2" s="4" t="s">
        <v>13</v>
      </c>
      <c r="G2" t="s">
        <v>525</v>
      </c>
      <c r="H2" t="s">
        <v>626</v>
      </c>
    </row>
    <row r="3" spans="1:9" x14ac:dyDescent="0.3">
      <c r="A3">
        <v>2.1250000000000004</v>
      </c>
      <c r="B3" t="s">
        <v>57</v>
      </c>
      <c r="C3" t="s">
        <v>627</v>
      </c>
      <c r="D3" t="s">
        <v>2</v>
      </c>
      <c r="E3" s="2" t="s">
        <v>315</v>
      </c>
      <c r="F3" t="s">
        <v>13</v>
      </c>
      <c r="G3" t="s">
        <v>525</v>
      </c>
      <c r="H3" t="s">
        <v>626</v>
      </c>
    </row>
    <row r="4" spans="1:9" x14ac:dyDescent="0.3">
      <c r="A4">
        <v>0.10250000000000001</v>
      </c>
      <c r="B4" t="s">
        <v>57</v>
      </c>
      <c r="C4" t="s">
        <v>628</v>
      </c>
      <c r="D4" t="s">
        <v>2</v>
      </c>
      <c r="E4" s="2" t="s">
        <v>345</v>
      </c>
      <c r="F4" t="s">
        <v>13</v>
      </c>
      <c r="G4" t="s">
        <v>525</v>
      </c>
      <c r="H4" t="s">
        <v>626</v>
      </c>
    </row>
    <row r="5" spans="1:9" x14ac:dyDescent="0.3">
      <c r="A5">
        <v>0.10250000000000001</v>
      </c>
      <c r="B5" t="s">
        <v>57</v>
      </c>
      <c r="C5" t="s">
        <v>564</v>
      </c>
      <c r="D5" t="s">
        <v>2</v>
      </c>
      <c r="E5" t="s">
        <v>352</v>
      </c>
      <c r="F5" t="s">
        <v>13</v>
      </c>
      <c r="G5" t="s">
        <v>525</v>
      </c>
      <c r="H5" t="s">
        <v>626</v>
      </c>
    </row>
    <row r="6" spans="1:9" x14ac:dyDescent="0.3">
      <c r="A6">
        <v>2.8124999999999995E-3</v>
      </c>
      <c r="B6" t="s">
        <v>57</v>
      </c>
      <c r="C6" t="s">
        <v>629</v>
      </c>
      <c r="D6" t="s">
        <v>2</v>
      </c>
      <c r="E6" t="s">
        <v>352</v>
      </c>
      <c r="F6" t="s">
        <v>13</v>
      </c>
      <c r="G6" t="s">
        <v>525</v>
      </c>
      <c r="H6" t="s">
        <v>626</v>
      </c>
    </row>
    <row r="7" spans="1:9" x14ac:dyDescent="0.3">
      <c r="A7">
        <v>0.12187500000000001</v>
      </c>
      <c r="B7" t="s">
        <v>57</v>
      </c>
      <c r="C7" t="s">
        <v>630</v>
      </c>
      <c r="D7" t="s">
        <v>2</v>
      </c>
      <c r="E7" t="s">
        <v>431</v>
      </c>
      <c r="F7" t="s">
        <v>13</v>
      </c>
      <c r="G7" t="s">
        <v>525</v>
      </c>
      <c r="H7" t="s">
        <v>626</v>
      </c>
    </row>
    <row r="8" spans="1:9" x14ac:dyDescent="0.3">
      <c r="A8">
        <v>1.2874999999999999E-2</v>
      </c>
      <c r="B8" t="s">
        <v>57</v>
      </c>
      <c r="C8" t="s">
        <v>631</v>
      </c>
      <c r="D8" t="s">
        <v>2</v>
      </c>
      <c r="E8" t="s">
        <v>382</v>
      </c>
      <c r="F8" t="s">
        <v>13</v>
      </c>
      <c r="G8" t="s">
        <v>525</v>
      </c>
      <c r="H8" t="s">
        <v>626</v>
      </c>
    </row>
    <row r="9" spans="1:9" x14ac:dyDescent="0.3">
      <c r="A9">
        <v>7.2499999999999995E-4</v>
      </c>
      <c r="B9" t="s">
        <v>57</v>
      </c>
      <c r="C9" t="s">
        <v>632</v>
      </c>
      <c r="D9" t="s">
        <v>2</v>
      </c>
      <c r="E9" t="s">
        <v>382</v>
      </c>
      <c r="F9" t="s">
        <v>13</v>
      </c>
      <c r="G9" t="s">
        <v>525</v>
      </c>
      <c r="H9" t="s">
        <v>626</v>
      </c>
    </row>
    <row r="10" spans="1:9" x14ac:dyDescent="0.3">
      <c r="A10">
        <v>8.8125</v>
      </c>
      <c r="B10" t="s">
        <v>57</v>
      </c>
      <c r="C10" t="s">
        <v>633</v>
      </c>
      <c r="D10" t="s">
        <v>2</v>
      </c>
      <c r="E10" t="s">
        <v>371</v>
      </c>
      <c r="F10" t="s">
        <v>13</v>
      </c>
      <c r="G10" t="s">
        <v>525</v>
      </c>
      <c r="H10" t="s">
        <v>626</v>
      </c>
    </row>
    <row r="11" spans="1:9" x14ac:dyDescent="0.3">
      <c r="A11">
        <v>8.8125</v>
      </c>
      <c r="B11" t="s">
        <v>57</v>
      </c>
      <c r="C11" t="s">
        <v>634</v>
      </c>
      <c r="D11" t="s">
        <v>2</v>
      </c>
      <c r="E11" t="s">
        <v>371</v>
      </c>
      <c r="F11" t="s">
        <v>13</v>
      </c>
      <c r="G11" t="s">
        <v>525</v>
      </c>
      <c r="H11" t="s">
        <v>626</v>
      </c>
    </row>
    <row r="12" spans="1:9" x14ac:dyDescent="0.3">
      <c r="A12">
        <v>0.29499999999999998</v>
      </c>
      <c r="B12" t="s">
        <v>57</v>
      </c>
      <c r="C12" t="s">
        <v>635</v>
      </c>
      <c r="D12" t="s">
        <v>2</v>
      </c>
      <c r="E12" s="18" t="s">
        <v>431</v>
      </c>
      <c r="F12" t="s">
        <v>13</v>
      </c>
      <c r="G12" t="s">
        <v>525</v>
      </c>
      <c r="H12" t="s">
        <v>626</v>
      </c>
    </row>
    <row r="13" spans="1:9" x14ac:dyDescent="0.3">
      <c r="A13">
        <v>0.34562500000000002</v>
      </c>
      <c r="B13" t="s">
        <v>57</v>
      </c>
      <c r="C13" t="s">
        <v>636</v>
      </c>
      <c r="D13" t="s">
        <v>2</v>
      </c>
      <c r="E13" s="18" t="s">
        <v>431</v>
      </c>
      <c r="F13" t="s">
        <v>13</v>
      </c>
      <c r="G13" t="s">
        <v>525</v>
      </c>
      <c r="H13" t="s">
        <v>626</v>
      </c>
    </row>
    <row r="14" spans="1:9" x14ac:dyDescent="0.3">
      <c r="A14">
        <v>2.3749999999999997E-2</v>
      </c>
      <c r="B14" t="s">
        <v>57</v>
      </c>
      <c r="C14" t="s">
        <v>637</v>
      </c>
      <c r="D14" t="s">
        <v>2</v>
      </c>
      <c r="E14" s="18" t="s">
        <v>431</v>
      </c>
      <c r="F14" t="s">
        <v>13</v>
      </c>
      <c r="G14" t="s">
        <v>525</v>
      </c>
      <c r="H14" t="s">
        <v>626</v>
      </c>
    </row>
    <row r="15" spans="1:9" x14ac:dyDescent="0.3">
      <c r="A15">
        <v>0.87499999999999989</v>
      </c>
      <c r="B15" t="s">
        <v>57</v>
      </c>
      <c r="C15" t="s">
        <v>638</v>
      </c>
      <c r="D15" t="s">
        <v>2</v>
      </c>
      <c r="E15" s="18" t="s">
        <v>431</v>
      </c>
      <c r="F15" t="s">
        <v>13</v>
      </c>
      <c r="G15" t="s">
        <v>525</v>
      </c>
      <c r="H15" t="s">
        <v>626</v>
      </c>
    </row>
    <row r="16" spans="1:9" x14ac:dyDescent="0.3">
      <c r="A16">
        <v>0.11187499999999999</v>
      </c>
      <c r="B16" t="s">
        <v>57</v>
      </c>
      <c r="C16" t="s">
        <v>639</v>
      </c>
      <c r="D16" t="s">
        <v>2</v>
      </c>
      <c r="E16" t="s">
        <v>100</v>
      </c>
      <c r="F16" s="4" t="s">
        <v>13</v>
      </c>
      <c r="G16" t="s">
        <v>525</v>
      </c>
      <c r="H16" t="s">
        <v>626</v>
      </c>
    </row>
    <row r="17" spans="1:8" x14ac:dyDescent="0.3">
      <c r="A17">
        <v>1.1662610106629545E-8</v>
      </c>
      <c r="B17" t="s">
        <v>314</v>
      </c>
      <c r="C17" t="s">
        <v>640</v>
      </c>
      <c r="D17" t="s">
        <v>2</v>
      </c>
      <c r="E17" s="2" t="s">
        <v>341</v>
      </c>
      <c r="F17" t="s">
        <v>13</v>
      </c>
      <c r="G17" t="s">
        <v>525</v>
      </c>
      <c r="H17" t="s">
        <v>626</v>
      </c>
    </row>
    <row r="18" spans="1:8" x14ac:dyDescent="0.3">
      <c r="A18">
        <v>6.2375000000000007E-2</v>
      </c>
      <c r="B18" t="s">
        <v>57</v>
      </c>
      <c r="C18" t="s">
        <v>641</v>
      </c>
      <c r="D18" t="s">
        <v>2</v>
      </c>
      <c r="E18" s="18" t="s">
        <v>85</v>
      </c>
      <c r="F18" s="4" t="s">
        <v>13</v>
      </c>
      <c r="G18" t="s">
        <v>525</v>
      </c>
      <c r="H18" t="s">
        <v>626</v>
      </c>
    </row>
    <row r="19" spans="1:8" x14ac:dyDescent="0.3">
      <c r="A19">
        <v>1.5874999999999997E-2</v>
      </c>
      <c r="B19" t="s">
        <v>57</v>
      </c>
      <c r="C19" t="s">
        <v>642</v>
      </c>
      <c r="D19" t="s">
        <v>2</v>
      </c>
      <c r="E19" t="s">
        <v>149</v>
      </c>
      <c r="F19" t="s">
        <v>13</v>
      </c>
      <c r="G19" t="s">
        <v>525</v>
      </c>
      <c r="H19" t="s">
        <v>626</v>
      </c>
    </row>
    <row r="20" spans="1:8" x14ac:dyDescent="0.3">
      <c r="A20">
        <v>1.4687499999999998E-4</v>
      </c>
      <c r="B20" t="s">
        <v>57</v>
      </c>
      <c r="C20" t="s">
        <v>643</v>
      </c>
      <c r="D20" t="s">
        <v>2</v>
      </c>
      <c r="E20" t="s">
        <v>149</v>
      </c>
      <c r="F20" t="s">
        <v>13</v>
      </c>
      <c r="G20" t="s">
        <v>525</v>
      </c>
      <c r="H20" t="s">
        <v>626</v>
      </c>
    </row>
    <row r="21" spans="1:8" x14ac:dyDescent="0.3">
      <c r="A21">
        <v>5.1437499999999997E-2</v>
      </c>
      <c r="B21" t="s">
        <v>57</v>
      </c>
      <c r="C21" t="s">
        <v>644</v>
      </c>
      <c r="D21" t="s">
        <v>2</v>
      </c>
      <c r="E21" t="s">
        <v>149</v>
      </c>
      <c r="F21" t="s">
        <v>13</v>
      </c>
      <c r="G21" t="s">
        <v>525</v>
      </c>
      <c r="H21" t="s">
        <v>626</v>
      </c>
    </row>
    <row r="22" spans="1:8" x14ac:dyDescent="0.3">
      <c r="A22">
        <v>1.1562499999999998E-2</v>
      </c>
      <c r="B22" t="s">
        <v>57</v>
      </c>
      <c r="C22" t="s">
        <v>645</v>
      </c>
      <c r="D22" t="s">
        <v>2</v>
      </c>
      <c r="E22" t="s">
        <v>149</v>
      </c>
      <c r="F22" t="s">
        <v>13</v>
      </c>
      <c r="G22" t="s">
        <v>525</v>
      </c>
      <c r="H22" t="s">
        <v>626</v>
      </c>
    </row>
    <row r="23" spans="1:8" x14ac:dyDescent="0.3">
      <c r="A23">
        <v>0.76249999999999996</v>
      </c>
      <c r="B23" t="s">
        <v>57</v>
      </c>
      <c r="C23" t="s">
        <v>646</v>
      </c>
      <c r="D23" t="s">
        <v>2</v>
      </c>
      <c r="E23" s="2" t="s">
        <v>418</v>
      </c>
      <c r="F23" t="s">
        <v>13</v>
      </c>
      <c r="G23" t="s">
        <v>525</v>
      </c>
      <c r="H23" t="s">
        <v>626</v>
      </c>
    </row>
    <row r="24" spans="1:8" x14ac:dyDescent="0.3">
      <c r="A24">
        <v>1.249999999999998</v>
      </c>
      <c r="B24" t="s">
        <v>57</v>
      </c>
      <c r="C24" t="s">
        <v>647</v>
      </c>
      <c r="D24" t="s">
        <v>2</v>
      </c>
      <c r="E24" s="2" t="s">
        <v>488</v>
      </c>
      <c r="F24" t="s">
        <v>13</v>
      </c>
      <c r="G24" t="s">
        <v>525</v>
      </c>
      <c r="H24" t="s">
        <v>626</v>
      </c>
    </row>
    <row r="25" spans="1:8" x14ac:dyDescent="0.3">
      <c r="A25">
        <v>13.975424859373687</v>
      </c>
      <c r="B25" t="s">
        <v>542</v>
      </c>
      <c r="C25" t="s">
        <v>648</v>
      </c>
      <c r="D25" t="s">
        <v>2</v>
      </c>
      <c r="E25" t="s">
        <v>111</v>
      </c>
      <c r="F25" t="s">
        <v>13</v>
      </c>
      <c r="G25" t="s">
        <v>525</v>
      </c>
      <c r="H25" t="s">
        <v>626</v>
      </c>
    </row>
    <row r="26" spans="1:8" x14ac:dyDescent="0.3">
      <c r="A26">
        <v>2.034883720930234E-4</v>
      </c>
      <c r="B26" s="2" t="s">
        <v>57</v>
      </c>
      <c r="C26" t="s">
        <v>649</v>
      </c>
      <c r="D26" t="s">
        <v>2</v>
      </c>
      <c r="E26" s="18" t="s">
        <v>369</v>
      </c>
      <c r="F26" t="s">
        <v>13</v>
      </c>
      <c r="G26" t="s">
        <v>525</v>
      </c>
      <c r="H26" t="s">
        <v>626</v>
      </c>
    </row>
    <row r="27" spans="1:8" x14ac:dyDescent="0.3">
      <c r="A27">
        <f>$A$2*'[1]Cell prod US'!I19</f>
        <v>2.2681240813578163E-6</v>
      </c>
      <c r="B27" t="s">
        <v>314</v>
      </c>
      <c r="C27" t="s">
        <v>620</v>
      </c>
      <c r="D27" t="s">
        <v>2</v>
      </c>
      <c r="E27" s="2" t="s">
        <v>455</v>
      </c>
      <c r="F27" t="s">
        <v>13</v>
      </c>
      <c r="G27" t="s">
        <v>525</v>
      </c>
      <c r="H27" t="s">
        <v>621</v>
      </c>
    </row>
    <row r="28" spans="1:8" x14ac:dyDescent="0.3">
      <c r="A28">
        <f>$A$2*'[1]Cell prod US'!I20</f>
        <v>2.8194035329337413E-6</v>
      </c>
      <c r="B28" s="2" t="s">
        <v>314</v>
      </c>
      <c r="C28" t="s">
        <v>622</v>
      </c>
      <c r="D28" t="s">
        <v>2</v>
      </c>
      <c r="E28" s="2" t="s">
        <v>409</v>
      </c>
      <c r="F28" t="s">
        <v>13</v>
      </c>
      <c r="G28" t="s">
        <v>525</v>
      </c>
      <c r="H28" t="s">
        <v>621</v>
      </c>
    </row>
    <row r="29" spans="1:8" x14ac:dyDescent="0.3">
      <c r="A29">
        <f>$A$2*'[1]Cell prod US'!I21</f>
        <v>2.8671594828940705E-7</v>
      </c>
      <c r="B29" s="2" t="s">
        <v>314</v>
      </c>
      <c r="C29" t="s">
        <v>623</v>
      </c>
      <c r="D29" t="s">
        <v>2</v>
      </c>
      <c r="E29" s="2" t="s">
        <v>443</v>
      </c>
      <c r="F29" t="s">
        <v>13</v>
      </c>
      <c r="G29" t="s">
        <v>525</v>
      </c>
      <c r="H29" t="s">
        <v>621</v>
      </c>
    </row>
    <row r="30" spans="1:8" x14ac:dyDescent="0.3">
      <c r="A30">
        <v>3.0000000000000035E-5</v>
      </c>
      <c r="B30" s="2" t="s">
        <v>319</v>
      </c>
      <c r="C30" t="s">
        <v>650</v>
      </c>
      <c r="D30" t="s">
        <v>2</v>
      </c>
      <c r="E30" s="2" t="s">
        <v>378</v>
      </c>
      <c r="F30" t="s">
        <v>13</v>
      </c>
      <c r="G30" t="s">
        <v>525</v>
      </c>
      <c r="H30" t="s">
        <v>626</v>
      </c>
    </row>
    <row r="31" spans="1:8" x14ac:dyDescent="0.3">
      <c r="A31">
        <v>4.2937500000000061E-6</v>
      </c>
      <c r="B31" s="2" t="s">
        <v>319</v>
      </c>
      <c r="C31" t="s">
        <v>651</v>
      </c>
      <c r="D31" t="s">
        <v>2</v>
      </c>
      <c r="E31" s="2" t="s">
        <v>378</v>
      </c>
      <c r="F31" t="s">
        <v>13</v>
      </c>
      <c r="G31" t="s">
        <v>525</v>
      </c>
      <c r="H31" t="s">
        <v>626</v>
      </c>
    </row>
    <row r="32" spans="1:8" x14ac:dyDescent="0.3">
      <c r="A32">
        <v>2.8062499999999923E-5</v>
      </c>
      <c r="B32" s="2" t="s">
        <v>319</v>
      </c>
      <c r="C32" t="s">
        <v>652</v>
      </c>
      <c r="D32" t="s">
        <v>2</v>
      </c>
      <c r="E32" s="2" t="s">
        <v>429</v>
      </c>
      <c r="F32" t="s">
        <v>13</v>
      </c>
      <c r="G32" t="s">
        <v>525</v>
      </c>
      <c r="H32" t="s">
        <v>626</v>
      </c>
    </row>
    <row r="33" spans="1:8" x14ac:dyDescent="0.3">
      <c r="A33">
        <v>1.6062500000000007E-6</v>
      </c>
      <c r="B33" s="2" t="s">
        <v>319</v>
      </c>
      <c r="C33" t="s">
        <v>653</v>
      </c>
      <c r="D33" t="s">
        <v>2</v>
      </c>
      <c r="E33" s="2" t="s">
        <v>404</v>
      </c>
      <c r="F33" t="s">
        <v>13</v>
      </c>
      <c r="G33" t="s">
        <v>525</v>
      </c>
      <c r="H33" t="s">
        <v>626</v>
      </c>
    </row>
    <row r="34" spans="1:8" x14ac:dyDescent="0.3">
      <c r="A34">
        <v>5.0069541029207232E-7</v>
      </c>
      <c r="B34" t="s">
        <v>314</v>
      </c>
      <c r="C34" t="s">
        <v>654</v>
      </c>
      <c r="D34" t="s">
        <v>2</v>
      </c>
      <c r="E34" s="2" t="s">
        <v>449</v>
      </c>
      <c r="F34" t="s">
        <v>13</v>
      </c>
      <c r="G34" t="s">
        <v>525</v>
      </c>
      <c r="H34" t="s">
        <v>655</v>
      </c>
    </row>
    <row r="35" spans="1:8" x14ac:dyDescent="0.3">
      <c r="A35">
        <v>2.7538247566063979E-6</v>
      </c>
      <c r="B35" t="s">
        <v>314</v>
      </c>
      <c r="C35" t="s">
        <v>656</v>
      </c>
      <c r="D35" t="s">
        <v>2</v>
      </c>
      <c r="E35" s="2" t="s">
        <v>487</v>
      </c>
      <c r="F35" t="s">
        <v>13</v>
      </c>
      <c r="G35" t="s">
        <v>525</v>
      </c>
      <c r="H35" t="s">
        <v>655</v>
      </c>
    </row>
    <row r="36" spans="1:8" x14ac:dyDescent="0.3">
      <c r="A36">
        <v>5.4242002781641165E-7</v>
      </c>
      <c r="B36" t="s">
        <v>314</v>
      </c>
      <c r="C36" t="s">
        <v>495</v>
      </c>
      <c r="D36" t="s">
        <v>494</v>
      </c>
      <c r="E36" t="s">
        <v>495</v>
      </c>
      <c r="F36" t="s">
        <v>13</v>
      </c>
      <c r="G36" t="s">
        <v>525</v>
      </c>
      <c r="H36" t="s">
        <v>655</v>
      </c>
    </row>
    <row r="37" spans="1:8" x14ac:dyDescent="0.3">
      <c r="A37">
        <v>1.808066759388039E-6</v>
      </c>
      <c r="B37" t="s">
        <v>314</v>
      </c>
      <c r="C37" t="s">
        <v>496</v>
      </c>
      <c r="D37" t="s">
        <v>494</v>
      </c>
      <c r="E37" s="2" t="s">
        <v>496</v>
      </c>
      <c r="F37" t="s">
        <v>13</v>
      </c>
      <c r="G37" t="s">
        <v>525</v>
      </c>
      <c r="H37" t="s">
        <v>655</v>
      </c>
    </row>
    <row r="38" spans="1:8" x14ac:dyDescent="0.3">
      <c r="A38">
        <v>3.9777468706536858E-6</v>
      </c>
      <c r="B38" t="s">
        <v>314</v>
      </c>
      <c r="C38" t="s">
        <v>497</v>
      </c>
      <c r="D38" t="s">
        <v>494</v>
      </c>
      <c r="E38" s="2" t="s">
        <v>497</v>
      </c>
      <c r="F38" t="s">
        <v>13</v>
      </c>
      <c r="G38" t="s">
        <v>525</v>
      </c>
      <c r="H38" t="s">
        <v>655</v>
      </c>
    </row>
    <row r="39" spans="1:8" x14ac:dyDescent="0.3">
      <c r="A39">
        <v>1.9500000000000001E-7</v>
      </c>
      <c r="B39" t="s">
        <v>507</v>
      </c>
      <c r="C39" t="s">
        <v>506</v>
      </c>
      <c r="D39" t="s">
        <v>498</v>
      </c>
      <c r="E39" s="2" t="s">
        <v>506</v>
      </c>
      <c r="F39" t="s">
        <v>13</v>
      </c>
      <c r="G39" t="s">
        <v>525</v>
      </c>
      <c r="H39" t="s">
        <v>655</v>
      </c>
    </row>
    <row r="40" spans="1:8" x14ac:dyDescent="0.3">
      <c r="A40">
        <v>8.0625000000000002E-3</v>
      </c>
      <c r="B40" t="s">
        <v>57</v>
      </c>
      <c r="C40" t="s">
        <v>657</v>
      </c>
      <c r="D40" t="s">
        <v>498</v>
      </c>
      <c r="E40" t="s">
        <v>513</v>
      </c>
      <c r="F40" t="s">
        <v>13</v>
      </c>
      <c r="G40" t="s">
        <v>525</v>
      </c>
      <c r="H40" t="s">
        <v>626</v>
      </c>
    </row>
    <row r="41" spans="1:8" x14ac:dyDescent="0.3">
      <c r="A41">
        <v>2.1812499999999999E-2</v>
      </c>
      <c r="B41" t="s">
        <v>57</v>
      </c>
      <c r="C41" t="s">
        <v>502</v>
      </c>
      <c r="D41" t="s">
        <v>498</v>
      </c>
      <c r="E41" t="s">
        <v>502</v>
      </c>
      <c r="F41" t="s">
        <v>13</v>
      </c>
      <c r="G41" t="s">
        <v>525</v>
      </c>
      <c r="H41" t="s">
        <v>626</v>
      </c>
    </row>
    <row r="42" spans="1:8" x14ac:dyDescent="0.3">
      <c r="A42">
        <v>6.4837499999999997E-4</v>
      </c>
      <c r="B42" t="s">
        <v>57</v>
      </c>
      <c r="C42" t="s">
        <v>535</v>
      </c>
      <c r="D42" t="s">
        <v>498</v>
      </c>
      <c r="E42" t="s">
        <v>502</v>
      </c>
      <c r="F42" t="s">
        <v>13</v>
      </c>
      <c r="G42" t="s">
        <v>525</v>
      </c>
      <c r="H42" t="s">
        <v>658</v>
      </c>
    </row>
    <row r="43" spans="1:8" x14ac:dyDescent="0.3">
      <c r="A43">
        <v>8.7499999999999996E-8</v>
      </c>
      <c r="B43" t="s">
        <v>57</v>
      </c>
      <c r="C43" t="s">
        <v>500</v>
      </c>
      <c r="D43" t="s">
        <v>498</v>
      </c>
      <c r="E43" t="s">
        <v>500</v>
      </c>
      <c r="F43" t="s">
        <v>13</v>
      </c>
      <c r="G43" t="s">
        <v>525</v>
      </c>
      <c r="H43" t="s">
        <v>658</v>
      </c>
    </row>
    <row r="44" spans="1:8" x14ac:dyDescent="0.3">
      <c r="A44">
        <v>5.249999999999999E-9</v>
      </c>
      <c r="B44" t="s">
        <v>57</v>
      </c>
      <c r="C44" t="s">
        <v>511</v>
      </c>
      <c r="D44" t="s">
        <v>498</v>
      </c>
      <c r="E44" t="s">
        <v>511</v>
      </c>
      <c r="F44" t="s">
        <v>13</v>
      </c>
      <c r="G44" t="s">
        <v>525</v>
      </c>
      <c r="H44" t="s">
        <v>658</v>
      </c>
    </row>
    <row r="45" spans="1:8" x14ac:dyDescent="0.3">
      <c r="A45">
        <v>0</v>
      </c>
      <c r="B45" t="s">
        <v>312</v>
      </c>
      <c r="C45" t="s">
        <v>483</v>
      </c>
      <c r="D45" t="s">
        <v>2</v>
      </c>
      <c r="E45" t="s">
        <v>483</v>
      </c>
      <c r="F45" t="s">
        <v>13</v>
      </c>
      <c r="G45" t="s">
        <v>525</v>
      </c>
    </row>
    <row r="46" spans="1:8" x14ac:dyDescent="0.3">
      <c r="A46">
        <v>0</v>
      </c>
      <c r="B46" t="s">
        <v>105</v>
      </c>
      <c r="C46" t="s">
        <v>125</v>
      </c>
      <c r="D46" t="s">
        <v>2</v>
      </c>
      <c r="E46" t="s">
        <v>125</v>
      </c>
      <c r="F46" t="s">
        <v>13</v>
      </c>
      <c r="G46" t="s">
        <v>525</v>
      </c>
    </row>
    <row r="47" spans="1:8" x14ac:dyDescent="0.3">
      <c r="A47">
        <v>0</v>
      </c>
      <c r="B47" t="s">
        <v>319</v>
      </c>
      <c r="C47" t="s">
        <v>461</v>
      </c>
      <c r="D47" t="s">
        <v>2</v>
      </c>
      <c r="E47" t="s">
        <v>461</v>
      </c>
      <c r="F47" t="s">
        <v>13</v>
      </c>
      <c r="G47" t="s">
        <v>525</v>
      </c>
    </row>
    <row r="48" spans="1:8" x14ac:dyDescent="0.3">
      <c r="A48">
        <v>0</v>
      </c>
      <c r="B48" t="s">
        <v>314</v>
      </c>
      <c r="C48" t="s">
        <v>395</v>
      </c>
      <c r="D48" t="s">
        <v>2</v>
      </c>
      <c r="E48" t="s">
        <v>395</v>
      </c>
      <c r="F48" t="s">
        <v>13</v>
      </c>
      <c r="G48" t="s">
        <v>525</v>
      </c>
    </row>
    <row r="49" spans="1:7" x14ac:dyDescent="0.3">
      <c r="A49">
        <v>0</v>
      </c>
      <c r="B49" t="s">
        <v>312</v>
      </c>
      <c r="C49" t="s">
        <v>399</v>
      </c>
      <c r="D49" t="s">
        <v>2</v>
      </c>
      <c r="E49" t="s">
        <v>399</v>
      </c>
      <c r="F49" t="s">
        <v>13</v>
      </c>
      <c r="G49" t="s">
        <v>525</v>
      </c>
    </row>
    <row r="50" spans="1:7" x14ac:dyDescent="0.3">
      <c r="A50">
        <v>0</v>
      </c>
      <c r="B50" t="s">
        <v>314</v>
      </c>
      <c r="C50" t="s">
        <v>432</v>
      </c>
      <c r="D50" t="s">
        <v>2</v>
      </c>
      <c r="E50" t="s">
        <v>432</v>
      </c>
      <c r="F50" t="s">
        <v>13</v>
      </c>
      <c r="G50" t="s">
        <v>525</v>
      </c>
    </row>
    <row r="51" spans="1:7" x14ac:dyDescent="0.3">
      <c r="A51">
        <v>0</v>
      </c>
      <c r="B51" t="s">
        <v>312</v>
      </c>
      <c r="C51" t="s">
        <v>325</v>
      </c>
      <c r="D51" t="s">
        <v>2</v>
      </c>
      <c r="E51" t="s">
        <v>325</v>
      </c>
      <c r="F51" t="s">
        <v>13</v>
      </c>
      <c r="G51" t="s">
        <v>525</v>
      </c>
    </row>
    <row r="52" spans="1:7" x14ac:dyDescent="0.3">
      <c r="A52">
        <v>0</v>
      </c>
      <c r="B52" t="s">
        <v>314</v>
      </c>
      <c r="C52" t="s">
        <v>372</v>
      </c>
      <c r="D52" t="s">
        <v>2</v>
      </c>
      <c r="E52" t="s">
        <v>372</v>
      </c>
      <c r="F52" t="s">
        <v>13</v>
      </c>
      <c r="G52" t="s">
        <v>525</v>
      </c>
    </row>
    <row r="53" spans="1:7" x14ac:dyDescent="0.3">
      <c r="A53">
        <v>0</v>
      </c>
      <c r="B53" t="s">
        <v>314</v>
      </c>
      <c r="C53" t="s">
        <v>260</v>
      </c>
      <c r="D53" t="s">
        <v>2</v>
      </c>
      <c r="E53" t="s">
        <v>260</v>
      </c>
      <c r="F53" t="s">
        <v>13</v>
      </c>
      <c r="G53" t="s">
        <v>525</v>
      </c>
    </row>
    <row r="54" spans="1:7" x14ac:dyDescent="0.3">
      <c r="A54">
        <v>0</v>
      </c>
      <c r="B54" t="s">
        <v>312</v>
      </c>
      <c r="C54" t="s">
        <v>330</v>
      </c>
      <c r="D54" t="s">
        <v>2</v>
      </c>
      <c r="E54" t="s">
        <v>330</v>
      </c>
      <c r="F54" t="s">
        <v>13</v>
      </c>
      <c r="G54" t="s">
        <v>525</v>
      </c>
    </row>
    <row r="55" spans="1:7" x14ac:dyDescent="0.3">
      <c r="A55">
        <v>0</v>
      </c>
      <c r="B55" t="s">
        <v>105</v>
      </c>
      <c r="C55" t="s">
        <v>401</v>
      </c>
      <c r="D55" t="s">
        <v>2</v>
      </c>
      <c r="E55" t="s">
        <v>401</v>
      </c>
      <c r="F55" t="s">
        <v>13</v>
      </c>
      <c r="G55" t="s">
        <v>525</v>
      </c>
    </row>
    <row r="56" spans="1:7" x14ac:dyDescent="0.3">
      <c r="A56">
        <v>0</v>
      </c>
      <c r="B56" t="s">
        <v>312</v>
      </c>
      <c r="C56" t="s">
        <v>416</v>
      </c>
      <c r="D56" t="s">
        <v>2</v>
      </c>
      <c r="E56" t="s">
        <v>416</v>
      </c>
      <c r="F56" t="s">
        <v>13</v>
      </c>
      <c r="G56" t="s">
        <v>525</v>
      </c>
    </row>
    <row r="57" spans="1:7" x14ac:dyDescent="0.3">
      <c r="A57">
        <v>0</v>
      </c>
      <c r="B57" t="s">
        <v>319</v>
      </c>
      <c r="C57" t="s">
        <v>375</v>
      </c>
      <c r="D57" t="s">
        <v>2</v>
      </c>
      <c r="E57" t="s">
        <v>375</v>
      </c>
      <c r="F57" t="s">
        <v>13</v>
      </c>
      <c r="G57" t="s">
        <v>525</v>
      </c>
    </row>
    <row r="58" spans="1:7" x14ac:dyDescent="0.3">
      <c r="A58">
        <v>0</v>
      </c>
      <c r="B58" t="s">
        <v>312</v>
      </c>
      <c r="C58" t="s">
        <v>333</v>
      </c>
      <c r="D58" t="s">
        <v>2</v>
      </c>
      <c r="E58" t="s">
        <v>333</v>
      </c>
      <c r="F58" t="s">
        <v>13</v>
      </c>
      <c r="G58" t="s">
        <v>525</v>
      </c>
    </row>
    <row r="59" spans="1:7" x14ac:dyDescent="0.3">
      <c r="A59">
        <v>0</v>
      </c>
      <c r="B59" t="s">
        <v>57</v>
      </c>
      <c r="C59" t="s">
        <v>118</v>
      </c>
      <c r="D59" t="s">
        <v>2</v>
      </c>
      <c r="E59" t="s">
        <v>118</v>
      </c>
      <c r="F59" t="s">
        <v>13</v>
      </c>
      <c r="G59" t="s">
        <v>525</v>
      </c>
    </row>
    <row r="60" spans="1:7" x14ac:dyDescent="0.3">
      <c r="A60">
        <v>0</v>
      </c>
      <c r="B60" t="s">
        <v>312</v>
      </c>
      <c r="C60" t="s">
        <v>406</v>
      </c>
      <c r="D60" t="s">
        <v>2</v>
      </c>
      <c r="E60" t="s">
        <v>406</v>
      </c>
      <c r="F60" t="s">
        <v>13</v>
      </c>
      <c r="G60" t="s">
        <v>525</v>
      </c>
    </row>
    <row r="61" spans="1:7" x14ac:dyDescent="0.3">
      <c r="A61">
        <v>0</v>
      </c>
      <c r="B61" t="s">
        <v>312</v>
      </c>
      <c r="C61" t="s">
        <v>315</v>
      </c>
      <c r="D61" t="s">
        <v>2</v>
      </c>
      <c r="E61" t="s">
        <v>315</v>
      </c>
      <c r="F61" t="s">
        <v>13</v>
      </c>
      <c r="G61" t="s">
        <v>525</v>
      </c>
    </row>
    <row r="62" spans="1:7" x14ac:dyDescent="0.3">
      <c r="A62">
        <v>0</v>
      </c>
      <c r="B62" t="s">
        <v>312</v>
      </c>
      <c r="C62" t="s">
        <v>358</v>
      </c>
      <c r="D62" t="s">
        <v>2</v>
      </c>
      <c r="E62" t="s">
        <v>358</v>
      </c>
      <c r="F62" t="s">
        <v>13</v>
      </c>
      <c r="G62" t="s">
        <v>525</v>
      </c>
    </row>
    <row r="63" spans="1:7" x14ac:dyDescent="0.3">
      <c r="A63">
        <v>0</v>
      </c>
      <c r="B63" t="s">
        <v>314</v>
      </c>
      <c r="C63" t="s">
        <v>444</v>
      </c>
      <c r="D63" t="s">
        <v>2</v>
      </c>
      <c r="E63" t="s">
        <v>444</v>
      </c>
      <c r="F63" t="s">
        <v>13</v>
      </c>
      <c r="G63" t="s">
        <v>525</v>
      </c>
    </row>
    <row r="64" spans="1:7" x14ac:dyDescent="0.3">
      <c r="A64">
        <v>0</v>
      </c>
      <c r="B64" t="s">
        <v>312</v>
      </c>
      <c r="C64" t="s">
        <v>439</v>
      </c>
      <c r="D64" t="s">
        <v>2</v>
      </c>
      <c r="E64" t="s">
        <v>439</v>
      </c>
      <c r="F64" t="s">
        <v>13</v>
      </c>
      <c r="G64" t="s">
        <v>525</v>
      </c>
    </row>
    <row r="65" spans="1:7" x14ac:dyDescent="0.3">
      <c r="A65">
        <v>0</v>
      </c>
      <c r="B65" t="s">
        <v>312</v>
      </c>
      <c r="C65" t="s">
        <v>381</v>
      </c>
      <c r="D65" t="s">
        <v>2</v>
      </c>
      <c r="E65" t="s">
        <v>381</v>
      </c>
      <c r="F65" t="s">
        <v>13</v>
      </c>
      <c r="G65" t="s">
        <v>525</v>
      </c>
    </row>
    <row r="66" spans="1:7" x14ac:dyDescent="0.3">
      <c r="A66">
        <v>0</v>
      </c>
      <c r="B66" t="s">
        <v>312</v>
      </c>
      <c r="C66" t="s">
        <v>418</v>
      </c>
      <c r="D66" t="s">
        <v>2</v>
      </c>
      <c r="E66" t="s">
        <v>418</v>
      </c>
      <c r="F66" t="s">
        <v>13</v>
      </c>
      <c r="G66" t="s">
        <v>525</v>
      </c>
    </row>
    <row r="67" spans="1:7" x14ac:dyDescent="0.3">
      <c r="A67">
        <v>0</v>
      </c>
      <c r="B67" t="s">
        <v>314</v>
      </c>
      <c r="C67" t="s">
        <v>465</v>
      </c>
      <c r="D67" t="s">
        <v>2</v>
      </c>
      <c r="E67" t="s">
        <v>465</v>
      </c>
      <c r="F67" t="s">
        <v>13</v>
      </c>
      <c r="G67" t="s">
        <v>525</v>
      </c>
    </row>
    <row r="68" spans="1:7" x14ac:dyDescent="0.3">
      <c r="A68">
        <v>0</v>
      </c>
      <c r="B68" t="s">
        <v>105</v>
      </c>
      <c r="C68" t="s">
        <v>103</v>
      </c>
      <c r="D68" t="s">
        <v>2</v>
      </c>
      <c r="E68" t="s">
        <v>103</v>
      </c>
      <c r="F68" t="s">
        <v>13</v>
      </c>
      <c r="G68" t="s">
        <v>525</v>
      </c>
    </row>
    <row r="69" spans="1:7" x14ac:dyDescent="0.3">
      <c r="A69">
        <v>0</v>
      </c>
      <c r="B69" t="s">
        <v>312</v>
      </c>
      <c r="C69" t="s">
        <v>320</v>
      </c>
      <c r="D69" t="s">
        <v>2</v>
      </c>
      <c r="E69" t="s">
        <v>320</v>
      </c>
      <c r="F69" t="s">
        <v>13</v>
      </c>
      <c r="G69" t="s">
        <v>525</v>
      </c>
    </row>
    <row r="70" spans="1:7" x14ac:dyDescent="0.3">
      <c r="A70">
        <v>0</v>
      </c>
      <c r="B70" t="s">
        <v>312</v>
      </c>
      <c r="C70" t="s">
        <v>334</v>
      </c>
      <c r="D70" t="s">
        <v>2</v>
      </c>
      <c r="E70" t="s">
        <v>334</v>
      </c>
      <c r="F70" t="s">
        <v>13</v>
      </c>
      <c r="G70" t="s">
        <v>525</v>
      </c>
    </row>
    <row r="71" spans="1:7" x14ac:dyDescent="0.3">
      <c r="A71">
        <v>0</v>
      </c>
      <c r="B71" t="s">
        <v>312</v>
      </c>
      <c r="C71" t="s">
        <v>435</v>
      </c>
      <c r="D71" t="s">
        <v>2</v>
      </c>
      <c r="E71" t="s">
        <v>435</v>
      </c>
      <c r="F71" t="s">
        <v>13</v>
      </c>
      <c r="G71" t="s">
        <v>525</v>
      </c>
    </row>
    <row r="72" spans="1:7" x14ac:dyDescent="0.3">
      <c r="A72">
        <v>0</v>
      </c>
      <c r="B72" t="s">
        <v>319</v>
      </c>
      <c r="C72" t="s">
        <v>456</v>
      </c>
      <c r="D72" t="s">
        <v>2</v>
      </c>
      <c r="E72" t="s">
        <v>456</v>
      </c>
      <c r="F72" t="s">
        <v>13</v>
      </c>
      <c r="G72" t="s">
        <v>525</v>
      </c>
    </row>
    <row r="73" spans="1:7" x14ac:dyDescent="0.3">
      <c r="A73">
        <v>0</v>
      </c>
      <c r="B73" t="s">
        <v>312</v>
      </c>
      <c r="C73" t="s">
        <v>474</v>
      </c>
      <c r="D73" t="s">
        <v>2</v>
      </c>
      <c r="E73" t="s">
        <v>474</v>
      </c>
      <c r="F73" t="s">
        <v>13</v>
      </c>
      <c r="G73" t="s">
        <v>525</v>
      </c>
    </row>
    <row r="74" spans="1:7" x14ac:dyDescent="0.3">
      <c r="A74">
        <v>0</v>
      </c>
      <c r="B74" t="s">
        <v>319</v>
      </c>
      <c r="C74" t="s">
        <v>318</v>
      </c>
      <c r="D74" t="s">
        <v>2</v>
      </c>
      <c r="E74" t="s">
        <v>318</v>
      </c>
      <c r="F74" t="s">
        <v>13</v>
      </c>
      <c r="G74" t="s">
        <v>525</v>
      </c>
    </row>
    <row r="75" spans="1:7" x14ac:dyDescent="0.3">
      <c r="A75">
        <v>0</v>
      </c>
      <c r="B75" t="s">
        <v>314</v>
      </c>
      <c r="C75" t="s">
        <v>475</v>
      </c>
      <c r="D75" t="s">
        <v>2</v>
      </c>
      <c r="E75" t="s">
        <v>475</v>
      </c>
      <c r="F75" t="s">
        <v>13</v>
      </c>
      <c r="G75" t="s">
        <v>525</v>
      </c>
    </row>
    <row r="76" spans="1:7" x14ac:dyDescent="0.3">
      <c r="A76">
        <v>0</v>
      </c>
      <c r="B76" t="s">
        <v>314</v>
      </c>
      <c r="C76" t="s">
        <v>449</v>
      </c>
      <c r="D76" t="s">
        <v>2</v>
      </c>
      <c r="E76" t="s">
        <v>449</v>
      </c>
      <c r="F76" t="s">
        <v>13</v>
      </c>
      <c r="G76" t="s">
        <v>525</v>
      </c>
    </row>
    <row r="77" spans="1:7" x14ac:dyDescent="0.3">
      <c r="A77">
        <v>0</v>
      </c>
      <c r="B77" t="s">
        <v>314</v>
      </c>
      <c r="C77" t="s">
        <v>176</v>
      </c>
      <c r="D77" t="s">
        <v>2</v>
      </c>
      <c r="E77" t="s">
        <v>176</v>
      </c>
      <c r="F77" t="s">
        <v>13</v>
      </c>
      <c r="G77" t="s">
        <v>525</v>
      </c>
    </row>
    <row r="78" spans="1:7" x14ac:dyDescent="0.3">
      <c r="A78">
        <v>0</v>
      </c>
      <c r="B78" t="s">
        <v>312</v>
      </c>
      <c r="C78" t="s">
        <v>388</v>
      </c>
      <c r="D78" t="s">
        <v>2</v>
      </c>
      <c r="E78" t="s">
        <v>388</v>
      </c>
      <c r="F78" t="s">
        <v>13</v>
      </c>
      <c r="G78" t="s">
        <v>525</v>
      </c>
    </row>
    <row r="79" spans="1:7" x14ac:dyDescent="0.3">
      <c r="A79">
        <v>0</v>
      </c>
      <c r="B79" t="s">
        <v>319</v>
      </c>
      <c r="C79" t="s">
        <v>429</v>
      </c>
      <c r="D79" t="s">
        <v>2</v>
      </c>
      <c r="E79" t="s">
        <v>429</v>
      </c>
      <c r="F79" t="s">
        <v>13</v>
      </c>
      <c r="G79" t="s">
        <v>525</v>
      </c>
    </row>
    <row r="80" spans="1:7" x14ac:dyDescent="0.3">
      <c r="A80">
        <v>0</v>
      </c>
      <c r="B80" t="s">
        <v>312</v>
      </c>
      <c r="C80" t="s">
        <v>272</v>
      </c>
      <c r="D80" t="s">
        <v>2</v>
      </c>
      <c r="E80" t="s">
        <v>272</v>
      </c>
      <c r="F80" t="s">
        <v>13</v>
      </c>
      <c r="G80" t="s">
        <v>525</v>
      </c>
    </row>
    <row r="81" spans="1:7" x14ac:dyDescent="0.3">
      <c r="A81">
        <v>0</v>
      </c>
      <c r="B81" t="s">
        <v>312</v>
      </c>
      <c r="C81" t="s">
        <v>410</v>
      </c>
      <c r="D81" t="s">
        <v>2</v>
      </c>
      <c r="E81" t="s">
        <v>410</v>
      </c>
      <c r="F81" t="s">
        <v>13</v>
      </c>
      <c r="G81" t="s">
        <v>525</v>
      </c>
    </row>
    <row r="82" spans="1:7" x14ac:dyDescent="0.3">
      <c r="A82">
        <v>0</v>
      </c>
      <c r="B82" t="s">
        <v>319</v>
      </c>
      <c r="C82" t="s">
        <v>363</v>
      </c>
      <c r="D82" t="s">
        <v>2</v>
      </c>
      <c r="E82" t="s">
        <v>363</v>
      </c>
      <c r="F82" t="s">
        <v>13</v>
      </c>
      <c r="G82" t="s">
        <v>525</v>
      </c>
    </row>
    <row r="83" spans="1:7" x14ac:dyDescent="0.3">
      <c r="A83">
        <v>0</v>
      </c>
      <c r="B83" t="s">
        <v>312</v>
      </c>
      <c r="C83" t="s">
        <v>382</v>
      </c>
      <c r="D83" t="s">
        <v>2</v>
      </c>
      <c r="E83" t="s">
        <v>382</v>
      </c>
      <c r="F83" t="s">
        <v>13</v>
      </c>
      <c r="G83" t="s">
        <v>525</v>
      </c>
    </row>
    <row r="84" spans="1:7" x14ac:dyDescent="0.3">
      <c r="A84">
        <v>0</v>
      </c>
      <c r="B84" t="s">
        <v>312</v>
      </c>
      <c r="C84" t="s">
        <v>424</v>
      </c>
      <c r="D84" t="s">
        <v>2</v>
      </c>
      <c r="E84" t="s">
        <v>424</v>
      </c>
      <c r="F84" t="s">
        <v>13</v>
      </c>
      <c r="G84" t="s">
        <v>525</v>
      </c>
    </row>
    <row r="85" spans="1:7" x14ac:dyDescent="0.3">
      <c r="A85">
        <v>0</v>
      </c>
      <c r="B85" t="s">
        <v>314</v>
      </c>
      <c r="C85" t="s">
        <v>351</v>
      </c>
      <c r="D85" t="s">
        <v>2</v>
      </c>
      <c r="E85" t="s">
        <v>351</v>
      </c>
      <c r="F85" t="s">
        <v>13</v>
      </c>
      <c r="G85" t="s">
        <v>525</v>
      </c>
    </row>
    <row r="86" spans="1:7" x14ac:dyDescent="0.3">
      <c r="A86">
        <v>0</v>
      </c>
      <c r="B86" t="s">
        <v>312</v>
      </c>
      <c r="C86" t="s">
        <v>347</v>
      </c>
      <c r="D86" t="s">
        <v>2</v>
      </c>
      <c r="E86" t="s">
        <v>347</v>
      </c>
      <c r="F86" t="s">
        <v>13</v>
      </c>
      <c r="G86" t="s">
        <v>525</v>
      </c>
    </row>
    <row r="87" spans="1:7" x14ac:dyDescent="0.3">
      <c r="A87">
        <v>0</v>
      </c>
      <c r="B87" t="s">
        <v>314</v>
      </c>
      <c r="C87" t="s">
        <v>453</v>
      </c>
      <c r="D87" t="s">
        <v>2</v>
      </c>
      <c r="E87" t="s">
        <v>453</v>
      </c>
      <c r="F87" t="s">
        <v>13</v>
      </c>
      <c r="G87" t="s">
        <v>525</v>
      </c>
    </row>
    <row r="88" spans="1:7" x14ac:dyDescent="0.3">
      <c r="A88">
        <v>0</v>
      </c>
      <c r="B88" t="s">
        <v>319</v>
      </c>
      <c r="C88" t="s">
        <v>457</v>
      </c>
      <c r="D88" t="s">
        <v>2</v>
      </c>
      <c r="E88" t="s">
        <v>457</v>
      </c>
      <c r="F88" t="s">
        <v>13</v>
      </c>
      <c r="G88" t="s">
        <v>525</v>
      </c>
    </row>
    <row r="89" spans="1:7" x14ac:dyDescent="0.3">
      <c r="A89">
        <v>0</v>
      </c>
      <c r="B89" t="s">
        <v>312</v>
      </c>
      <c r="C89" t="s">
        <v>485</v>
      </c>
      <c r="D89" t="s">
        <v>2</v>
      </c>
      <c r="E89" t="s">
        <v>485</v>
      </c>
      <c r="F89" t="s">
        <v>13</v>
      </c>
      <c r="G89" t="s">
        <v>525</v>
      </c>
    </row>
    <row r="90" spans="1:7" x14ac:dyDescent="0.3">
      <c r="A90">
        <v>0</v>
      </c>
      <c r="B90" t="s">
        <v>312</v>
      </c>
      <c r="C90" t="s">
        <v>355</v>
      </c>
      <c r="D90" t="s">
        <v>2</v>
      </c>
      <c r="E90" t="s">
        <v>355</v>
      </c>
      <c r="F90" t="s">
        <v>13</v>
      </c>
      <c r="G90" t="s">
        <v>525</v>
      </c>
    </row>
    <row r="91" spans="1:7" x14ac:dyDescent="0.3">
      <c r="A91">
        <v>0</v>
      </c>
      <c r="B91" t="s">
        <v>312</v>
      </c>
      <c r="C91" t="s">
        <v>338</v>
      </c>
      <c r="D91" t="s">
        <v>2</v>
      </c>
      <c r="E91" t="s">
        <v>338</v>
      </c>
      <c r="F91" t="s">
        <v>13</v>
      </c>
      <c r="G91" t="s">
        <v>525</v>
      </c>
    </row>
    <row r="92" spans="1:7" x14ac:dyDescent="0.3">
      <c r="A92">
        <v>0</v>
      </c>
      <c r="B92" t="s">
        <v>312</v>
      </c>
      <c r="C92" t="s">
        <v>394</v>
      </c>
      <c r="D92" t="s">
        <v>2</v>
      </c>
      <c r="E92" t="s">
        <v>394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438</v>
      </c>
      <c r="D93" t="s">
        <v>2</v>
      </c>
      <c r="E93" t="s">
        <v>438</v>
      </c>
      <c r="F93" t="s">
        <v>13</v>
      </c>
      <c r="G93" t="s">
        <v>525</v>
      </c>
    </row>
    <row r="94" spans="1:7" x14ac:dyDescent="0.3">
      <c r="A94">
        <v>0</v>
      </c>
      <c r="B94" t="s">
        <v>312</v>
      </c>
      <c r="C94" t="s">
        <v>486</v>
      </c>
      <c r="D94" t="s">
        <v>2</v>
      </c>
      <c r="E94" t="s">
        <v>486</v>
      </c>
      <c r="F94" t="s">
        <v>13</v>
      </c>
      <c r="G94" t="s">
        <v>525</v>
      </c>
    </row>
    <row r="95" spans="1:7" x14ac:dyDescent="0.3">
      <c r="A95">
        <v>0</v>
      </c>
      <c r="B95" t="s">
        <v>319</v>
      </c>
      <c r="C95" t="s">
        <v>419</v>
      </c>
      <c r="D95" t="s">
        <v>2</v>
      </c>
      <c r="E95" t="s">
        <v>419</v>
      </c>
      <c r="F95" t="s">
        <v>13</v>
      </c>
      <c r="G95" t="s">
        <v>525</v>
      </c>
    </row>
    <row r="96" spans="1:7" x14ac:dyDescent="0.3">
      <c r="A96">
        <v>0</v>
      </c>
      <c r="B96" t="s">
        <v>57</v>
      </c>
      <c r="C96" t="s">
        <v>353</v>
      </c>
      <c r="D96" t="s">
        <v>2</v>
      </c>
      <c r="E96" t="s">
        <v>353</v>
      </c>
      <c r="F96" t="s">
        <v>13</v>
      </c>
      <c r="G96" t="s">
        <v>525</v>
      </c>
    </row>
    <row r="97" spans="1:7" x14ac:dyDescent="0.3">
      <c r="A97">
        <v>0</v>
      </c>
      <c r="B97" t="s">
        <v>319</v>
      </c>
      <c r="C97" t="s">
        <v>489</v>
      </c>
      <c r="D97" t="s">
        <v>2</v>
      </c>
      <c r="E97" t="s">
        <v>489</v>
      </c>
      <c r="F97" t="s">
        <v>13</v>
      </c>
      <c r="G97" t="s">
        <v>525</v>
      </c>
    </row>
    <row r="98" spans="1:7" x14ac:dyDescent="0.3">
      <c r="A98">
        <v>0</v>
      </c>
      <c r="B98" t="s">
        <v>312</v>
      </c>
      <c r="C98" t="s">
        <v>386</v>
      </c>
      <c r="D98" t="s">
        <v>2</v>
      </c>
      <c r="E98" t="s">
        <v>386</v>
      </c>
      <c r="F98" t="s">
        <v>13</v>
      </c>
      <c r="G98" t="s">
        <v>525</v>
      </c>
    </row>
    <row r="99" spans="1:7" x14ac:dyDescent="0.3">
      <c r="A99">
        <v>0</v>
      </c>
      <c r="B99" t="s">
        <v>319</v>
      </c>
      <c r="C99" t="s">
        <v>389</v>
      </c>
      <c r="D99" t="s">
        <v>2</v>
      </c>
      <c r="E99" t="s">
        <v>389</v>
      </c>
      <c r="F99" t="s">
        <v>13</v>
      </c>
      <c r="G99" t="s">
        <v>525</v>
      </c>
    </row>
    <row r="100" spans="1:7" x14ac:dyDescent="0.3">
      <c r="A100">
        <v>0</v>
      </c>
      <c r="B100" t="s">
        <v>312</v>
      </c>
      <c r="C100" t="s">
        <v>340</v>
      </c>
      <c r="D100" t="s">
        <v>2</v>
      </c>
      <c r="E100" t="s">
        <v>340</v>
      </c>
      <c r="F100" t="s">
        <v>13</v>
      </c>
      <c r="G100" t="s">
        <v>525</v>
      </c>
    </row>
    <row r="101" spans="1:7" x14ac:dyDescent="0.3">
      <c r="A101">
        <v>0</v>
      </c>
      <c r="B101" t="s">
        <v>312</v>
      </c>
      <c r="C101" t="s">
        <v>368</v>
      </c>
      <c r="D101" t="s">
        <v>2</v>
      </c>
      <c r="E101" t="s">
        <v>368</v>
      </c>
      <c r="F101" t="s">
        <v>13</v>
      </c>
      <c r="G101" t="s">
        <v>525</v>
      </c>
    </row>
    <row r="102" spans="1:7" x14ac:dyDescent="0.3">
      <c r="A102">
        <v>0</v>
      </c>
      <c r="B102" t="s">
        <v>312</v>
      </c>
      <c r="C102" t="s">
        <v>328</v>
      </c>
      <c r="D102" t="s">
        <v>2</v>
      </c>
      <c r="E102" t="s">
        <v>328</v>
      </c>
      <c r="F102" t="s">
        <v>13</v>
      </c>
      <c r="G102" t="s">
        <v>525</v>
      </c>
    </row>
    <row r="103" spans="1:7" x14ac:dyDescent="0.3">
      <c r="A103">
        <v>0</v>
      </c>
      <c r="B103" t="s">
        <v>312</v>
      </c>
      <c r="C103" t="s">
        <v>479</v>
      </c>
      <c r="D103" t="s">
        <v>2</v>
      </c>
      <c r="E103" t="s">
        <v>479</v>
      </c>
      <c r="F103" t="s">
        <v>13</v>
      </c>
      <c r="G103" t="s">
        <v>525</v>
      </c>
    </row>
    <row r="104" spans="1:7" x14ac:dyDescent="0.3">
      <c r="A104">
        <v>0</v>
      </c>
      <c r="B104" t="s">
        <v>57</v>
      </c>
      <c r="C104" t="s">
        <v>116</v>
      </c>
      <c r="D104" t="s">
        <v>2</v>
      </c>
      <c r="E104" t="s">
        <v>116</v>
      </c>
      <c r="F104" t="s">
        <v>13</v>
      </c>
      <c r="G104" t="s">
        <v>525</v>
      </c>
    </row>
    <row r="105" spans="1:7" x14ac:dyDescent="0.3">
      <c r="A105">
        <v>0</v>
      </c>
      <c r="B105" t="s">
        <v>312</v>
      </c>
      <c r="C105" t="s">
        <v>352</v>
      </c>
      <c r="D105" t="s">
        <v>2</v>
      </c>
      <c r="E105" t="s">
        <v>352</v>
      </c>
      <c r="F105" t="s">
        <v>13</v>
      </c>
      <c r="G105" t="s">
        <v>525</v>
      </c>
    </row>
    <row r="106" spans="1:7" x14ac:dyDescent="0.3">
      <c r="A106">
        <v>0</v>
      </c>
      <c r="B106" t="s">
        <v>312</v>
      </c>
      <c r="C106" t="s">
        <v>417</v>
      </c>
      <c r="D106" t="s">
        <v>2</v>
      </c>
      <c r="E106" t="s">
        <v>417</v>
      </c>
      <c r="F106" t="s">
        <v>13</v>
      </c>
      <c r="G106" t="s">
        <v>525</v>
      </c>
    </row>
    <row r="107" spans="1:7" x14ac:dyDescent="0.3">
      <c r="A107">
        <v>0</v>
      </c>
      <c r="B107" t="s">
        <v>312</v>
      </c>
      <c r="C107" t="s">
        <v>447</v>
      </c>
      <c r="D107" t="s">
        <v>2</v>
      </c>
      <c r="E107" t="s">
        <v>447</v>
      </c>
      <c r="F107" t="s">
        <v>13</v>
      </c>
      <c r="G107" t="s">
        <v>525</v>
      </c>
    </row>
    <row r="108" spans="1:7" x14ac:dyDescent="0.3">
      <c r="A108">
        <v>0</v>
      </c>
      <c r="B108" t="s">
        <v>319</v>
      </c>
      <c r="C108" t="s">
        <v>329</v>
      </c>
      <c r="D108" t="s">
        <v>2</v>
      </c>
      <c r="E108" t="s">
        <v>329</v>
      </c>
      <c r="F108" t="s">
        <v>13</v>
      </c>
      <c r="G108" t="s">
        <v>525</v>
      </c>
    </row>
    <row r="109" spans="1:7" x14ac:dyDescent="0.3">
      <c r="A109">
        <v>0</v>
      </c>
      <c r="B109" t="s">
        <v>312</v>
      </c>
      <c r="C109" t="s">
        <v>252</v>
      </c>
      <c r="D109" t="s">
        <v>2</v>
      </c>
      <c r="E109" t="s">
        <v>252</v>
      </c>
      <c r="F109" t="s">
        <v>13</v>
      </c>
      <c r="G109" t="s">
        <v>525</v>
      </c>
    </row>
    <row r="110" spans="1:7" x14ac:dyDescent="0.3">
      <c r="A110">
        <v>0</v>
      </c>
      <c r="B110" t="s">
        <v>312</v>
      </c>
      <c r="C110" t="s">
        <v>317</v>
      </c>
      <c r="D110" t="s">
        <v>2</v>
      </c>
      <c r="E110" t="s">
        <v>317</v>
      </c>
      <c r="F110" t="s">
        <v>13</v>
      </c>
      <c r="G110" t="s">
        <v>525</v>
      </c>
    </row>
    <row r="111" spans="1:7" x14ac:dyDescent="0.3">
      <c r="A111">
        <v>0</v>
      </c>
      <c r="B111" t="s">
        <v>312</v>
      </c>
      <c r="C111" t="s">
        <v>436</v>
      </c>
      <c r="D111" t="s">
        <v>2</v>
      </c>
      <c r="E111" t="s">
        <v>436</v>
      </c>
      <c r="F111" t="s">
        <v>13</v>
      </c>
      <c r="G111" t="s">
        <v>525</v>
      </c>
    </row>
    <row r="112" spans="1:7" x14ac:dyDescent="0.3">
      <c r="A112">
        <v>0</v>
      </c>
      <c r="B112" t="s">
        <v>319</v>
      </c>
      <c r="C112" t="s">
        <v>490</v>
      </c>
      <c r="D112" t="s">
        <v>2</v>
      </c>
      <c r="E112" t="s">
        <v>490</v>
      </c>
      <c r="F112" t="s">
        <v>13</v>
      </c>
      <c r="G112" t="s">
        <v>525</v>
      </c>
    </row>
    <row r="113" spans="1:7" x14ac:dyDescent="0.3">
      <c r="A113">
        <v>0</v>
      </c>
      <c r="B113" t="s">
        <v>312</v>
      </c>
      <c r="C113" t="s">
        <v>391</v>
      </c>
      <c r="D113" t="s">
        <v>2</v>
      </c>
      <c r="E113" t="s">
        <v>391</v>
      </c>
      <c r="F113" t="s">
        <v>13</v>
      </c>
      <c r="G113" t="s">
        <v>525</v>
      </c>
    </row>
    <row r="114" spans="1:7" x14ac:dyDescent="0.3">
      <c r="A114">
        <v>0</v>
      </c>
      <c r="B114" t="s">
        <v>312</v>
      </c>
      <c r="C114" t="s">
        <v>235</v>
      </c>
      <c r="D114" t="s">
        <v>2</v>
      </c>
      <c r="E114" t="s">
        <v>235</v>
      </c>
      <c r="F114" t="s">
        <v>13</v>
      </c>
      <c r="G114" t="s">
        <v>525</v>
      </c>
    </row>
    <row r="115" spans="1:7" x14ac:dyDescent="0.3">
      <c r="A115">
        <v>0</v>
      </c>
      <c r="B115" t="s">
        <v>312</v>
      </c>
      <c r="C115" t="s">
        <v>493</v>
      </c>
      <c r="D115" t="s">
        <v>2</v>
      </c>
      <c r="E115" t="s">
        <v>493</v>
      </c>
      <c r="F115" t="s">
        <v>13</v>
      </c>
      <c r="G115" t="s">
        <v>525</v>
      </c>
    </row>
    <row r="116" spans="1:7" x14ac:dyDescent="0.3">
      <c r="A116">
        <v>0</v>
      </c>
      <c r="B116" t="s">
        <v>312</v>
      </c>
      <c r="C116" t="s">
        <v>335</v>
      </c>
      <c r="D116" t="s">
        <v>2</v>
      </c>
      <c r="E116" t="s">
        <v>335</v>
      </c>
      <c r="F116" t="s">
        <v>13</v>
      </c>
      <c r="G116" t="s">
        <v>525</v>
      </c>
    </row>
    <row r="117" spans="1:7" x14ac:dyDescent="0.3">
      <c r="A117">
        <v>0</v>
      </c>
      <c r="B117" t="s">
        <v>312</v>
      </c>
      <c r="C117" t="s">
        <v>354</v>
      </c>
      <c r="D117" t="s">
        <v>2</v>
      </c>
      <c r="E117" t="s">
        <v>354</v>
      </c>
      <c r="F117" t="s">
        <v>13</v>
      </c>
      <c r="G117" t="s">
        <v>525</v>
      </c>
    </row>
    <row r="118" spans="1:7" x14ac:dyDescent="0.3">
      <c r="A118">
        <v>0</v>
      </c>
      <c r="B118" t="s">
        <v>319</v>
      </c>
      <c r="C118" t="s">
        <v>360</v>
      </c>
      <c r="D118" t="s">
        <v>2</v>
      </c>
      <c r="E118" t="s">
        <v>360</v>
      </c>
      <c r="F118" t="s">
        <v>13</v>
      </c>
      <c r="G118" t="s">
        <v>525</v>
      </c>
    </row>
    <row r="119" spans="1:7" x14ac:dyDescent="0.3">
      <c r="A119">
        <v>0</v>
      </c>
      <c r="B119" t="s">
        <v>314</v>
      </c>
      <c r="C119" t="s">
        <v>356</v>
      </c>
      <c r="D119" t="s">
        <v>2</v>
      </c>
      <c r="E119" t="s">
        <v>356</v>
      </c>
      <c r="F119" t="s">
        <v>13</v>
      </c>
      <c r="G119" t="s">
        <v>525</v>
      </c>
    </row>
    <row r="120" spans="1:7" x14ac:dyDescent="0.3">
      <c r="A120">
        <v>0</v>
      </c>
      <c r="B120" t="s">
        <v>312</v>
      </c>
      <c r="C120" t="s">
        <v>405</v>
      </c>
      <c r="D120" t="s">
        <v>2</v>
      </c>
      <c r="E120" t="s">
        <v>405</v>
      </c>
      <c r="F120" t="s">
        <v>13</v>
      </c>
      <c r="G120" t="s">
        <v>525</v>
      </c>
    </row>
    <row r="121" spans="1:7" x14ac:dyDescent="0.3">
      <c r="A121">
        <v>0</v>
      </c>
      <c r="B121" t="s">
        <v>312</v>
      </c>
      <c r="C121" t="s">
        <v>471</v>
      </c>
      <c r="D121" t="s">
        <v>2</v>
      </c>
      <c r="E121" t="s">
        <v>471</v>
      </c>
      <c r="F121" t="s">
        <v>13</v>
      </c>
      <c r="G121" t="s">
        <v>525</v>
      </c>
    </row>
    <row r="122" spans="1:7" x14ac:dyDescent="0.3">
      <c r="A122">
        <v>0</v>
      </c>
      <c r="B122" t="s">
        <v>319</v>
      </c>
      <c r="C122" t="s">
        <v>421</v>
      </c>
      <c r="D122" t="s">
        <v>2</v>
      </c>
      <c r="E122" t="s">
        <v>421</v>
      </c>
      <c r="F122" t="s">
        <v>13</v>
      </c>
      <c r="G122" t="s">
        <v>525</v>
      </c>
    </row>
    <row r="123" spans="1:7" x14ac:dyDescent="0.3">
      <c r="A123">
        <v>0</v>
      </c>
      <c r="B123" t="s">
        <v>312</v>
      </c>
      <c r="C123" t="s">
        <v>321</v>
      </c>
      <c r="D123" t="s">
        <v>2</v>
      </c>
      <c r="E123" t="s">
        <v>321</v>
      </c>
      <c r="F123" t="s">
        <v>13</v>
      </c>
      <c r="G123" t="s">
        <v>525</v>
      </c>
    </row>
    <row r="124" spans="1:7" x14ac:dyDescent="0.3">
      <c r="A124">
        <v>0</v>
      </c>
      <c r="B124" t="s">
        <v>105</v>
      </c>
      <c r="C124" t="s">
        <v>113</v>
      </c>
      <c r="D124" t="s">
        <v>2</v>
      </c>
      <c r="E124" t="s">
        <v>113</v>
      </c>
      <c r="F124" t="s">
        <v>13</v>
      </c>
      <c r="G124" t="s">
        <v>525</v>
      </c>
    </row>
    <row r="125" spans="1:7" x14ac:dyDescent="0.3">
      <c r="A125">
        <v>0</v>
      </c>
      <c r="B125" t="s">
        <v>312</v>
      </c>
      <c r="C125" t="s">
        <v>348</v>
      </c>
      <c r="D125" t="s">
        <v>2</v>
      </c>
      <c r="E125" t="s">
        <v>348</v>
      </c>
      <c r="F125" t="s">
        <v>13</v>
      </c>
      <c r="G125" t="s">
        <v>525</v>
      </c>
    </row>
    <row r="126" spans="1:7" x14ac:dyDescent="0.3">
      <c r="A126">
        <v>0</v>
      </c>
      <c r="B126" t="s">
        <v>105</v>
      </c>
      <c r="C126" t="s">
        <v>469</v>
      </c>
      <c r="D126" t="s">
        <v>2</v>
      </c>
      <c r="E126" t="s">
        <v>469</v>
      </c>
      <c r="F126" t="s">
        <v>13</v>
      </c>
      <c r="G126" t="s">
        <v>525</v>
      </c>
    </row>
    <row r="127" spans="1:7" x14ac:dyDescent="0.3">
      <c r="A127">
        <v>0</v>
      </c>
      <c r="B127" t="s">
        <v>314</v>
      </c>
      <c r="C127" t="s">
        <v>481</v>
      </c>
      <c r="D127" t="s">
        <v>2</v>
      </c>
      <c r="E127" t="s">
        <v>481</v>
      </c>
      <c r="F127" t="s">
        <v>13</v>
      </c>
      <c r="G127" t="s">
        <v>525</v>
      </c>
    </row>
    <row r="128" spans="1:7" x14ac:dyDescent="0.3">
      <c r="A128">
        <v>0</v>
      </c>
      <c r="B128" t="s">
        <v>312</v>
      </c>
      <c r="C128" t="s">
        <v>398</v>
      </c>
      <c r="D128" t="s">
        <v>2</v>
      </c>
      <c r="E128" t="s">
        <v>398</v>
      </c>
      <c r="F128" t="s">
        <v>13</v>
      </c>
      <c r="G128" t="s">
        <v>525</v>
      </c>
    </row>
    <row r="129" spans="1:7" x14ac:dyDescent="0.3">
      <c r="A129">
        <v>0</v>
      </c>
      <c r="B129" t="s">
        <v>314</v>
      </c>
      <c r="C129" t="s">
        <v>342</v>
      </c>
      <c r="D129" t="s">
        <v>2</v>
      </c>
      <c r="E129" t="s">
        <v>342</v>
      </c>
      <c r="F129" t="s">
        <v>13</v>
      </c>
      <c r="G129" t="s">
        <v>525</v>
      </c>
    </row>
    <row r="130" spans="1:7" x14ac:dyDescent="0.3">
      <c r="A130">
        <v>0</v>
      </c>
      <c r="B130" t="s">
        <v>312</v>
      </c>
      <c r="C130" t="s">
        <v>322</v>
      </c>
      <c r="D130" t="s">
        <v>2</v>
      </c>
      <c r="E130" t="s">
        <v>322</v>
      </c>
      <c r="F130" t="s">
        <v>13</v>
      </c>
      <c r="G130" t="s">
        <v>525</v>
      </c>
    </row>
    <row r="131" spans="1:7" x14ac:dyDescent="0.3">
      <c r="A131">
        <v>0</v>
      </c>
      <c r="B131" t="s">
        <v>314</v>
      </c>
      <c r="C131" t="s">
        <v>409</v>
      </c>
      <c r="D131" t="s">
        <v>2</v>
      </c>
      <c r="E131" t="s">
        <v>409</v>
      </c>
      <c r="F131" t="s">
        <v>13</v>
      </c>
      <c r="G131" t="s">
        <v>525</v>
      </c>
    </row>
    <row r="132" spans="1:7" x14ac:dyDescent="0.3">
      <c r="A132">
        <v>0</v>
      </c>
      <c r="B132" t="s">
        <v>314</v>
      </c>
      <c r="C132" t="s">
        <v>480</v>
      </c>
      <c r="D132" t="s">
        <v>2</v>
      </c>
      <c r="E132" t="s">
        <v>480</v>
      </c>
      <c r="F132" t="s">
        <v>13</v>
      </c>
      <c r="G132" t="s">
        <v>525</v>
      </c>
    </row>
    <row r="133" spans="1:7" x14ac:dyDescent="0.3">
      <c r="A133">
        <v>0</v>
      </c>
      <c r="B133" t="s">
        <v>105</v>
      </c>
      <c r="C133" t="s">
        <v>121</v>
      </c>
      <c r="D133" t="s">
        <v>2</v>
      </c>
      <c r="E133" t="s">
        <v>121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359</v>
      </c>
      <c r="D134" t="s">
        <v>2</v>
      </c>
      <c r="E134" t="s">
        <v>359</v>
      </c>
      <c r="F134" t="s">
        <v>13</v>
      </c>
      <c r="G134" t="s">
        <v>525</v>
      </c>
    </row>
    <row r="135" spans="1:7" x14ac:dyDescent="0.3">
      <c r="A135">
        <v>0</v>
      </c>
      <c r="B135" t="s">
        <v>319</v>
      </c>
      <c r="C135" t="s">
        <v>468</v>
      </c>
      <c r="D135" t="s">
        <v>2</v>
      </c>
      <c r="E135" t="s">
        <v>468</v>
      </c>
      <c r="F135" t="s">
        <v>13</v>
      </c>
      <c r="G135" t="s">
        <v>525</v>
      </c>
    </row>
    <row r="136" spans="1:7" x14ac:dyDescent="0.3">
      <c r="A136">
        <v>0</v>
      </c>
      <c r="B136" t="s">
        <v>319</v>
      </c>
      <c r="C136" t="s">
        <v>458</v>
      </c>
      <c r="D136" t="s">
        <v>2</v>
      </c>
      <c r="E136" t="s">
        <v>458</v>
      </c>
      <c r="F136" t="s">
        <v>13</v>
      </c>
      <c r="G136" t="s">
        <v>525</v>
      </c>
    </row>
    <row r="137" spans="1:7" x14ac:dyDescent="0.3">
      <c r="A137">
        <v>0</v>
      </c>
      <c r="B137" t="s">
        <v>312</v>
      </c>
      <c r="C137" t="s">
        <v>370</v>
      </c>
      <c r="D137" t="s">
        <v>2</v>
      </c>
      <c r="E137" t="s">
        <v>370</v>
      </c>
      <c r="F137" t="s">
        <v>13</v>
      </c>
      <c r="G137" t="s">
        <v>525</v>
      </c>
    </row>
    <row r="138" spans="1:7" x14ac:dyDescent="0.3">
      <c r="A138">
        <v>0</v>
      </c>
      <c r="B138" t="s">
        <v>57</v>
      </c>
      <c r="C138" t="s">
        <v>114</v>
      </c>
      <c r="D138" t="s">
        <v>2</v>
      </c>
      <c r="E138" t="s">
        <v>114</v>
      </c>
      <c r="F138" t="s">
        <v>13</v>
      </c>
      <c r="G138" t="s">
        <v>525</v>
      </c>
    </row>
    <row r="139" spans="1:7" x14ac:dyDescent="0.3">
      <c r="A139">
        <v>0</v>
      </c>
      <c r="B139" t="s">
        <v>319</v>
      </c>
      <c r="C139" t="s">
        <v>404</v>
      </c>
      <c r="D139" t="s">
        <v>2</v>
      </c>
      <c r="E139" t="s">
        <v>404</v>
      </c>
      <c r="F139" t="s">
        <v>13</v>
      </c>
      <c r="G139" t="s">
        <v>525</v>
      </c>
    </row>
    <row r="140" spans="1:7" x14ac:dyDescent="0.3">
      <c r="A140">
        <v>0</v>
      </c>
      <c r="B140" t="s">
        <v>312</v>
      </c>
      <c r="C140" t="s">
        <v>369</v>
      </c>
      <c r="D140" t="s">
        <v>2</v>
      </c>
      <c r="E140" t="s">
        <v>369</v>
      </c>
      <c r="F140" t="s">
        <v>13</v>
      </c>
      <c r="G140" t="s">
        <v>525</v>
      </c>
    </row>
    <row r="141" spans="1:7" x14ac:dyDescent="0.3">
      <c r="A141">
        <v>0</v>
      </c>
      <c r="B141" t="s">
        <v>57</v>
      </c>
      <c r="C141" t="s">
        <v>122</v>
      </c>
      <c r="D141" t="s">
        <v>2</v>
      </c>
      <c r="E141" t="s">
        <v>122</v>
      </c>
      <c r="F141" t="s">
        <v>13</v>
      </c>
      <c r="G141" t="s">
        <v>525</v>
      </c>
    </row>
    <row r="142" spans="1:7" x14ac:dyDescent="0.3">
      <c r="A142">
        <v>0</v>
      </c>
      <c r="B142" t="s">
        <v>319</v>
      </c>
      <c r="C142" t="s">
        <v>390</v>
      </c>
      <c r="D142" t="s">
        <v>2</v>
      </c>
      <c r="E142" t="s">
        <v>390</v>
      </c>
      <c r="F142" t="s">
        <v>13</v>
      </c>
      <c r="G142" t="s">
        <v>525</v>
      </c>
    </row>
    <row r="143" spans="1:7" x14ac:dyDescent="0.3">
      <c r="A143">
        <v>0</v>
      </c>
      <c r="B143" t="s">
        <v>312</v>
      </c>
      <c r="C143" t="s">
        <v>492</v>
      </c>
      <c r="D143" t="s">
        <v>2</v>
      </c>
      <c r="E143" t="s">
        <v>492</v>
      </c>
      <c r="F143" t="s">
        <v>13</v>
      </c>
      <c r="G143" t="s">
        <v>525</v>
      </c>
    </row>
    <row r="144" spans="1:7" x14ac:dyDescent="0.3">
      <c r="A144">
        <v>0</v>
      </c>
      <c r="B144" t="s">
        <v>312</v>
      </c>
      <c r="C144" t="s">
        <v>345</v>
      </c>
      <c r="D144" t="s">
        <v>2</v>
      </c>
      <c r="E144" t="s">
        <v>345</v>
      </c>
      <c r="F144" t="s">
        <v>13</v>
      </c>
      <c r="G144" t="s">
        <v>525</v>
      </c>
    </row>
    <row r="145" spans="1:7" x14ac:dyDescent="0.3">
      <c r="A145">
        <v>0</v>
      </c>
      <c r="B145" t="s">
        <v>314</v>
      </c>
      <c r="C145" t="s">
        <v>374</v>
      </c>
      <c r="D145" t="s">
        <v>2</v>
      </c>
      <c r="E145" t="s">
        <v>374</v>
      </c>
      <c r="F145" t="s">
        <v>13</v>
      </c>
      <c r="G145" t="s">
        <v>525</v>
      </c>
    </row>
    <row r="146" spans="1:7" x14ac:dyDescent="0.3">
      <c r="A146">
        <v>0</v>
      </c>
      <c r="B146" t="s">
        <v>105</v>
      </c>
      <c r="C146" t="s">
        <v>124</v>
      </c>
      <c r="D146" t="s">
        <v>2</v>
      </c>
      <c r="E146" t="s">
        <v>124</v>
      </c>
      <c r="F146" t="s">
        <v>13</v>
      </c>
      <c r="G146" t="s">
        <v>525</v>
      </c>
    </row>
    <row r="147" spans="1:7" x14ac:dyDescent="0.3">
      <c r="A147">
        <v>0</v>
      </c>
      <c r="B147" t="s">
        <v>312</v>
      </c>
      <c r="C147" t="s">
        <v>440</v>
      </c>
      <c r="D147" t="s">
        <v>2</v>
      </c>
      <c r="E147" t="s">
        <v>440</v>
      </c>
      <c r="F147" t="s">
        <v>13</v>
      </c>
      <c r="G147" t="s">
        <v>525</v>
      </c>
    </row>
    <row r="148" spans="1:7" x14ac:dyDescent="0.3">
      <c r="A148">
        <v>0</v>
      </c>
      <c r="B148" t="s">
        <v>312</v>
      </c>
      <c r="C148" t="s">
        <v>316</v>
      </c>
      <c r="D148" t="s">
        <v>2</v>
      </c>
      <c r="E148" t="s">
        <v>316</v>
      </c>
      <c r="F148" t="s">
        <v>13</v>
      </c>
      <c r="G148" t="s">
        <v>525</v>
      </c>
    </row>
    <row r="149" spans="1:7" x14ac:dyDescent="0.3">
      <c r="A149">
        <v>0</v>
      </c>
      <c r="B149" t="s">
        <v>312</v>
      </c>
      <c r="C149" t="s">
        <v>427</v>
      </c>
      <c r="D149" t="s">
        <v>2</v>
      </c>
      <c r="E149" t="s">
        <v>427</v>
      </c>
      <c r="F149" t="s">
        <v>13</v>
      </c>
      <c r="G149" t="s">
        <v>525</v>
      </c>
    </row>
    <row r="150" spans="1:7" x14ac:dyDescent="0.3">
      <c r="A150">
        <v>0</v>
      </c>
      <c r="B150" t="s">
        <v>312</v>
      </c>
      <c r="C150" t="s">
        <v>332</v>
      </c>
      <c r="D150" t="s">
        <v>2</v>
      </c>
      <c r="E150" t="s">
        <v>332</v>
      </c>
      <c r="F150" t="s">
        <v>13</v>
      </c>
      <c r="G150" t="s">
        <v>525</v>
      </c>
    </row>
    <row r="151" spans="1:7" x14ac:dyDescent="0.3">
      <c r="A151">
        <v>0</v>
      </c>
      <c r="B151" t="s">
        <v>312</v>
      </c>
      <c r="C151" t="s">
        <v>336</v>
      </c>
      <c r="D151" t="s">
        <v>2</v>
      </c>
      <c r="E151" t="s">
        <v>336</v>
      </c>
      <c r="F151" t="s">
        <v>13</v>
      </c>
      <c r="G151" t="s">
        <v>525</v>
      </c>
    </row>
    <row r="152" spans="1:7" x14ac:dyDescent="0.3">
      <c r="A152">
        <v>0</v>
      </c>
      <c r="B152" t="s">
        <v>314</v>
      </c>
      <c r="C152" t="s">
        <v>393</v>
      </c>
      <c r="D152" t="s">
        <v>2</v>
      </c>
      <c r="E152" t="s">
        <v>393</v>
      </c>
      <c r="F152" t="s">
        <v>13</v>
      </c>
      <c r="G152" t="s">
        <v>525</v>
      </c>
    </row>
    <row r="153" spans="1:7" x14ac:dyDescent="0.3">
      <c r="A153">
        <v>0</v>
      </c>
      <c r="B153" t="s">
        <v>312</v>
      </c>
      <c r="C153" t="s">
        <v>339</v>
      </c>
      <c r="D153" t="s">
        <v>2</v>
      </c>
      <c r="E153" t="s">
        <v>339</v>
      </c>
      <c r="F153" t="s">
        <v>13</v>
      </c>
      <c r="G153" t="s">
        <v>525</v>
      </c>
    </row>
    <row r="154" spans="1:7" x14ac:dyDescent="0.3">
      <c r="A154">
        <v>0</v>
      </c>
      <c r="B154" t="s">
        <v>312</v>
      </c>
      <c r="C154" t="s">
        <v>400</v>
      </c>
      <c r="D154" t="s">
        <v>2</v>
      </c>
      <c r="E154" t="s">
        <v>400</v>
      </c>
      <c r="F154" t="s">
        <v>13</v>
      </c>
      <c r="G154" t="s">
        <v>525</v>
      </c>
    </row>
    <row r="155" spans="1:7" x14ac:dyDescent="0.3">
      <c r="A155">
        <v>0</v>
      </c>
      <c r="B155" t="s">
        <v>312</v>
      </c>
      <c r="C155" t="s">
        <v>380</v>
      </c>
      <c r="D155" t="s">
        <v>2</v>
      </c>
      <c r="E155" t="s">
        <v>380</v>
      </c>
      <c r="F155" t="s">
        <v>13</v>
      </c>
      <c r="G155" t="s">
        <v>525</v>
      </c>
    </row>
    <row r="156" spans="1:7" x14ac:dyDescent="0.3">
      <c r="A156">
        <v>0</v>
      </c>
      <c r="B156" t="s">
        <v>312</v>
      </c>
      <c r="C156" t="s">
        <v>442</v>
      </c>
      <c r="D156" t="s">
        <v>2</v>
      </c>
      <c r="E156" t="s">
        <v>442</v>
      </c>
      <c r="F156" t="s">
        <v>13</v>
      </c>
      <c r="G156" t="s">
        <v>525</v>
      </c>
    </row>
    <row r="157" spans="1:7" x14ac:dyDescent="0.3">
      <c r="A157">
        <v>0</v>
      </c>
      <c r="B157" t="s">
        <v>314</v>
      </c>
      <c r="C157" t="s">
        <v>349</v>
      </c>
      <c r="D157" t="s">
        <v>2</v>
      </c>
      <c r="E157" t="s">
        <v>349</v>
      </c>
      <c r="F157" t="s">
        <v>13</v>
      </c>
      <c r="G157" t="s">
        <v>525</v>
      </c>
    </row>
    <row r="158" spans="1:7" x14ac:dyDescent="0.3">
      <c r="A158">
        <v>0</v>
      </c>
      <c r="B158" t="s">
        <v>57</v>
      </c>
      <c r="C158" t="s">
        <v>470</v>
      </c>
      <c r="D158" t="s">
        <v>2</v>
      </c>
      <c r="E158" t="s">
        <v>470</v>
      </c>
      <c r="F158" t="s">
        <v>13</v>
      </c>
      <c r="G158" t="s">
        <v>525</v>
      </c>
    </row>
    <row r="159" spans="1:7" x14ac:dyDescent="0.3">
      <c r="A159">
        <v>0</v>
      </c>
      <c r="B159" t="s">
        <v>319</v>
      </c>
      <c r="C159" t="s">
        <v>463</v>
      </c>
      <c r="D159" t="s">
        <v>2</v>
      </c>
      <c r="E159" t="s">
        <v>463</v>
      </c>
      <c r="F159" t="s">
        <v>13</v>
      </c>
      <c r="G159" t="s">
        <v>525</v>
      </c>
    </row>
    <row r="160" spans="1:7" x14ac:dyDescent="0.3">
      <c r="A160">
        <v>0</v>
      </c>
      <c r="B160" t="s">
        <v>314</v>
      </c>
      <c r="C160" t="s">
        <v>343</v>
      </c>
      <c r="D160" t="s">
        <v>2</v>
      </c>
      <c r="E160" t="s">
        <v>343</v>
      </c>
      <c r="F160" t="s">
        <v>13</v>
      </c>
      <c r="G160" t="s">
        <v>525</v>
      </c>
    </row>
    <row r="161" spans="1:7" x14ac:dyDescent="0.3">
      <c r="A161">
        <v>0</v>
      </c>
      <c r="B161" t="s">
        <v>312</v>
      </c>
      <c r="C161" t="s">
        <v>371</v>
      </c>
      <c r="D161" t="s">
        <v>2</v>
      </c>
      <c r="E161" t="s">
        <v>371</v>
      </c>
      <c r="F161" t="s">
        <v>13</v>
      </c>
      <c r="G161" t="s">
        <v>525</v>
      </c>
    </row>
    <row r="162" spans="1:7" x14ac:dyDescent="0.3">
      <c r="A162">
        <v>0</v>
      </c>
      <c r="B162" t="s">
        <v>312</v>
      </c>
      <c r="C162" t="s">
        <v>366</v>
      </c>
      <c r="D162" t="s">
        <v>2</v>
      </c>
      <c r="E162" t="s">
        <v>366</v>
      </c>
      <c r="F162" t="s">
        <v>13</v>
      </c>
      <c r="G162" t="s">
        <v>525</v>
      </c>
    </row>
    <row r="163" spans="1:7" x14ac:dyDescent="0.3">
      <c r="A163">
        <v>0</v>
      </c>
      <c r="B163" t="s">
        <v>312</v>
      </c>
      <c r="C163" t="s">
        <v>384</v>
      </c>
      <c r="D163" t="s">
        <v>2</v>
      </c>
      <c r="E163" t="s">
        <v>384</v>
      </c>
      <c r="F163" t="s">
        <v>13</v>
      </c>
      <c r="G163" t="s">
        <v>525</v>
      </c>
    </row>
    <row r="164" spans="1:7" x14ac:dyDescent="0.3">
      <c r="A164">
        <v>0</v>
      </c>
      <c r="B164" t="s">
        <v>319</v>
      </c>
      <c r="C164" t="s">
        <v>464</v>
      </c>
      <c r="D164" t="s">
        <v>2</v>
      </c>
      <c r="E164" t="s">
        <v>464</v>
      </c>
      <c r="F164" t="s">
        <v>13</v>
      </c>
      <c r="G164" t="s">
        <v>525</v>
      </c>
    </row>
    <row r="165" spans="1:7" x14ac:dyDescent="0.3">
      <c r="A165">
        <v>0</v>
      </c>
      <c r="B165" t="s">
        <v>312</v>
      </c>
      <c r="C165" t="s">
        <v>323</v>
      </c>
      <c r="D165" t="s">
        <v>2</v>
      </c>
      <c r="E165" t="s">
        <v>323</v>
      </c>
      <c r="F165" t="s">
        <v>13</v>
      </c>
      <c r="G165" t="s">
        <v>525</v>
      </c>
    </row>
    <row r="166" spans="1:7" x14ac:dyDescent="0.3">
      <c r="A166">
        <v>0</v>
      </c>
      <c r="B166" t="s">
        <v>314</v>
      </c>
      <c r="C166" t="s">
        <v>414</v>
      </c>
      <c r="D166" t="s">
        <v>2</v>
      </c>
      <c r="E166" t="s">
        <v>414</v>
      </c>
      <c r="F166" t="s">
        <v>13</v>
      </c>
      <c r="G166" t="s">
        <v>525</v>
      </c>
    </row>
    <row r="167" spans="1:7" x14ac:dyDescent="0.3">
      <c r="A167">
        <v>0</v>
      </c>
      <c r="B167" t="s">
        <v>312</v>
      </c>
      <c r="C167" t="s">
        <v>261</v>
      </c>
      <c r="D167" t="s">
        <v>2</v>
      </c>
      <c r="E167" t="s">
        <v>261</v>
      </c>
      <c r="F167" t="s">
        <v>13</v>
      </c>
      <c r="G167" t="s">
        <v>525</v>
      </c>
    </row>
    <row r="168" spans="1:7" x14ac:dyDescent="0.3">
      <c r="A168">
        <v>0</v>
      </c>
      <c r="B168" t="s">
        <v>319</v>
      </c>
      <c r="C168" t="s">
        <v>364</v>
      </c>
      <c r="D168" t="s">
        <v>2</v>
      </c>
      <c r="E168" t="s">
        <v>364</v>
      </c>
      <c r="F168" t="s">
        <v>13</v>
      </c>
      <c r="G168" t="s">
        <v>525</v>
      </c>
    </row>
    <row r="169" spans="1:7" x14ac:dyDescent="0.3">
      <c r="A169">
        <v>0</v>
      </c>
      <c r="B169" t="s">
        <v>312</v>
      </c>
      <c r="C169" t="s">
        <v>373</v>
      </c>
      <c r="D169" t="s">
        <v>2</v>
      </c>
      <c r="E169" t="s">
        <v>373</v>
      </c>
      <c r="F169" t="s">
        <v>13</v>
      </c>
      <c r="G169" t="s">
        <v>525</v>
      </c>
    </row>
    <row r="170" spans="1:7" x14ac:dyDescent="0.3">
      <c r="A170">
        <v>0</v>
      </c>
      <c r="B170" t="s">
        <v>312</v>
      </c>
      <c r="C170" t="s">
        <v>482</v>
      </c>
      <c r="D170" t="s">
        <v>2</v>
      </c>
      <c r="E170" t="s">
        <v>482</v>
      </c>
      <c r="F170" t="s">
        <v>13</v>
      </c>
      <c r="G170" t="s">
        <v>525</v>
      </c>
    </row>
    <row r="171" spans="1:7" x14ac:dyDescent="0.3">
      <c r="A171">
        <v>0</v>
      </c>
      <c r="B171" t="s">
        <v>312</v>
      </c>
      <c r="C171" t="s">
        <v>412</v>
      </c>
      <c r="D171" t="s">
        <v>2</v>
      </c>
      <c r="E171" t="s">
        <v>412</v>
      </c>
      <c r="F171" t="s">
        <v>13</v>
      </c>
      <c r="G171" t="s">
        <v>525</v>
      </c>
    </row>
    <row r="172" spans="1:7" x14ac:dyDescent="0.3">
      <c r="A172">
        <v>0</v>
      </c>
      <c r="B172" t="s">
        <v>312</v>
      </c>
      <c r="C172" t="s">
        <v>434</v>
      </c>
      <c r="D172" t="s">
        <v>2</v>
      </c>
      <c r="E172" t="s">
        <v>434</v>
      </c>
      <c r="F172" t="s">
        <v>13</v>
      </c>
      <c r="G172" t="s">
        <v>525</v>
      </c>
    </row>
    <row r="173" spans="1:7" x14ac:dyDescent="0.3">
      <c r="A173">
        <v>0</v>
      </c>
      <c r="B173" t="s">
        <v>314</v>
      </c>
      <c r="C173" t="s">
        <v>443</v>
      </c>
      <c r="D173" t="s">
        <v>2</v>
      </c>
      <c r="E173" t="s">
        <v>443</v>
      </c>
      <c r="F173" t="s">
        <v>13</v>
      </c>
      <c r="G173" t="s">
        <v>525</v>
      </c>
    </row>
    <row r="174" spans="1:7" x14ac:dyDescent="0.3">
      <c r="A174">
        <v>0</v>
      </c>
      <c r="B174" t="s">
        <v>319</v>
      </c>
      <c r="C174" t="s">
        <v>430</v>
      </c>
      <c r="D174" t="s">
        <v>2</v>
      </c>
      <c r="E174" t="s">
        <v>430</v>
      </c>
      <c r="F174" t="s">
        <v>13</v>
      </c>
      <c r="G174" t="s">
        <v>525</v>
      </c>
    </row>
    <row r="175" spans="1:7" x14ac:dyDescent="0.3">
      <c r="A175">
        <v>0</v>
      </c>
      <c r="B175" t="s">
        <v>314</v>
      </c>
      <c r="C175" t="s">
        <v>408</v>
      </c>
      <c r="D175" t="s">
        <v>2</v>
      </c>
      <c r="E175" t="s">
        <v>408</v>
      </c>
      <c r="F175" t="s">
        <v>13</v>
      </c>
      <c r="G175" t="s">
        <v>525</v>
      </c>
    </row>
    <row r="176" spans="1:7" x14ac:dyDescent="0.3">
      <c r="A176">
        <v>0</v>
      </c>
      <c r="B176" t="s">
        <v>312</v>
      </c>
      <c r="C176" t="s">
        <v>138</v>
      </c>
      <c r="D176" t="s">
        <v>2</v>
      </c>
      <c r="E176" t="s">
        <v>138</v>
      </c>
      <c r="F176" t="s">
        <v>13</v>
      </c>
      <c r="G176" t="s">
        <v>525</v>
      </c>
    </row>
    <row r="177" spans="1:7" x14ac:dyDescent="0.3">
      <c r="A177">
        <v>0</v>
      </c>
      <c r="B177" t="s">
        <v>312</v>
      </c>
      <c r="C177" t="s">
        <v>275</v>
      </c>
      <c r="D177" t="s">
        <v>2</v>
      </c>
      <c r="E177" t="s">
        <v>275</v>
      </c>
      <c r="F177" t="s">
        <v>13</v>
      </c>
      <c r="G177" t="s">
        <v>525</v>
      </c>
    </row>
    <row r="178" spans="1:7" x14ac:dyDescent="0.3">
      <c r="A178">
        <v>0</v>
      </c>
      <c r="B178" t="s">
        <v>312</v>
      </c>
      <c r="C178" t="s">
        <v>337</v>
      </c>
      <c r="D178" t="s">
        <v>2</v>
      </c>
      <c r="E178" t="s">
        <v>337</v>
      </c>
      <c r="F178" t="s">
        <v>13</v>
      </c>
      <c r="G178" t="s">
        <v>525</v>
      </c>
    </row>
    <row r="179" spans="1:7" x14ac:dyDescent="0.3">
      <c r="A179">
        <v>0</v>
      </c>
      <c r="B179" t="s">
        <v>312</v>
      </c>
      <c r="C179" t="s">
        <v>331</v>
      </c>
      <c r="D179" t="s">
        <v>2</v>
      </c>
      <c r="E179" t="s">
        <v>331</v>
      </c>
      <c r="F179" t="s">
        <v>13</v>
      </c>
      <c r="G179" t="s">
        <v>525</v>
      </c>
    </row>
    <row r="180" spans="1:7" x14ac:dyDescent="0.3">
      <c r="A180">
        <v>0</v>
      </c>
      <c r="B180" t="s">
        <v>312</v>
      </c>
      <c r="C180" t="s">
        <v>452</v>
      </c>
      <c r="D180" t="s">
        <v>2</v>
      </c>
      <c r="E180" t="s">
        <v>452</v>
      </c>
      <c r="F180" t="s">
        <v>13</v>
      </c>
      <c r="G180" t="s">
        <v>525</v>
      </c>
    </row>
    <row r="181" spans="1:7" x14ac:dyDescent="0.3">
      <c r="A181">
        <v>0</v>
      </c>
      <c r="B181" t="s">
        <v>319</v>
      </c>
      <c r="C181" t="s">
        <v>477</v>
      </c>
      <c r="D181" t="s">
        <v>2</v>
      </c>
      <c r="E181" t="s">
        <v>477</v>
      </c>
      <c r="F181" t="s">
        <v>13</v>
      </c>
      <c r="G181" t="s">
        <v>525</v>
      </c>
    </row>
    <row r="182" spans="1:7" x14ac:dyDescent="0.3">
      <c r="A182">
        <v>0</v>
      </c>
      <c r="B182" t="s">
        <v>312</v>
      </c>
      <c r="C182" t="s">
        <v>446</v>
      </c>
      <c r="D182" t="s">
        <v>2</v>
      </c>
      <c r="E182" t="s">
        <v>446</v>
      </c>
      <c r="F182" t="s">
        <v>13</v>
      </c>
      <c r="G182" t="s">
        <v>525</v>
      </c>
    </row>
    <row r="183" spans="1:7" x14ac:dyDescent="0.3">
      <c r="A183">
        <v>0</v>
      </c>
      <c r="B183" t="s">
        <v>319</v>
      </c>
      <c r="C183" t="s">
        <v>491</v>
      </c>
      <c r="D183" t="s">
        <v>2</v>
      </c>
      <c r="E183" t="s">
        <v>491</v>
      </c>
      <c r="F183" t="s">
        <v>13</v>
      </c>
      <c r="G183" t="s">
        <v>525</v>
      </c>
    </row>
    <row r="184" spans="1:7" x14ac:dyDescent="0.3">
      <c r="A184">
        <v>0</v>
      </c>
      <c r="B184" t="s">
        <v>312</v>
      </c>
      <c r="C184" t="s">
        <v>326</v>
      </c>
      <c r="D184" t="s">
        <v>2</v>
      </c>
      <c r="E184" t="s">
        <v>326</v>
      </c>
      <c r="F184" t="s">
        <v>13</v>
      </c>
      <c r="G184" t="s">
        <v>525</v>
      </c>
    </row>
    <row r="185" spans="1:7" x14ac:dyDescent="0.3">
      <c r="A185">
        <v>0</v>
      </c>
      <c r="B185" t="s">
        <v>319</v>
      </c>
      <c r="C185" t="s">
        <v>415</v>
      </c>
      <c r="D185" t="s">
        <v>2</v>
      </c>
      <c r="E185" t="s">
        <v>415</v>
      </c>
      <c r="F185" t="s">
        <v>13</v>
      </c>
      <c r="G185" t="s">
        <v>525</v>
      </c>
    </row>
    <row r="186" spans="1:7" x14ac:dyDescent="0.3">
      <c r="A186">
        <v>0</v>
      </c>
      <c r="B186" t="s">
        <v>314</v>
      </c>
      <c r="C186" t="s">
        <v>451</v>
      </c>
      <c r="D186" t="s">
        <v>2</v>
      </c>
      <c r="E186" t="s">
        <v>451</v>
      </c>
      <c r="F186" t="s">
        <v>13</v>
      </c>
      <c r="G186" t="s">
        <v>525</v>
      </c>
    </row>
    <row r="187" spans="1:7" x14ac:dyDescent="0.3">
      <c r="A187">
        <v>0</v>
      </c>
      <c r="B187" t="s">
        <v>314</v>
      </c>
      <c r="C187" t="s">
        <v>448</v>
      </c>
      <c r="D187" t="s">
        <v>2</v>
      </c>
      <c r="E187" t="s">
        <v>448</v>
      </c>
      <c r="F187" t="s">
        <v>13</v>
      </c>
      <c r="G187" t="s">
        <v>525</v>
      </c>
    </row>
    <row r="188" spans="1:7" x14ac:dyDescent="0.3">
      <c r="A188">
        <v>0</v>
      </c>
      <c r="B188" t="s">
        <v>312</v>
      </c>
      <c r="C188" t="s">
        <v>423</v>
      </c>
      <c r="D188" t="s">
        <v>2</v>
      </c>
      <c r="E188" t="s">
        <v>423</v>
      </c>
      <c r="F188" t="s">
        <v>13</v>
      </c>
      <c r="G188" t="s">
        <v>525</v>
      </c>
    </row>
    <row r="189" spans="1:7" x14ac:dyDescent="0.3">
      <c r="A189">
        <v>0</v>
      </c>
      <c r="B189" t="s">
        <v>319</v>
      </c>
      <c r="C189" t="s">
        <v>361</v>
      </c>
      <c r="D189" t="s">
        <v>2</v>
      </c>
      <c r="E189" t="s">
        <v>361</v>
      </c>
      <c r="F189" t="s">
        <v>13</v>
      </c>
      <c r="G189" t="s">
        <v>525</v>
      </c>
    </row>
    <row r="190" spans="1:7" x14ac:dyDescent="0.3">
      <c r="A190">
        <v>0</v>
      </c>
      <c r="B190" t="s">
        <v>314</v>
      </c>
      <c r="C190" t="s">
        <v>467</v>
      </c>
      <c r="D190" t="s">
        <v>2</v>
      </c>
      <c r="E190" t="s">
        <v>467</v>
      </c>
      <c r="F190" t="s">
        <v>13</v>
      </c>
      <c r="G190" t="s">
        <v>525</v>
      </c>
    </row>
    <row r="191" spans="1:7" x14ac:dyDescent="0.3">
      <c r="A191">
        <v>0</v>
      </c>
      <c r="B191" t="s">
        <v>319</v>
      </c>
      <c r="C191" t="s">
        <v>420</v>
      </c>
      <c r="D191" t="s">
        <v>2</v>
      </c>
      <c r="E191" t="s">
        <v>420</v>
      </c>
      <c r="F191" t="s">
        <v>13</v>
      </c>
      <c r="G191" t="s">
        <v>525</v>
      </c>
    </row>
    <row r="192" spans="1:7" x14ac:dyDescent="0.3">
      <c r="A192">
        <v>0</v>
      </c>
      <c r="B192" t="s">
        <v>314</v>
      </c>
      <c r="C192" t="s">
        <v>487</v>
      </c>
      <c r="D192" t="s">
        <v>2</v>
      </c>
      <c r="E192" t="s">
        <v>487</v>
      </c>
      <c r="F192" t="s">
        <v>13</v>
      </c>
      <c r="G192" t="s">
        <v>525</v>
      </c>
    </row>
    <row r="193" spans="1:7" x14ac:dyDescent="0.3">
      <c r="A193">
        <v>0</v>
      </c>
      <c r="B193" t="s">
        <v>312</v>
      </c>
      <c r="C193" t="s">
        <v>149</v>
      </c>
      <c r="D193" t="s">
        <v>2</v>
      </c>
      <c r="E193" t="s">
        <v>149</v>
      </c>
      <c r="F193" t="s">
        <v>13</v>
      </c>
      <c r="G193" t="s">
        <v>525</v>
      </c>
    </row>
    <row r="194" spans="1:7" x14ac:dyDescent="0.3">
      <c r="A194">
        <v>0</v>
      </c>
      <c r="B194" t="s">
        <v>314</v>
      </c>
      <c r="C194" t="s">
        <v>377</v>
      </c>
      <c r="D194" t="s">
        <v>2</v>
      </c>
      <c r="E194" t="s">
        <v>377</v>
      </c>
      <c r="F194" t="s">
        <v>13</v>
      </c>
      <c r="G194" t="s">
        <v>525</v>
      </c>
    </row>
    <row r="195" spans="1:7" x14ac:dyDescent="0.3">
      <c r="A195">
        <v>0</v>
      </c>
      <c r="B195" t="s">
        <v>312</v>
      </c>
      <c r="C195" t="s">
        <v>403</v>
      </c>
      <c r="D195" t="s">
        <v>2</v>
      </c>
      <c r="E195" t="s">
        <v>403</v>
      </c>
      <c r="F195" t="s">
        <v>13</v>
      </c>
      <c r="G195" t="s">
        <v>525</v>
      </c>
    </row>
    <row r="196" spans="1:7" x14ac:dyDescent="0.3">
      <c r="A196">
        <v>0</v>
      </c>
      <c r="B196" t="s">
        <v>312</v>
      </c>
      <c r="C196" t="s">
        <v>387</v>
      </c>
      <c r="D196" t="s">
        <v>2</v>
      </c>
      <c r="E196" t="s">
        <v>387</v>
      </c>
      <c r="F196" t="s">
        <v>13</v>
      </c>
      <c r="G196" t="s">
        <v>525</v>
      </c>
    </row>
    <row r="197" spans="1:7" x14ac:dyDescent="0.3">
      <c r="A197">
        <v>0</v>
      </c>
      <c r="B197" t="s">
        <v>312</v>
      </c>
      <c r="C197" t="s">
        <v>431</v>
      </c>
      <c r="D197" t="s">
        <v>2</v>
      </c>
      <c r="E197" t="s">
        <v>431</v>
      </c>
      <c r="F197" t="s">
        <v>13</v>
      </c>
      <c r="G197" t="s">
        <v>525</v>
      </c>
    </row>
    <row r="198" spans="1:7" x14ac:dyDescent="0.3">
      <c r="A198">
        <v>0</v>
      </c>
      <c r="B198" t="s">
        <v>319</v>
      </c>
      <c r="C198" t="s">
        <v>459</v>
      </c>
      <c r="D198" t="s">
        <v>2</v>
      </c>
      <c r="E198" t="s">
        <v>459</v>
      </c>
      <c r="F198" t="s">
        <v>13</v>
      </c>
      <c r="G198" t="s">
        <v>525</v>
      </c>
    </row>
    <row r="199" spans="1:7" x14ac:dyDescent="0.3">
      <c r="A199">
        <v>0</v>
      </c>
      <c r="B199" t="s">
        <v>314</v>
      </c>
      <c r="C199" t="s">
        <v>376</v>
      </c>
      <c r="D199" t="s">
        <v>2</v>
      </c>
      <c r="E199" t="s">
        <v>376</v>
      </c>
      <c r="F199" t="s">
        <v>13</v>
      </c>
      <c r="G199" t="s">
        <v>525</v>
      </c>
    </row>
    <row r="200" spans="1:7" x14ac:dyDescent="0.3">
      <c r="A200">
        <v>0</v>
      </c>
      <c r="B200" t="s">
        <v>312</v>
      </c>
      <c r="C200" t="s">
        <v>379</v>
      </c>
      <c r="D200" t="s">
        <v>2</v>
      </c>
      <c r="E200" t="s">
        <v>379</v>
      </c>
      <c r="F200" t="s">
        <v>13</v>
      </c>
      <c r="G200" t="s">
        <v>525</v>
      </c>
    </row>
    <row r="201" spans="1:7" x14ac:dyDescent="0.3">
      <c r="A201">
        <v>0</v>
      </c>
      <c r="B201" t="s">
        <v>314</v>
      </c>
      <c r="C201" t="s">
        <v>445</v>
      </c>
      <c r="D201" t="s">
        <v>2</v>
      </c>
      <c r="E201" t="s">
        <v>445</v>
      </c>
      <c r="F201" t="s">
        <v>13</v>
      </c>
      <c r="G201" t="s">
        <v>525</v>
      </c>
    </row>
    <row r="202" spans="1:7" x14ac:dyDescent="0.3">
      <c r="A202">
        <v>0</v>
      </c>
      <c r="B202" t="s">
        <v>319</v>
      </c>
      <c r="C202" t="s">
        <v>460</v>
      </c>
      <c r="D202" t="s">
        <v>2</v>
      </c>
      <c r="E202" t="s">
        <v>460</v>
      </c>
      <c r="F202" t="s">
        <v>13</v>
      </c>
      <c r="G202" t="s">
        <v>525</v>
      </c>
    </row>
    <row r="203" spans="1:7" x14ac:dyDescent="0.3">
      <c r="A203">
        <v>0</v>
      </c>
      <c r="B203" t="s">
        <v>314</v>
      </c>
      <c r="C203" t="s">
        <v>450</v>
      </c>
      <c r="D203" t="s">
        <v>2</v>
      </c>
      <c r="E203" t="s">
        <v>450</v>
      </c>
      <c r="F203" t="s">
        <v>13</v>
      </c>
      <c r="G203" t="s">
        <v>525</v>
      </c>
    </row>
    <row r="204" spans="1:7" x14ac:dyDescent="0.3">
      <c r="A204">
        <v>0</v>
      </c>
      <c r="B204" t="s">
        <v>312</v>
      </c>
      <c r="C204" t="s">
        <v>473</v>
      </c>
      <c r="D204" t="s">
        <v>2</v>
      </c>
      <c r="E204" t="s">
        <v>473</v>
      </c>
      <c r="F204" t="s">
        <v>13</v>
      </c>
      <c r="G204" t="s">
        <v>525</v>
      </c>
    </row>
    <row r="205" spans="1:7" x14ac:dyDescent="0.3">
      <c r="A205">
        <v>0</v>
      </c>
      <c r="B205" t="s">
        <v>314</v>
      </c>
      <c r="C205" t="s">
        <v>313</v>
      </c>
      <c r="D205" t="s">
        <v>2</v>
      </c>
      <c r="E205" t="s">
        <v>313</v>
      </c>
      <c r="F205" t="s">
        <v>13</v>
      </c>
      <c r="G205" t="s">
        <v>525</v>
      </c>
    </row>
    <row r="206" spans="1:7" x14ac:dyDescent="0.3">
      <c r="A206">
        <v>0</v>
      </c>
      <c r="B206" t="s">
        <v>312</v>
      </c>
      <c r="C206" t="s">
        <v>472</v>
      </c>
      <c r="D206" t="s">
        <v>2</v>
      </c>
      <c r="E206" t="s">
        <v>472</v>
      </c>
      <c r="F206" t="s">
        <v>13</v>
      </c>
      <c r="G206" t="s">
        <v>525</v>
      </c>
    </row>
    <row r="207" spans="1:7" x14ac:dyDescent="0.3">
      <c r="A207">
        <v>0</v>
      </c>
      <c r="B207" t="s">
        <v>312</v>
      </c>
      <c r="C207" t="s">
        <v>402</v>
      </c>
      <c r="D207" t="s">
        <v>2</v>
      </c>
      <c r="E207" t="s">
        <v>402</v>
      </c>
      <c r="F207" t="s">
        <v>13</v>
      </c>
      <c r="G207" t="s">
        <v>525</v>
      </c>
    </row>
    <row r="208" spans="1:7" x14ac:dyDescent="0.3">
      <c r="A208">
        <v>0</v>
      </c>
      <c r="B208" t="s">
        <v>314</v>
      </c>
      <c r="C208" t="s">
        <v>455</v>
      </c>
      <c r="D208" t="s">
        <v>2</v>
      </c>
      <c r="E208" t="s">
        <v>455</v>
      </c>
      <c r="F208" t="s">
        <v>13</v>
      </c>
      <c r="G208" t="s">
        <v>525</v>
      </c>
    </row>
    <row r="209" spans="1:7" x14ac:dyDescent="0.3">
      <c r="A209">
        <v>0</v>
      </c>
      <c r="B209" t="s">
        <v>312</v>
      </c>
      <c r="C209" t="s">
        <v>411</v>
      </c>
      <c r="D209" t="s">
        <v>2</v>
      </c>
      <c r="E209" t="s">
        <v>411</v>
      </c>
      <c r="F209" t="s">
        <v>13</v>
      </c>
      <c r="G209" t="s">
        <v>525</v>
      </c>
    </row>
    <row r="210" spans="1:7" x14ac:dyDescent="0.3">
      <c r="A210">
        <v>0</v>
      </c>
      <c r="B210" t="s">
        <v>312</v>
      </c>
      <c r="C210" t="s">
        <v>488</v>
      </c>
      <c r="D210" t="s">
        <v>2</v>
      </c>
      <c r="E210" t="s">
        <v>488</v>
      </c>
      <c r="F210" t="s">
        <v>13</v>
      </c>
      <c r="G210" t="s">
        <v>525</v>
      </c>
    </row>
    <row r="211" spans="1:7" x14ac:dyDescent="0.3">
      <c r="A211">
        <v>0</v>
      </c>
      <c r="B211" t="s">
        <v>319</v>
      </c>
      <c r="C211" t="s">
        <v>462</v>
      </c>
      <c r="D211" t="s">
        <v>2</v>
      </c>
      <c r="E211" t="s">
        <v>462</v>
      </c>
      <c r="F211" t="s">
        <v>13</v>
      </c>
      <c r="G211" t="s">
        <v>525</v>
      </c>
    </row>
    <row r="212" spans="1:7" x14ac:dyDescent="0.3">
      <c r="A212">
        <v>0</v>
      </c>
      <c r="B212" t="s">
        <v>312</v>
      </c>
      <c r="C212" t="s">
        <v>246</v>
      </c>
      <c r="D212" t="s">
        <v>2</v>
      </c>
      <c r="E212" t="s">
        <v>246</v>
      </c>
      <c r="F212" t="s">
        <v>13</v>
      </c>
      <c r="G212" t="s">
        <v>525</v>
      </c>
    </row>
    <row r="213" spans="1:7" x14ac:dyDescent="0.3">
      <c r="A213">
        <v>0</v>
      </c>
      <c r="B213" t="s">
        <v>312</v>
      </c>
      <c r="C213" t="s">
        <v>357</v>
      </c>
      <c r="D213" t="s">
        <v>2</v>
      </c>
      <c r="E213" t="s">
        <v>357</v>
      </c>
      <c r="F213" t="s">
        <v>13</v>
      </c>
      <c r="G213" t="s">
        <v>525</v>
      </c>
    </row>
    <row r="214" spans="1:7" x14ac:dyDescent="0.3">
      <c r="A214">
        <v>0</v>
      </c>
      <c r="B214" t="s">
        <v>314</v>
      </c>
      <c r="C214" t="s">
        <v>341</v>
      </c>
      <c r="D214" t="s">
        <v>2</v>
      </c>
      <c r="E214" t="s">
        <v>341</v>
      </c>
      <c r="F214" t="s">
        <v>13</v>
      </c>
      <c r="G214" t="s">
        <v>525</v>
      </c>
    </row>
    <row r="215" spans="1:7" x14ac:dyDescent="0.3">
      <c r="A215">
        <v>0</v>
      </c>
      <c r="B215" t="s">
        <v>319</v>
      </c>
      <c r="C215" t="s">
        <v>466</v>
      </c>
      <c r="D215" t="s">
        <v>2</v>
      </c>
      <c r="E215" t="s">
        <v>466</v>
      </c>
      <c r="F215" t="s">
        <v>13</v>
      </c>
      <c r="G215" t="s">
        <v>525</v>
      </c>
    </row>
    <row r="216" spans="1:7" x14ac:dyDescent="0.3">
      <c r="A216">
        <v>0</v>
      </c>
      <c r="B216" t="s">
        <v>319</v>
      </c>
      <c r="C216" t="s">
        <v>362</v>
      </c>
      <c r="D216" t="s">
        <v>2</v>
      </c>
      <c r="E216" t="s">
        <v>362</v>
      </c>
      <c r="F216" t="s">
        <v>13</v>
      </c>
      <c r="G216" t="s">
        <v>525</v>
      </c>
    </row>
    <row r="217" spans="1:7" x14ac:dyDescent="0.3">
      <c r="A217">
        <v>0</v>
      </c>
      <c r="B217" t="s">
        <v>312</v>
      </c>
      <c r="C217" t="s">
        <v>433</v>
      </c>
      <c r="D217" t="s">
        <v>2</v>
      </c>
      <c r="E217" t="s">
        <v>433</v>
      </c>
      <c r="F217" t="s">
        <v>13</v>
      </c>
      <c r="G217" t="s">
        <v>525</v>
      </c>
    </row>
    <row r="218" spans="1:7" x14ac:dyDescent="0.3">
      <c r="A218">
        <v>0</v>
      </c>
      <c r="B218" t="s">
        <v>312</v>
      </c>
      <c r="C218" t="s">
        <v>397</v>
      </c>
      <c r="D218" t="s">
        <v>2</v>
      </c>
      <c r="E218" t="s">
        <v>397</v>
      </c>
      <c r="F218" t="s">
        <v>13</v>
      </c>
      <c r="G218" t="s">
        <v>525</v>
      </c>
    </row>
    <row r="219" spans="1:7" x14ac:dyDescent="0.3">
      <c r="A219">
        <v>0</v>
      </c>
      <c r="B219" t="s">
        <v>319</v>
      </c>
      <c r="C219" t="s">
        <v>378</v>
      </c>
      <c r="D219" t="s">
        <v>2</v>
      </c>
      <c r="E219" t="s">
        <v>378</v>
      </c>
      <c r="F219" t="s">
        <v>13</v>
      </c>
      <c r="G219" t="s">
        <v>525</v>
      </c>
    </row>
    <row r="220" spans="1:7" x14ac:dyDescent="0.3">
      <c r="A220">
        <v>0</v>
      </c>
      <c r="B220" t="s">
        <v>105</v>
      </c>
      <c r="C220" t="s">
        <v>117</v>
      </c>
      <c r="D220" t="s">
        <v>2</v>
      </c>
      <c r="E220" t="s">
        <v>117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476</v>
      </c>
      <c r="D221" t="s">
        <v>2</v>
      </c>
      <c r="E221" t="s">
        <v>476</v>
      </c>
      <c r="F221" t="s">
        <v>13</v>
      </c>
      <c r="G221" t="s">
        <v>525</v>
      </c>
    </row>
    <row r="222" spans="1:7" x14ac:dyDescent="0.3">
      <c r="A222">
        <v>0</v>
      </c>
      <c r="B222" t="s">
        <v>319</v>
      </c>
      <c r="C222" t="s">
        <v>478</v>
      </c>
      <c r="D222" t="s">
        <v>2</v>
      </c>
      <c r="E222" t="s">
        <v>478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367</v>
      </c>
      <c r="D223" t="s">
        <v>2</v>
      </c>
      <c r="E223" t="s">
        <v>367</v>
      </c>
      <c r="F223" t="s">
        <v>13</v>
      </c>
      <c r="G223" t="s">
        <v>525</v>
      </c>
    </row>
    <row r="224" spans="1:7" x14ac:dyDescent="0.3">
      <c r="A224">
        <v>0</v>
      </c>
      <c r="B224" t="s">
        <v>312</v>
      </c>
      <c r="C224" t="s">
        <v>346</v>
      </c>
      <c r="D224" t="s">
        <v>2</v>
      </c>
      <c r="E224" t="s">
        <v>346</v>
      </c>
      <c r="F224" t="s">
        <v>13</v>
      </c>
      <c r="G224" t="s">
        <v>525</v>
      </c>
    </row>
    <row r="225" spans="1:7" x14ac:dyDescent="0.3">
      <c r="A225">
        <v>0</v>
      </c>
      <c r="B225" t="s">
        <v>105</v>
      </c>
      <c r="C225" t="s">
        <v>119</v>
      </c>
      <c r="D225" t="s">
        <v>2</v>
      </c>
      <c r="E225" t="s">
        <v>119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385</v>
      </c>
      <c r="D226" t="s">
        <v>2</v>
      </c>
      <c r="E226" t="s">
        <v>385</v>
      </c>
      <c r="F226" t="s">
        <v>13</v>
      </c>
      <c r="G226" t="s">
        <v>525</v>
      </c>
    </row>
    <row r="227" spans="1:7" x14ac:dyDescent="0.3">
      <c r="A227">
        <v>0</v>
      </c>
      <c r="B227" t="s">
        <v>57</v>
      </c>
      <c r="C227" t="s">
        <v>120</v>
      </c>
      <c r="D227" t="s">
        <v>2</v>
      </c>
      <c r="E227" t="s">
        <v>120</v>
      </c>
      <c r="F227" t="s">
        <v>13</v>
      </c>
      <c r="G227" t="s">
        <v>525</v>
      </c>
    </row>
    <row r="228" spans="1:7" x14ac:dyDescent="0.3">
      <c r="A228">
        <v>0</v>
      </c>
      <c r="B228" t="s">
        <v>312</v>
      </c>
      <c r="C228" t="s">
        <v>324</v>
      </c>
      <c r="D228" t="s">
        <v>2</v>
      </c>
      <c r="E228" t="s">
        <v>324</v>
      </c>
      <c r="F228" t="s">
        <v>13</v>
      </c>
      <c r="G228" t="s">
        <v>525</v>
      </c>
    </row>
    <row r="229" spans="1:7" x14ac:dyDescent="0.3">
      <c r="A229">
        <v>0</v>
      </c>
      <c r="B229" t="s">
        <v>312</v>
      </c>
      <c r="C229" t="s">
        <v>327</v>
      </c>
      <c r="D229" t="s">
        <v>2</v>
      </c>
      <c r="E229" t="s">
        <v>327</v>
      </c>
      <c r="F229" t="s">
        <v>13</v>
      </c>
      <c r="G229" t="s">
        <v>525</v>
      </c>
    </row>
    <row r="230" spans="1:7" x14ac:dyDescent="0.3">
      <c r="A230">
        <v>0</v>
      </c>
      <c r="B230" t="s">
        <v>314</v>
      </c>
      <c r="C230" t="s">
        <v>441</v>
      </c>
      <c r="D230" t="s">
        <v>2</v>
      </c>
      <c r="E230" t="s">
        <v>441</v>
      </c>
      <c r="F230" t="s">
        <v>13</v>
      </c>
      <c r="G230" t="s">
        <v>525</v>
      </c>
    </row>
    <row r="231" spans="1:7" x14ac:dyDescent="0.3">
      <c r="A231">
        <v>0</v>
      </c>
      <c r="B231" t="s">
        <v>105</v>
      </c>
      <c r="C231" t="s">
        <v>115</v>
      </c>
      <c r="D231" t="s">
        <v>2</v>
      </c>
      <c r="E231" t="s">
        <v>115</v>
      </c>
      <c r="F231" t="s">
        <v>13</v>
      </c>
      <c r="G231" t="s">
        <v>525</v>
      </c>
    </row>
    <row r="232" spans="1:7" x14ac:dyDescent="0.3">
      <c r="A232">
        <v>0</v>
      </c>
      <c r="B232" t="s">
        <v>312</v>
      </c>
      <c r="C232" t="s">
        <v>484</v>
      </c>
      <c r="D232" t="s">
        <v>2</v>
      </c>
      <c r="E232" t="s">
        <v>484</v>
      </c>
      <c r="F232" t="s">
        <v>13</v>
      </c>
      <c r="G232" t="s">
        <v>525</v>
      </c>
    </row>
    <row r="233" spans="1:7" x14ac:dyDescent="0.3">
      <c r="A233">
        <v>0</v>
      </c>
      <c r="B233" t="s">
        <v>312</v>
      </c>
      <c r="C233" t="s">
        <v>311</v>
      </c>
      <c r="D233" t="s">
        <v>2</v>
      </c>
      <c r="E233" t="s">
        <v>311</v>
      </c>
      <c r="F233" t="s">
        <v>13</v>
      </c>
      <c r="G233" t="s">
        <v>525</v>
      </c>
    </row>
    <row r="234" spans="1:7" x14ac:dyDescent="0.3">
      <c r="A234">
        <v>0</v>
      </c>
      <c r="B234" t="s">
        <v>312</v>
      </c>
      <c r="C234" t="s">
        <v>365</v>
      </c>
      <c r="D234" t="s">
        <v>2</v>
      </c>
      <c r="E234" t="s">
        <v>365</v>
      </c>
      <c r="F234" t="s">
        <v>13</v>
      </c>
      <c r="G234" t="s">
        <v>525</v>
      </c>
    </row>
    <row r="235" spans="1:7" x14ac:dyDescent="0.3">
      <c r="A235">
        <v>0</v>
      </c>
      <c r="B235" t="s">
        <v>314</v>
      </c>
      <c r="C235" t="s">
        <v>350</v>
      </c>
      <c r="D235" t="s">
        <v>2</v>
      </c>
      <c r="E235" t="s">
        <v>350</v>
      </c>
      <c r="F235" t="s">
        <v>13</v>
      </c>
      <c r="G235" t="s">
        <v>525</v>
      </c>
    </row>
    <row r="236" spans="1:7" x14ac:dyDescent="0.3">
      <c r="A236">
        <v>0</v>
      </c>
      <c r="B236" t="s">
        <v>105</v>
      </c>
      <c r="C236" t="s">
        <v>123</v>
      </c>
      <c r="D236" t="s">
        <v>2</v>
      </c>
      <c r="E236" t="s">
        <v>123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396</v>
      </c>
      <c r="D237" t="s">
        <v>2</v>
      </c>
      <c r="E237" t="s">
        <v>396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428</v>
      </c>
      <c r="D238" t="s">
        <v>2</v>
      </c>
      <c r="E238" t="s">
        <v>428</v>
      </c>
      <c r="F238" t="s">
        <v>13</v>
      </c>
      <c r="G238" t="s">
        <v>525</v>
      </c>
    </row>
    <row r="239" spans="1:7" x14ac:dyDescent="0.3">
      <c r="A239">
        <v>0</v>
      </c>
      <c r="B239" t="s">
        <v>312</v>
      </c>
      <c r="C239" t="s">
        <v>383</v>
      </c>
      <c r="D239" t="s">
        <v>2</v>
      </c>
      <c r="E239" t="s">
        <v>383</v>
      </c>
      <c r="F239" t="s">
        <v>13</v>
      </c>
      <c r="G239" t="s">
        <v>525</v>
      </c>
    </row>
    <row r="240" spans="1:7" x14ac:dyDescent="0.3">
      <c r="A240">
        <v>0</v>
      </c>
      <c r="B240" t="s">
        <v>312</v>
      </c>
      <c r="C240" t="s">
        <v>426</v>
      </c>
      <c r="D240" t="s">
        <v>2</v>
      </c>
      <c r="E240" t="s">
        <v>426</v>
      </c>
      <c r="F240" t="s">
        <v>13</v>
      </c>
      <c r="G240" t="s">
        <v>525</v>
      </c>
    </row>
    <row r="241" spans="1:7" x14ac:dyDescent="0.3">
      <c r="A241">
        <v>0</v>
      </c>
      <c r="B241" t="s">
        <v>312</v>
      </c>
      <c r="C241" t="s">
        <v>437</v>
      </c>
      <c r="D241" t="s">
        <v>2</v>
      </c>
      <c r="E241" t="s">
        <v>437</v>
      </c>
      <c r="F241" t="s">
        <v>13</v>
      </c>
      <c r="G241" t="s">
        <v>525</v>
      </c>
    </row>
    <row r="242" spans="1:7" x14ac:dyDescent="0.3">
      <c r="A242">
        <v>0</v>
      </c>
      <c r="B242" t="s">
        <v>312</v>
      </c>
      <c r="C242" t="s">
        <v>454</v>
      </c>
      <c r="D242" t="s">
        <v>2</v>
      </c>
      <c r="E242" t="s">
        <v>454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425</v>
      </c>
      <c r="D243" t="s">
        <v>2</v>
      </c>
      <c r="E243" t="s">
        <v>425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344</v>
      </c>
      <c r="D244" t="s">
        <v>2</v>
      </c>
      <c r="E244" t="s">
        <v>344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t="s">
        <v>407</v>
      </c>
      <c r="D245" t="s">
        <v>2</v>
      </c>
      <c r="E245" t="s">
        <v>407</v>
      </c>
      <c r="F245" t="s">
        <v>13</v>
      </c>
      <c r="G245" t="s">
        <v>525</v>
      </c>
    </row>
    <row r="246" spans="1:7" x14ac:dyDescent="0.3">
      <c r="A246">
        <v>0</v>
      </c>
      <c r="B246" t="s">
        <v>314</v>
      </c>
      <c r="C246" t="s">
        <v>413</v>
      </c>
      <c r="D246" t="s">
        <v>2</v>
      </c>
      <c r="E246" t="s">
        <v>413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392</v>
      </c>
      <c r="D247" t="s">
        <v>2</v>
      </c>
      <c r="E247" t="s">
        <v>392</v>
      </c>
      <c r="F247" t="s">
        <v>13</v>
      </c>
      <c r="G247" t="s">
        <v>525</v>
      </c>
    </row>
    <row r="248" spans="1:7" x14ac:dyDescent="0.3">
      <c r="A248">
        <v>0</v>
      </c>
      <c r="B248" t="s">
        <v>319</v>
      </c>
      <c r="C248" t="s">
        <v>422</v>
      </c>
      <c r="D248" t="s">
        <v>2</v>
      </c>
      <c r="E248" t="s">
        <v>422</v>
      </c>
      <c r="F248" t="s">
        <v>13</v>
      </c>
      <c r="G248" t="s">
        <v>525</v>
      </c>
    </row>
    <row r="249" spans="1:7" x14ac:dyDescent="0.3">
      <c r="A249">
        <v>0</v>
      </c>
      <c r="B249" t="s">
        <v>314</v>
      </c>
      <c r="C249" t="s">
        <v>495</v>
      </c>
      <c r="D249" t="s">
        <v>494</v>
      </c>
      <c r="E249" t="s">
        <v>495</v>
      </c>
      <c r="F249" t="s">
        <v>13</v>
      </c>
      <c r="G249" t="s">
        <v>525</v>
      </c>
    </row>
    <row r="250" spans="1:7" x14ac:dyDescent="0.3">
      <c r="A250">
        <v>0</v>
      </c>
      <c r="B250" t="s">
        <v>314</v>
      </c>
      <c r="C250" t="s">
        <v>497</v>
      </c>
      <c r="D250" t="s">
        <v>494</v>
      </c>
      <c r="E250" t="s">
        <v>497</v>
      </c>
      <c r="F250" t="s">
        <v>13</v>
      </c>
      <c r="G250" t="s">
        <v>525</v>
      </c>
    </row>
    <row r="251" spans="1:7" x14ac:dyDescent="0.3">
      <c r="A251">
        <v>0</v>
      </c>
      <c r="B251" t="s">
        <v>314</v>
      </c>
      <c r="C251" t="s">
        <v>496</v>
      </c>
      <c r="D251" t="s">
        <v>494</v>
      </c>
      <c r="E251" t="s">
        <v>496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513</v>
      </c>
      <c r="D252" t="s">
        <v>498</v>
      </c>
      <c r="E252" t="s">
        <v>513</v>
      </c>
      <c r="F252" t="s">
        <v>13</v>
      </c>
      <c r="G252" t="s">
        <v>525</v>
      </c>
    </row>
    <row r="253" spans="1:7" x14ac:dyDescent="0.3">
      <c r="A253">
        <v>0</v>
      </c>
      <c r="B253" t="s">
        <v>312</v>
      </c>
      <c r="C253" t="s">
        <v>515</v>
      </c>
      <c r="D253" t="s">
        <v>498</v>
      </c>
      <c r="E253" t="s">
        <v>515</v>
      </c>
      <c r="F253" t="s">
        <v>13</v>
      </c>
      <c r="G253" t="s">
        <v>525</v>
      </c>
    </row>
    <row r="254" spans="1:7" x14ac:dyDescent="0.3">
      <c r="A254">
        <v>0</v>
      </c>
      <c r="B254" t="s">
        <v>312</v>
      </c>
      <c r="C254" t="s">
        <v>509</v>
      </c>
      <c r="D254" t="s">
        <v>498</v>
      </c>
      <c r="E254" t="s">
        <v>509</v>
      </c>
      <c r="F254" t="s">
        <v>13</v>
      </c>
      <c r="G254" t="s">
        <v>525</v>
      </c>
    </row>
    <row r="255" spans="1:7" x14ac:dyDescent="0.3">
      <c r="A255">
        <v>0</v>
      </c>
      <c r="B255" t="s">
        <v>312</v>
      </c>
      <c r="C255" t="s">
        <v>502</v>
      </c>
      <c r="D255" t="s">
        <v>498</v>
      </c>
      <c r="E255" t="s">
        <v>502</v>
      </c>
      <c r="F255" t="s">
        <v>13</v>
      </c>
      <c r="G255" t="s">
        <v>525</v>
      </c>
    </row>
    <row r="256" spans="1:7" x14ac:dyDescent="0.3">
      <c r="A256">
        <v>0</v>
      </c>
      <c r="B256" t="s">
        <v>312</v>
      </c>
      <c r="C256" t="s">
        <v>500</v>
      </c>
      <c r="D256" t="s">
        <v>498</v>
      </c>
      <c r="E256" t="s">
        <v>500</v>
      </c>
      <c r="F256" t="s">
        <v>13</v>
      </c>
      <c r="G256" t="s">
        <v>525</v>
      </c>
    </row>
    <row r="257" spans="1:7" x14ac:dyDescent="0.3">
      <c r="A257">
        <v>0</v>
      </c>
      <c r="B257" t="s">
        <v>507</v>
      </c>
      <c r="C257" t="s">
        <v>506</v>
      </c>
      <c r="D257" t="s">
        <v>498</v>
      </c>
      <c r="E257" t="s">
        <v>506</v>
      </c>
      <c r="F257" t="s">
        <v>13</v>
      </c>
      <c r="G257" t="s">
        <v>525</v>
      </c>
    </row>
    <row r="258" spans="1:7" x14ac:dyDescent="0.3">
      <c r="A258">
        <v>0</v>
      </c>
      <c r="B258" t="s">
        <v>312</v>
      </c>
      <c r="C258" t="s">
        <v>514</v>
      </c>
      <c r="D258" t="s">
        <v>498</v>
      </c>
      <c r="E258" t="s">
        <v>514</v>
      </c>
      <c r="F258" t="s">
        <v>13</v>
      </c>
      <c r="G258" t="s">
        <v>525</v>
      </c>
    </row>
    <row r="259" spans="1:7" x14ac:dyDescent="0.3">
      <c r="A259">
        <v>0</v>
      </c>
      <c r="B259" t="s">
        <v>312</v>
      </c>
      <c r="C259" t="s">
        <v>499</v>
      </c>
      <c r="D259" t="s">
        <v>498</v>
      </c>
      <c r="E259" t="s">
        <v>499</v>
      </c>
      <c r="F259" t="s">
        <v>13</v>
      </c>
      <c r="G259" t="s">
        <v>525</v>
      </c>
    </row>
    <row r="260" spans="1:7" x14ac:dyDescent="0.3">
      <c r="A260">
        <v>0</v>
      </c>
      <c r="B260" t="s">
        <v>312</v>
      </c>
      <c r="C260" t="s">
        <v>508</v>
      </c>
      <c r="D260" t="s">
        <v>498</v>
      </c>
      <c r="E260" t="s">
        <v>508</v>
      </c>
      <c r="F260" t="s">
        <v>13</v>
      </c>
      <c r="G260" t="s">
        <v>525</v>
      </c>
    </row>
    <row r="261" spans="1:7" x14ac:dyDescent="0.3">
      <c r="A261">
        <v>0</v>
      </c>
      <c r="B261" t="s">
        <v>312</v>
      </c>
      <c r="C261" t="s">
        <v>519</v>
      </c>
      <c r="D261" t="s">
        <v>498</v>
      </c>
      <c r="E261" t="s">
        <v>519</v>
      </c>
      <c r="F261" t="s">
        <v>13</v>
      </c>
      <c r="G261" t="s">
        <v>525</v>
      </c>
    </row>
    <row r="262" spans="1:7" x14ac:dyDescent="0.3">
      <c r="A262">
        <v>0</v>
      </c>
      <c r="B262" t="s">
        <v>312</v>
      </c>
      <c r="C262" t="s">
        <v>510</v>
      </c>
      <c r="D262" t="s">
        <v>498</v>
      </c>
      <c r="E262" t="s">
        <v>510</v>
      </c>
      <c r="F262" t="s">
        <v>13</v>
      </c>
      <c r="G262" t="s">
        <v>525</v>
      </c>
    </row>
    <row r="263" spans="1:7" x14ac:dyDescent="0.3">
      <c r="A263">
        <v>0</v>
      </c>
      <c r="B263" t="s">
        <v>312</v>
      </c>
      <c r="C263" t="s">
        <v>521</v>
      </c>
      <c r="D263" t="s">
        <v>498</v>
      </c>
      <c r="E263" t="s">
        <v>521</v>
      </c>
      <c r="F263" t="s">
        <v>13</v>
      </c>
      <c r="G263" t="s">
        <v>525</v>
      </c>
    </row>
    <row r="264" spans="1:7" x14ac:dyDescent="0.3">
      <c r="A264">
        <v>0</v>
      </c>
      <c r="B264" t="s">
        <v>312</v>
      </c>
      <c r="C264" t="s">
        <v>501</v>
      </c>
      <c r="D264" t="s">
        <v>498</v>
      </c>
      <c r="E264" t="s">
        <v>501</v>
      </c>
      <c r="F264" t="s">
        <v>13</v>
      </c>
      <c r="G264" t="s">
        <v>525</v>
      </c>
    </row>
    <row r="265" spans="1:7" x14ac:dyDescent="0.3">
      <c r="A265">
        <v>0</v>
      </c>
      <c r="B265" t="s">
        <v>312</v>
      </c>
      <c r="C265" t="s">
        <v>504</v>
      </c>
      <c r="D265" t="s">
        <v>498</v>
      </c>
      <c r="E265" t="s">
        <v>504</v>
      </c>
      <c r="F265" t="s">
        <v>13</v>
      </c>
      <c r="G265" t="s">
        <v>525</v>
      </c>
    </row>
    <row r="266" spans="1:7" x14ac:dyDescent="0.3">
      <c r="A266">
        <v>0</v>
      </c>
      <c r="B266" t="s">
        <v>312</v>
      </c>
      <c r="C266" t="s">
        <v>520</v>
      </c>
      <c r="D266" t="s">
        <v>498</v>
      </c>
      <c r="E266" t="s">
        <v>520</v>
      </c>
      <c r="F266" t="s">
        <v>13</v>
      </c>
      <c r="G266" t="s">
        <v>525</v>
      </c>
    </row>
    <row r="267" spans="1:7" x14ac:dyDescent="0.3">
      <c r="A267">
        <v>0</v>
      </c>
      <c r="B267" t="s">
        <v>312</v>
      </c>
      <c r="C267" t="s">
        <v>523</v>
      </c>
      <c r="D267" t="s">
        <v>498</v>
      </c>
      <c r="E267" t="s">
        <v>523</v>
      </c>
      <c r="F267" t="s">
        <v>13</v>
      </c>
      <c r="G267" t="s">
        <v>525</v>
      </c>
    </row>
    <row r="268" spans="1:7" x14ac:dyDescent="0.3">
      <c r="A268">
        <v>0</v>
      </c>
      <c r="B268" t="s">
        <v>312</v>
      </c>
      <c r="C268" t="s">
        <v>503</v>
      </c>
      <c r="D268" t="s">
        <v>498</v>
      </c>
      <c r="E268" t="s">
        <v>503</v>
      </c>
      <c r="F268" t="s">
        <v>13</v>
      </c>
      <c r="G268" t="s">
        <v>525</v>
      </c>
    </row>
    <row r="269" spans="1:7" x14ac:dyDescent="0.3">
      <c r="A269">
        <v>0</v>
      </c>
      <c r="B269" t="s">
        <v>312</v>
      </c>
      <c r="C269" t="s">
        <v>512</v>
      </c>
      <c r="D269" t="s">
        <v>498</v>
      </c>
      <c r="E269" t="s">
        <v>512</v>
      </c>
      <c r="F269" t="s">
        <v>13</v>
      </c>
      <c r="G269" t="s">
        <v>525</v>
      </c>
    </row>
    <row r="270" spans="1:7" x14ac:dyDescent="0.3">
      <c r="A270">
        <v>0</v>
      </c>
      <c r="B270" t="s">
        <v>312</v>
      </c>
      <c r="C270" t="s">
        <v>505</v>
      </c>
      <c r="D270" t="s">
        <v>498</v>
      </c>
      <c r="E270" t="s">
        <v>505</v>
      </c>
      <c r="F270" t="s">
        <v>13</v>
      </c>
      <c r="G270" t="s">
        <v>525</v>
      </c>
    </row>
    <row r="271" spans="1:7" x14ac:dyDescent="0.3">
      <c r="A271">
        <v>0</v>
      </c>
      <c r="B271" t="s">
        <v>312</v>
      </c>
      <c r="C271" t="s">
        <v>518</v>
      </c>
      <c r="D271" t="s">
        <v>498</v>
      </c>
      <c r="E271" t="s">
        <v>518</v>
      </c>
      <c r="F271" t="s">
        <v>13</v>
      </c>
      <c r="G271" t="s">
        <v>525</v>
      </c>
    </row>
    <row r="272" spans="1:7" x14ac:dyDescent="0.3">
      <c r="A272">
        <v>0</v>
      </c>
      <c r="B272" t="s">
        <v>312</v>
      </c>
      <c r="C272" t="s">
        <v>522</v>
      </c>
      <c r="D272" t="s">
        <v>498</v>
      </c>
      <c r="E272" t="s">
        <v>522</v>
      </c>
      <c r="F272" t="s">
        <v>13</v>
      </c>
      <c r="G272" t="s">
        <v>525</v>
      </c>
    </row>
    <row r="273" spans="1:7" x14ac:dyDescent="0.3">
      <c r="A273">
        <v>0</v>
      </c>
      <c r="B273" t="s">
        <v>312</v>
      </c>
      <c r="C273" t="s">
        <v>516</v>
      </c>
      <c r="D273" t="s">
        <v>498</v>
      </c>
      <c r="E273" t="s">
        <v>516</v>
      </c>
      <c r="F273" t="s">
        <v>13</v>
      </c>
      <c r="G273" t="s">
        <v>525</v>
      </c>
    </row>
    <row r="274" spans="1:7" x14ac:dyDescent="0.3">
      <c r="A274">
        <v>0</v>
      </c>
      <c r="B274" t="s">
        <v>312</v>
      </c>
      <c r="C274" t="s">
        <v>517</v>
      </c>
      <c r="D274" t="s">
        <v>498</v>
      </c>
      <c r="E274" t="s">
        <v>517</v>
      </c>
      <c r="F274" t="s">
        <v>13</v>
      </c>
      <c r="G274" t="s">
        <v>525</v>
      </c>
    </row>
    <row r="275" spans="1:7" x14ac:dyDescent="0.3">
      <c r="A275">
        <v>0</v>
      </c>
      <c r="B275" t="s">
        <v>16</v>
      </c>
      <c r="C275" s="2" t="s">
        <v>22</v>
      </c>
      <c r="D275" t="s">
        <v>2</v>
      </c>
      <c r="E275" s="2" t="s">
        <v>22</v>
      </c>
      <c r="F275" t="s">
        <v>13</v>
      </c>
      <c r="G275" t="s">
        <v>525</v>
      </c>
    </row>
    <row r="276" spans="1:7" x14ac:dyDescent="0.3">
      <c r="A276">
        <v>0</v>
      </c>
      <c r="B276" t="s">
        <v>16</v>
      </c>
      <c r="C276" s="2" t="s">
        <v>49</v>
      </c>
      <c r="D276" t="s">
        <v>2</v>
      </c>
      <c r="E276" s="2" t="s">
        <v>49</v>
      </c>
      <c r="F276" t="s">
        <v>13</v>
      </c>
      <c r="G276" t="s">
        <v>525</v>
      </c>
    </row>
    <row r="277" spans="1:7" x14ac:dyDescent="0.3">
      <c r="A277">
        <v>0</v>
      </c>
      <c r="B277" t="s">
        <v>312</v>
      </c>
      <c r="C277" s="2" t="s">
        <v>55</v>
      </c>
      <c r="D277" t="s">
        <v>2</v>
      </c>
      <c r="E277" s="2" t="s">
        <v>55</v>
      </c>
      <c r="F277" t="s">
        <v>13</v>
      </c>
      <c r="G277" t="s">
        <v>525</v>
      </c>
    </row>
    <row r="278" spans="1:7" x14ac:dyDescent="0.3">
      <c r="A278">
        <v>0</v>
      </c>
      <c r="B278" t="s">
        <v>312</v>
      </c>
      <c r="C278" t="s">
        <v>59</v>
      </c>
      <c r="D278" t="s">
        <v>2</v>
      </c>
      <c r="E278" t="s">
        <v>59</v>
      </c>
      <c r="F278" t="s">
        <v>13</v>
      </c>
      <c r="G278" t="s">
        <v>525</v>
      </c>
    </row>
    <row r="279" spans="1:7" x14ac:dyDescent="0.3">
      <c r="A279">
        <v>0</v>
      </c>
      <c r="B279" t="s">
        <v>16</v>
      </c>
      <c r="C279" s="2" t="s">
        <v>61</v>
      </c>
      <c r="D279" t="s">
        <v>2</v>
      </c>
      <c r="E279" s="2" t="s">
        <v>61</v>
      </c>
      <c r="F279" t="s">
        <v>13</v>
      </c>
      <c r="G279" t="s">
        <v>525</v>
      </c>
    </row>
    <row r="280" spans="1:7" x14ac:dyDescent="0.3">
      <c r="A280">
        <v>0</v>
      </c>
      <c r="B280" t="s">
        <v>312</v>
      </c>
      <c r="C280" s="2" t="s">
        <v>67</v>
      </c>
      <c r="D280" t="s">
        <v>2</v>
      </c>
      <c r="E280" s="2" t="s">
        <v>67</v>
      </c>
      <c r="F280" t="s">
        <v>13</v>
      </c>
      <c r="G280" t="s">
        <v>525</v>
      </c>
    </row>
    <row r="281" spans="1:7" x14ac:dyDescent="0.3">
      <c r="A281">
        <v>0</v>
      </c>
      <c r="B281" t="s">
        <v>312</v>
      </c>
      <c r="C281" t="s">
        <v>73</v>
      </c>
      <c r="D281" t="s">
        <v>2</v>
      </c>
      <c r="E281" t="s">
        <v>73</v>
      </c>
      <c r="F281" t="s">
        <v>13</v>
      </c>
      <c r="G281" t="s">
        <v>525</v>
      </c>
    </row>
    <row r="282" spans="1:7" x14ac:dyDescent="0.3">
      <c r="A282">
        <v>0</v>
      </c>
      <c r="B282" t="s">
        <v>312</v>
      </c>
      <c r="C282" t="s">
        <v>79</v>
      </c>
      <c r="D282" t="s">
        <v>2</v>
      </c>
      <c r="E282" t="s">
        <v>79</v>
      </c>
      <c r="F282" t="s">
        <v>13</v>
      </c>
      <c r="G282" t="s">
        <v>525</v>
      </c>
    </row>
    <row r="283" spans="1:7" x14ac:dyDescent="0.3">
      <c r="A283">
        <v>0</v>
      </c>
      <c r="B283" t="s">
        <v>312</v>
      </c>
      <c r="C283" t="s">
        <v>82</v>
      </c>
      <c r="D283" t="s">
        <v>2</v>
      </c>
      <c r="E283" t="s">
        <v>82</v>
      </c>
      <c r="F283" t="s">
        <v>13</v>
      </c>
      <c r="G283" t="s">
        <v>525</v>
      </c>
    </row>
    <row r="284" spans="1:7" x14ac:dyDescent="0.3">
      <c r="A284">
        <v>0</v>
      </c>
      <c r="B284" t="s">
        <v>312</v>
      </c>
      <c r="C284" t="s">
        <v>85</v>
      </c>
      <c r="D284" t="s">
        <v>2</v>
      </c>
      <c r="E284" t="s">
        <v>85</v>
      </c>
      <c r="F284" t="s">
        <v>13</v>
      </c>
      <c r="G284" t="s">
        <v>525</v>
      </c>
    </row>
    <row r="285" spans="1:7" x14ac:dyDescent="0.3">
      <c r="A285">
        <v>0</v>
      </c>
      <c r="B285" t="s">
        <v>312</v>
      </c>
      <c r="C285" t="s">
        <v>88</v>
      </c>
      <c r="D285" t="s">
        <v>2</v>
      </c>
      <c r="E285" t="s">
        <v>88</v>
      </c>
      <c r="F285" t="s">
        <v>13</v>
      </c>
      <c r="G285" t="s">
        <v>525</v>
      </c>
    </row>
    <row r="286" spans="1:7" x14ac:dyDescent="0.3">
      <c r="A286">
        <v>0</v>
      </c>
      <c r="B286" t="s">
        <v>312</v>
      </c>
      <c r="C286" t="s">
        <v>91</v>
      </c>
      <c r="D286" t="s">
        <v>2</v>
      </c>
      <c r="E286" t="s">
        <v>91</v>
      </c>
      <c r="F286" t="s">
        <v>13</v>
      </c>
      <c r="G286" t="s">
        <v>525</v>
      </c>
    </row>
    <row r="287" spans="1:7" x14ac:dyDescent="0.3">
      <c r="A287">
        <v>0</v>
      </c>
      <c r="B287" t="s">
        <v>312</v>
      </c>
      <c r="C287" t="s">
        <v>94</v>
      </c>
      <c r="D287" t="s">
        <v>2</v>
      </c>
      <c r="E287" t="s">
        <v>94</v>
      </c>
      <c r="F287" t="s">
        <v>13</v>
      </c>
      <c r="G287" t="s">
        <v>525</v>
      </c>
    </row>
    <row r="288" spans="1:7" x14ac:dyDescent="0.3">
      <c r="A288">
        <v>0</v>
      </c>
      <c r="B288" t="s">
        <v>312</v>
      </c>
      <c r="C288" t="s">
        <v>97</v>
      </c>
      <c r="D288" t="s">
        <v>2</v>
      </c>
      <c r="E288" t="s">
        <v>97</v>
      </c>
      <c r="F288" t="s">
        <v>13</v>
      </c>
      <c r="G288" t="s">
        <v>525</v>
      </c>
    </row>
    <row r="289" spans="1:7" x14ac:dyDescent="0.3">
      <c r="A289">
        <v>0</v>
      </c>
      <c r="B289" t="s">
        <v>312</v>
      </c>
      <c r="C289" t="s">
        <v>100</v>
      </c>
      <c r="D289" t="s">
        <v>2</v>
      </c>
      <c r="E289" t="s">
        <v>100</v>
      </c>
      <c r="F289" t="s">
        <v>13</v>
      </c>
      <c r="G289" t="s">
        <v>525</v>
      </c>
    </row>
  </sheetData>
  <pageMargins left="0.75" right="0.75" top="1" bottom="1" header="0.5" footer="0.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89"/>
  <sheetViews>
    <sheetView topLeftCell="A22" workbookViewId="0">
      <selection activeCell="E44" sqref="E44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0.935415</v>
      </c>
      <c r="B2" t="s">
        <v>16</v>
      </c>
      <c r="C2" t="s">
        <v>625</v>
      </c>
      <c r="D2" t="s">
        <v>2</v>
      </c>
      <c r="E2" s="4" t="s">
        <v>49</v>
      </c>
      <c r="F2" s="4" t="s">
        <v>13</v>
      </c>
      <c r="G2" t="s">
        <v>525</v>
      </c>
      <c r="H2" t="s">
        <v>626</v>
      </c>
    </row>
    <row r="3" spans="1:9" x14ac:dyDescent="0.3">
      <c r="A3">
        <v>2.1250000000000004</v>
      </c>
      <c r="B3" t="s">
        <v>57</v>
      </c>
      <c r="C3" t="s">
        <v>627</v>
      </c>
      <c r="D3" t="s">
        <v>2</v>
      </c>
      <c r="E3" s="2" t="s">
        <v>315</v>
      </c>
      <c r="F3" t="s">
        <v>13</v>
      </c>
      <c r="G3" t="s">
        <v>525</v>
      </c>
      <c r="H3" t="s">
        <v>626</v>
      </c>
    </row>
    <row r="4" spans="1:9" x14ac:dyDescent="0.3">
      <c r="A4">
        <v>0.10250000000000001</v>
      </c>
      <c r="B4" t="s">
        <v>57</v>
      </c>
      <c r="C4" t="s">
        <v>628</v>
      </c>
      <c r="D4" t="s">
        <v>2</v>
      </c>
      <c r="E4" s="2" t="s">
        <v>345</v>
      </c>
      <c r="F4" t="s">
        <v>13</v>
      </c>
      <c r="G4" t="s">
        <v>525</v>
      </c>
      <c r="H4" t="s">
        <v>626</v>
      </c>
    </row>
    <row r="5" spans="1:9" x14ac:dyDescent="0.3">
      <c r="A5">
        <v>0.10250000000000001</v>
      </c>
      <c r="B5" t="s">
        <v>57</v>
      </c>
      <c r="C5" t="s">
        <v>564</v>
      </c>
      <c r="D5" t="s">
        <v>2</v>
      </c>
      <c r="E5" t="s">
        <v>352</v>
      </c>
      <c r="F5" t="s">
        <v>13</v>
      </c>
      <c r="G5" t="s">
        <v>525</v>
      </c>
      <c r="H5" t="s">
        <v>626</v>
      </c>
    </row>
    <row r="6" spans="1:9" x14ac:dyDescent="0.3">
      <c r="A6">
        <v>2.8124999999999995E-3</v>
      </c>
      <c r="B6" t="s">
        <v>57</v>
      </c>
      <c r="C6" t="s">
        <v>629</v>
      </c>
      <c r="D6" t="s">
        <v>2</v>
      </c>
      <c r="E6" t="s">
        <v>352</v>
      </c>
      <c r="F6" t="s">
        <v>13</v>
      </c>
      <c r="G6" t="s">
        <v>525</v>
      </c>
      <c r="H6" t="s">
        <v>626</v>
      </c>
    </row>
    <row r="7" spans="1:9" x14ac:dyDescent="0.3">
      <c r="A7">
        <v>0.12187500000000001</v>
      </c>
      <c r="B7" t="s">
        <v>57</v>
      </c>
      <c r="C7" t="s">
        <v>630</v>
      </c>
      <c r="D7" t="s">
        <v>2</v>
      </c>
      <c r="E7" t="s">
        <v>431</v>
      </c>
      <c r="F7" t="s">
        <v>13</v>
      </c>
      <c r="G7" t="s">
        <v>525</v>
      </c>
      <c r="H7" t="s">
        <v>626</v>
      </c>
    </row>
    <row r="8" spans="1:9" x14ac:dyDescent="0.3">
      <c r="A8">
        <v>1.2874999999999999E-2</v>
      </c>
      <c r="B8" t="s">
        <v>57</v>
      </c>
      <c r="C8" t="s">
        <v>631</v>
      </c>
      <c r="D8" t="s">
        <v>2</v>
      </c>
      <c r="E8" t="s">
        <v>382</v>
      </c>
      <c r="F8" t="s">
        <v>13</v>
      </c>
      <c r="G8" t="s">
        <v>525</v>
      </c>
      <c r="H8" t="s">
        <v>626</v>
      </c>
    </row>
    <row r="9" spans="1:9" x14ac:dyDescent="0.3">
      <c r="A9">
        <v>7.2499999999999995E-4</v>
      </c>
      <c r="B9" t="s">
        <v>57</v>
      </c>
      <c r="C9" t="s">
        <v>632</v>
      </c>
      <c r="D9" t="s">
        <v>2</v>
      </c>
      <c r="E9" t="s">
        <v>382</v>
      </c>
      <c r="F9" t="s">
        <v>13</v>
      </c>
      <c r="G9" t="s">
        <v>525</v>
      </c>
      <c r="H9" t="s">
        <v>626</v>
      </c>
    </row>
    <row r="10" spans="1:9" x14ac:dyDescent="0.3">
      <c r="A10">
        <v>8.8125</v>
      </c>
      <c r="B10" t="s">
        <v>57</v>
      </c>
      <c r="C10" t="s">
        <v>633</v>
      </c>
      <c r="D10" t="s">
        <v>2</v>
      </c>
      <c r="E10" t="s">
        <v>371</v>
      </c>
      <c r="F10" t="s">
        <v>13</v>
      </c>
      <c r="G10" t="s">
        <v>525</v>
      </c>
      <c r="H10" t="s">
        <v>626</v>
      </c>
    </row>
    <row r="11" spans="1:9" x14ac:dyDescent="0.3">
      <c r="A11">
        <v>8.8125</v>
      </c>
      <c r="B11" t="s">
        <v>57</v>
      </c>
      <c r="C11" t="s">
        <v>634</v>
      </c>
      <c r="D11" t="s">
        <v>2</v>
      </c>
      <c r="E11" t="s">
        <v>371</v>
      </c>
      <c r="F11" t="s">
        <v>13</v>
      </c>
      <c r="G11" t="s">
        <v>525</v>
      </c>
      <c r="H11" t="s">
        <v>626</v>
      </c>
    </row>
    <row r="12" spans="1:9" x14ac:dyDescent="0.3">
      <c r="A12">
        <v>0.29499999999999998</v>
      </c>
      <c r="B12" t="s">
        <v>57</v>
      </c>
      <c r="C12" t="s">
        <v>635</v>
      </c>
      <c r="D12" t="s">
        <v>2</v>
      </c>
      <c r="E12" s="18" t="s">
        <v>431</v>
      </c>
      <c r="F12" t="s">
        <v>13</v>
      </c>
      <c r="G12" t="s">
        <v>525</v>
      </c>
      <c r="H12" t="s">
        <v>626</v>
      </c>
    </row>
    <row r="13" spans="1:9" x14ac:dyDescent="0.3">
      <c r="A13">
        <v>0.34562500000000002</v>
      </c>
      <c r="B13" t="s">
        <v>57</v>
      </c>
      <c r="C13" t="s">
        <v>636</v>
      </c>
      <c r="D13" t="s">
        <v>2</v>
      </c>
      <c r="E13" s="18" t="s">
        <v>431</v>
      </c>
      <c r="F13" t="s">
        <v>13</v>
      </c>
      <c r="G13" t="s">
        <v>525</v>
      </c>
      <c r="H13" t="s">
        <v>626</v>
      </c>
    </row>
    <row r="14" spans="1:9" x14ac:dyDescent="0.3">
      <c r="A14">
        <v>2.3749999999999997E-2</v>
      </c>
      <c r="B14" t="s">
        <v>57</v>
      </c>
      <c r="C14" t="s">
        <v>637</v>
      </c>
      <c r="D14" t="s">
        <v>2</v>
      </c>
      <c r="E14" s="18" t="s">
        <v>431</v>
      </c>
      <c r="F14" t="s">
        <v>13</v>
      </c>
      <c r="G14" t="s">
        <v>525</v>
      </c>
      <c r="H14" t="s">
        <v>626</v>
      </c>
    </row>
    <row r="15" spans="1:9" x14ac:dyDescent="0.3">
      <c r="A15">
        <v>0.87499999999999989</v>
      </c>
      <c r="B15" t="s">
        <v>57</v>
      </c>
      <c r="C15" t="s">
        <v>638</v>
      </c>
      <c r="D15" t="s">
        <v>2</v>
      </c>
      <c r="E15" s="18" t="s">
        <v>431</v>
      </c>
      <c r="F15" t="s">
        <v>13</v>
      </c>
      <c r="G15" t="s">
        <v>525</v>
      </c>
      <c r="H15" t="s">
        <v>626</v>
      </c>
    </row>
    <row r="16" spans="1:9" x14ac:dyDescent="0.3">
      <c r="A16">
        <v>0.11187499999999999</v>
      </c>
      <c r="B16" t="s">
        <v>57</v>
      </c>
      <c r="C16" t="s">
        <v>639</v>
      </c>
      <c r="D16" t="s">
        <v>2</v>
      </c>
      <c r="E16" t="s">
        <v>100</v>
      </c>
      <c r="F16" s="4" t="s">
        <v>13</v>
      </c>
      <c r="G16" t="s">
        <v>525</v>
      </c>
      <c r="H16" t="s">
        <v>626</v>
      </c>
    </row>
    <row r="17" spans="1:8" x14ac:dyDescent="0.3">
      <c r="A17">
        <v>1.1662610106629545E-8</v>
      </c>
      <c r="B17" t="s">
        <v>314</v>
      </c>
      <c r="C17" t="s">
        <v>640</v>
      </c>
      <c r="D17" t="s">
        <v>2</v>
      </c>
      <c r="E17" s="2" t="s">
        <v>341</v>
      </c>
      <c r="F17" t="s">
        <v>13</v>
      </c>
      <c r="G17" t="s">
        <v>525</v>
      </c>
      <c r="H17" t="s">
        <v>626</v>
      </c>
    </row>
    <row r="18" spans="1:8" x14ac:dyDescent="0.3">
      <c r="A18">
        <v>6.2375000000000007E-2</v>
      </c>
      <c r="B18" t="s">
        <v>57</v>
      </c>
      <c r="C18" t="s">
        <v>641</v>
      </c>
      <c r="D18" t="s">
        <v>2</v>
      </c>
      <c r="E18" s="18" t="s">
        <v>85</v>
      </c>
      <c r="F18" s="4" t="s">
        <v>13</v>
      </c>
      <c r="G18" t="s">
        <v>525</v>
      </c>
      <c r="H18" t="s">
        <v>626</v>
      </c>
    </row>
    <row r="19" spans="1:8" x14ac:dyDescent="0.3">
      <c r="A19">
        <v>1.5874999999999997E-2</v>
      </c>
      <c r="B19" t="s">
        <v>57</v>
      </c>
      <c r="C19" t="s">
        <v>642</v>
      </c>
      <c r="D19" t="s">
        <v>2</v>
      </c>
      <c r="E19" t="s">
        <v>149</v>
      </c>
      <c r="F19" t="s">
        <v>13</v>
      </c>
      <c r="G19" t="s">
        <v>525</v>
      </c>
      <c r="H19" t="s">
        <v>626</v>
      </c>
    </row>
    <row r="20" spans="1:8" x14ac:dyDescent="0.3">
      <c r="A20">
        <v>1.4687499999999998E-4</v>
      </c>
      <c r="B20" t="s">
        <v>57</v>
      </c>
      <c r="C20" t="s">
        <v>643</v>
      </c>
      <c r="D20" t="s">
        <v>2</v>
      </c>
      <c r="E20" t="s">
        <v>149</v>
      </c>
      <c r="F20" t="s">
        <v>13</v>
      </c>
      <c r="G20" t="s">
        <v>525</v>
      </c>
      <c r="H20" t="s">
        <v>626</v>
      </c>
    </row>
    <row r="21" spans="1:8" x14ac:dyDescent="0.3">
      <c r="A21">
        <v>5.1437499999999997E-2</v>
      </c>
      <c r="B21" t="s">
        <v>57</v>
      </c>
      <c r="C21" t="s">
        <v>644</v>
      </c>
      <c r="D21" t="s">
        <v>2</v>
      </c>
      <c r="E21" t="s">
        <v>149</v>
      </c>
      <c r="F21" t="s">
        <v>13</v>
      </c>
      <c r="G21" t="s">
        <v>525</v>
      </c>
      <c r="H21" t="s">
        <v>626</v>
      </c>
    </row>
    <row r="22" spans="1:8" x14ac:dyDescent="0.3">
      <c r="A22">
        <v>1.1562499999999998E-2</v>
      </c>
      <c r="B22" t="s">
        <v>57</v>
      </c>
      <c r="C22" t="s">
        <v>645</v>
      </c>
      <c r="D22" t="s">
        <v>2</v>
      </c>
      <c r="E22" t="s">
        <v>149</v>
      </c>
      <c r="F22" t="s">
        <v>13</v>
      </c>
      <c r="G22" t="s">
        <v>525</v>
      </c>
      <c r="H22" t="s">
        <v>626</v>
      </c>
    </row>
    <row r="23" spans="1:8" x14ac:dyDescent="0.3">
      <c r="A23">
        <v>0.76249999999999996</v>
      </c>
      <c r="B23" t="s">
        <v>57</v>
      </c>
      <c r="C23" t="s">
        <v>646</v>
      </c>
      <c r="D23" t="s">
        <v>2</v>
      </c>
      <c r="E23" s="2" t="s">
        <v>418</v>
      </c>
      <c r="F23" t="s">
        <v>13</v>
      </c>
      <c r="G23" t="s">
        <v>525</v>
      </c>
      <c r="H23" t="s">
        <v>626</v>
      </c>
    </row>
    <row r="24" spans="1:8" x14ac:dyDescent="0.3">
      <c r="A24">
        <v>1.249999999999998</v>
      </c>
      <c r="B24" t="s">
        <v>57</v>
      </c>
      <c r="C24" t="s">
        <v>647</v>
      </c>
      <c r="D24" t="s">
        <v>2</v>
      </c>
      <c r="E24" s="2" t="s">
        <v>488</v>
      </c>
      <c r="F24" t="s">
        <v>13</v>
      </c>
      <c r="G24" t="s">
        <v>525</v>
      </c>
      <c r="H24" t="s">
        <v>626</v>
      </c>
    </row>
    <row r="25" spans="1:8" x14ac:dyDescent="0.3">
      <c r="A25">
        <v>13.975424859373687</v>
      </c>
      <c r="B25" t="s">
        <v>542</v>
      </c>
      <c r="C25" t="s">
        <v>648</v>
      </c>
      <c r="D25" t="s">
        <v>2</v>
      </c>
      <c r="E25" t="s">
        <v>111</v>
      </c>
      <c r="F25" t="s">
        <v>13</v>
      </c>
      <c r="G25" t="s">
        <v>525</v>
      </c>
      <c r="H25" t="s">
        <v>626</v>
      </c>
    </row>
    <row r="26" spans="1:8" x14ac:dyDescent="0.3">
      <c r="A26">
        <v>2.034883720930234E-4</v>
      </c>
      <c r="B26" s="2" t="s">
        <v>57</v>
      </c>
      <c r="C26" t="s">
        <v>649</v>
      </c>
      <c r="D26" t="s">
        <v>2</v>
      </c>
      <c r="E26" s="18" t="s">
        <v>369</v>
      </c>
      <c r="F26" t="s">
        <v>13</v>
      </c>
      <c r="G26" t="s">
        <v>525</v>
      </c>
      <c r="H26" t="s">
        <v>626</v>
      </c>
    </row>
    <row r="27" spans="1:8" x14ac:dyDescent="0.3">
      <c r="A27">
        <f>$A$2*'[1]Cell prod APAC'!I19</f>
        <v>0</v>
      </c>
      <c r="B27" t="s">
        <v>314</v>
      </c>
      <c r="C27" t="s">
        <v>620</v>
      </c>
      <c r="D27" t="s">
        <v>2</v>
      </c>
      <c r="E27" s="2" t="s">
        <v>455</v>
      </c>
      <c r="F27" t="s">
        <v>13</v>
      </c>
      <c r="G27" t="s">
        <v>525</v>
      </c>
      <c r="H27" t="s">
        <v>621</v>
      </c>
    </row>
    <row r="28" spans="1:8" x14ac:dyDescent="0.3">
      <c r="A28">
        <f>$A$2*'[1]Cell prod APAC'!I20</f>
        <v>2.8194035329337413E-6</v>
      </c>
      <c r="B28" s="2" t="s">
        <v>314</v>
      </c>
      <c r="C28" t="s">
        <v>622</v>
      </c>
      <c r="D28" t="s">
        <v>2</v>
      </c>
      <c r="E28" s="2" t="s">
        <v>409</v>
      </c>
      <c r="F28" t="s">
        <v>13</v>
      </c>
      <c r="G28" t="s">
        <v>525</v>
      </c>
      <c r="H28" t="s">
        <v>621</v>
      </c>
    </row>
    <row r="29" spans="1:8" x14ac:dyDescent="0.3">
      <c r="A29">
        <f>$A$2*'[1]Cell prod APAC'!I21</f>
        <v>2.8671594828940705E-7</v>
      </c>
      <c r="B29" s="2" t="s">
        <v>314</v>
      </c>
      <c r="C29" t="s">
        <v>623</v>
      </c>
      <c r="D29" t="s">
        <v>2</v>
      </c>
      <c r="E29" s="2" t="s">
        <v>443</v>
      </c>
      <c r="F29" t="s">
        <v>13</v>
      </c>
      <c r="G29" t="s">
        <v>525</v>
      </c>
      <c r="H29" t="s">
        <v>621</v>
      </c>
    </row>
    <row r="30" spans="1:8" x14ac:dyDescent="0.3">
      <c r="A30">
        <v>3.0000000000000035E-5</v>
      </c>
      <c r="B30" s="2" t="s">
        <v>319</v>
      </c>
      <c r="C30" t="s">
        <v>650</v>
      </c>
      <c r="D30" t="s">
        <v>2</v>
      </c>
      <c r="E30" s="2" t="s">
        <v>378</v>
      </c>
      <c r="F30" t="s">
        <v>13</v>
      </c>
      <c r="G30" t="s">
        <v>525</v>
      </c>
      <c r="H30" t="s">
        <v>626</v>
      </c>
    </row>
    <row r="31" spans="1:8" x14ac:dyDescent="0.3">
      <c r="A31">
        <v>4.2937500000000061E-6</v>
      </c>
      <c r="B31" s="2" t="s">
        <v>319</v>
      </c>
      <c r="C31" t="s">
        <v>651</v>
      </c>
      <c r="D31" t="s">
        <v>2</v>
      </c>
      <c r="E31" s="2" t="s">
        <v>378</v>
      </c>
      <c r="F31" t="s">
        <v>13</v>
      </c>
      <c r="G31" t="s">
        <v>525</v>
      </c>
      <c r="H31" t="s">
        <v>626</v>
      </c>
    </row>
    <row r="32" spans="1:8" x14ac:dyDescent="0.3">
      <c r="A32">
        <v>2.8062499999999923E-5</v>
      </c>
      <c r="B32" s="2" t="s">
        <v>319</v>
      </c>
      <c r="C32" t="s">
        <v>652</v>
      </c>
      <c r="D32" t="s">
        <v>2</v>
      </c>
      <c r="E32" s="2" t="s">
        <v>429</v>
      </c>
      <c r="F32" t="s">
        <v>13</v>
      </c>
      <c r="G32" t="s">
        <v>525</v>
      </c>
      <c r="H32" t="s">
        <v>626</v>
      </c>
    </row>
    <row r="33" spans="1:8" x14ac:dyDescent="0.3">
      <c r="A33">
        <v>1.6062500000000007E-6</v>
      </c>
      <c r="B33" s="2" t="s">
        <v>319</v>
      </c>
      <c r="C33" t="s">
        <v>653</v>
      </c>
      <c r="D33" t="s">
        <v>2</v>
      </c>
      <c r="E33" s="2" t="s">
        <v>404</v>
      </c>
      <c r="F33" t="s">
        <v>13</v>
      </c>
      <c r="G33" t="s">
        <v>525</v>
      </c>
      <c r="H33" t="s">
        <v>626</v>
      </c>
    </row>
    <row r="34" spans="1:8" x14ac:dyDescent="0.3">
      <c r="A34">
        <v>5.0069541029207232E-7</v>
      </c>
      <c r="B34" t="s">
        <v>314</v>
      </c>
      <c r="C34" t="s">
        <v>654</v>
      </c>
      <c r="D34" t="s">
        <v>2</v>
      </c>
      <c r="E34" s="2" t="s">
        <v>449</v>
      </c>
      <c r="F34" t="s">
        <v>13</v>
      </c>
      <c r="G34" t="s">
        <v>525</v>
      </c>
      <c r="H34" t="s">
        <v>655</v>
      </c>
    </row>
    <row r="35" spans="1:8" x14ac:dyDescent="0.3">
      <c r="A35">
        <v>2.7538247566063979E-6</v>
      </c>
      <c r="B35" t="s">
        <v>314</v>
      </c>
      <c r="C35" t="s">
        <v>656</v>
      </c>
      <c r="D35" t="s">
        <v>2</v>
      </c>
      <c r="E35" s="2" t="s">
        <v>487</v>
      </c>
      <c r="F35" t="s">
        <v>13</v>
      </c>
      <c r="G35" t="s">
        <v>525</v>
      </c>
      <c r="H35" t="s">
        <v>655</v>
      </c>
    </row>
    <row r="36" spans="1:8" x14ac:dyDescent="0.3">
      <c r="A36">
        <v>5.4242002781641165E-7</v>
      </c>
      <c r="B36" t="s">
        <v>314</v>
      </c>
      <c r="C36" t="s">
        <v>495</v>
      </c>
      <c r="D36" t="s">
        <v>494</v>
      </c>
      <c r="E36" t="s">
        <v>495</v>
      </c>
      <c r="F36" t="s">
        <v>13</v>
      </c>
      <c r="G36" t="s">
        <v>525</v>
      </c>
      <c r="H36" t="s">
        <v>655</v>
      </c>
    </row>
    <row r="37" spans="1:8" x14ac:dyDescent="0.3">
      <c r="A37">
        <v>1.808066759388039E-6</v>
      </c>
      <c r="B37" t="s">
        <v>314</v>
      </c>
      <c r="C37" t="s">
        <v>496</v>
      </c>
      <c r="D37" t="s">
        <v>494</v>
      </c>
      <c r="E37" s="2" t="s">
        <v>496</v>
      </c>
      <c r="F37" t="s">
        <v>13</v>
      </c>
      <c r="G37" t="s">
        <v>525</v>
      </c>
      <c r="H37" t="s">
        <v>655</v>
      </c>
    </row>
    <row r="38" spans="1:8" x14ac:dyDescent="0.3">
      <c r="A38">
        <v>3.9777468706536858E-6</v>
      </c>
      <c r="B38" t="s">
        <v>314</v>
      </c>
      <c r="C38" t="s">
        <v>497</v>
      </c>
      <c r="D38" t="s">
        <v>494</v>
      </c>
      <c r="E38" s="2" t="s">
        <v>497</v>
      </c>
      <c r="F38" t="s">
        <v>13</v>
      </c>
      <c r="G38" t="s">
        <v>525</v>
      </c>
      <c r="H38" t="s">
        <v>655</v>
      </c>
    </row>
    <row r="39" spans="1:8" x14ac:dyDescent="0.3">
      <c r="A39">
        <v>1.9500000000000001E-7</v>
      </c>
      <c r="B39" t="s">
        <v>507</v>
      </c>
      <c r="C39" t="s">
        <v>506</v>
      </c>
      <c r="D39" t="s">
        <v>498</v>
      </c>
      <c r="E39" s="2" t="s">
        <v>506</v>
      </c>
      <c r="F39" t="s">
        <v>13</v>
      </c>
      <c r="G39" t="s">
        <v>525</v>
      </c>
      <c r="H39" t="s">
        <v>655</v>
      </c>
    </row>
    <row r="40" spans="1:8" x14ac:dyDescent="0.3">
      <c r="A40">
        <v>8.0625000000000002E-3</v>
      </c>
      <c r="B40" t="s">
        <v>57</v>
      </c>
      <c r="C40" t="s">
        <v>657</v>
      </c>
      <c r="D40" t="s">
        <v>498</v>
      </c>
      <c r="E40" t="s">
        <v>513</v>
      </c>
      <c r="F40" t="s">
        <v>13</v>
      </c>
      <c r="G40" t="s">
        <v>525</v>
      </c>
      <c r="H40" t="s">
        <v>626</v>
      </c>
    </row>
    <row r="41" spans="1:8" x14ac:dyDescent="0.3">
      <c r="A41">
        <v>2.1812499999999999E-2</v>
      </c>
      <c r="B41" t="s">
        <v>57</v>
      </c>
      <c r="C41" t="s">
        <v>502</v>
      </c>
      <c r="D41" t="s">
        <v>498</v>
      </c>
      <c r="E41" t="s">
        <v>502</v>
      </c>
      <c r="F41" t="s">
        <v>13</v>
      </c>
      <c r="G41" t="s">
        <v>525</v>
      </c>
      <c r="H41" t="s">
        <v>626</v>
      </c>
    </row>
    <row r="42" spans="1:8" x14ac:dyDescent="0.3">
      <c r="A42">
        <v>6.4837499999999997E-4</v>
      </c>
      <c r="B42" t="s">
        <v>57</v>
      </c>
      <c r="C42" t="s">
        <v>535</v>
      </c>
      <c r="D42" t="s">
        <v>498</v>
      </c>
      <c r="E42" t="s">
        <v>502</v>
      </c>
      <c r="F42" t="s">
        <v>13</v>
      </c>
      <c r="G42" t="s">
        <v>525</v>
      </c>
      <c r="H42" t="s">
        <v>658</v>
      </c>
    </row>
    <row r="43" spans="1:8" x14ac:dyDescent="0.3">
      <c r="A43">
        <v>8.7499999999999996E-8</v>
      </c>
      <c r="B43" t="s">
        <v>57</v>
      </c>
      <c r="C43" t="s">
        <v>500</v>
      </c>
      <c r="D43" t="s">
        <v>498</v>
      </c>
      <c r="E43" t="s">
        <v>500</v>
      </c>
      <c r="F43" t="s">
        <v>13</v>
      </c>
      <c r="G43" t="s">
        <v>525</v>
      </c>
      <c r="H43" t="s">
        <v>658</v>
      </c>
    </row>
    <row r="44" spans="1:8" x14ac:dyDescent="0.3">
      <c r="A44">
        <v>5.249999999999999E-9</v>
      </c>
      <c r="B44" t="s">
        <v>57</v>
      </c>
      <c r="C44" t="s">
        <v>511</v>
      </c>
      <c r="D44" t="s">
        <v>498</v>
      </c>
      <c r="E44" t="s">
        <v>511</v>
      </c>
      <c r="F44" t="s">
        <v>13</v>
      </c>
      <c r="G44" t="s">
        <v>525</v>
      </c>
      <c r="H44" t="s">
        <v>658</v>
      </c>
    </row>
    <row r="45" spans="1:8" x14ac:dyDescent="0.3">
      <c r="A45">
        <v>0</v>
      </c>
      <c r="B45" t="s">
        <v>312</v>
      </c>
      <c r="C45" t="s">
        <v>483</v>
      </c>
      <c r="D45" t="s">
        <v>2</v>
      </c>
      <c r="E45" t="s">
        <v>483</v>
      </c>
      <c r="F45" t="s">
        <v>13</v>
      </c>
      <c r="G45" t="s">
        <v>525</v>
      </c>
    </row>
    <row r="46" spans="1:8" x14ac:dyDescent="0.3">
      <c r="A46">
        <v>0</v>
      </c>
      <c r="B46" t="s">
        <v>105</v>
      </c>
      <c r="C46" t="s">
        <v>125</v>
      </c>
      <c r="D46" t="s">
        <v>2</v>
      </c>
      <c r="E46" t="s">
        <v>125</v>
      </c>
      <c r="F46" t="s">
        <v>13</v>
      </c>
      <c r="G46" t="s">
        <v>525</v>
      </c>
    </row>
    <row r="47" spans="1:8" x14ac:dyDescent="0.3">
      <c r="A47">
        <v>0</v>
      </c>
      <c r="B47" t="s">
        <v>319</v>
      </c>
      <c r="C47" t="s">
        <v>461</v>
      </c>
      <c r="D47" t="s">
        <v>2</v>
      </c>
      <c r="E47" t="s">
        <v>461</v>
      </c>
      <c r="F47" t="s">
        <v>13</v>
      </c>
      <c r="G47" t="s">
        <v>525</v>
      </c>
    </row>
    <row r="48" spans="1:8" x14ac:dyDescent="0.3">
      <c r="A48">
        <v>0</v>
      </c>
      <c r="B48" t="s">
        <v>314</v>
      </c>
      <c r="C48" t="s">
        <v>395</v>
      </c>
      <c r="D48" t="s">
        <v>2</v>
      </c>
      <c r="E48" t="s">
        <v>395</v>
      </c>
      <c r="F48" t="s">
        <v>13</v>
      </c>
      <c r="G48" t="s">
        <v>525</v>
      </c>
    </row>
    <row r="49" spans="1:7" x14ac:dyDescent="0.3">
      <c r="A49">
        <v>0</v>
      </c>
      <c r="B49" t="s">
        <v>312</v>
      </c>
      <c r="C49" t="s">
        <v>399</v>
      </c>
      <c r="D49" t="s">
        <v>2</v>
      </c>
      <c r="E49" t="s">
        <v>399</v>
      </c>
      <c r="F49" t="s">
        <v>13</v>
      </c>
      <c r="G49" t="s">
        <v>525</v>
      </c>
    </row>
    <row r="50" spans="1:7" x14ac:dyDescent="0.3">
      <c r="A50">
        <v>0</v>
      </c>
      <c r="B50" t="s">
        <v>314</v>
      </c>
      <c r="C50" t="s">
        <v>432</v>
      </c>
      <c r="D50" t="s">
        <v>2</v>
      </c>
      <c r="E50" t="s">
        <v>432</v>
      </c>
      <c r="F50" t="s">
        <v>13</v>
      </c>
      <c r="G50" t="s">
        <v>525</v>
      </c>
    </row>
    <row r="51" spans="1:7" x14ac:dyDescent="0.3">
      <c r="A51">
        <v>0</v>
      </c>
      <c r="B51" t="s">
        <v>312</v>
      </c>
      <c r="C51" t="s">
        <v>325</v>
      </c>
      <c r="D51" t="s">
        <v>2</v>
      </c>
      <c r="E51" t="s">
        <v>325</v>
      </c>
      <c r="F51" t="s">
        <v>13</v>
      </c>
      <c r="G51" t="s">
        <v>525</v>
      </c>
    </row>
    <row r="52" spans="1:7" x14ac:dyDescent="0.3">
      <c r="A52">
        <v>0</v>
      </c>
      <c r="B52" t="s">
        <v>314</v>
      </c>
      <c r="C52" t="s">
        <v>372</v>
      </c>
      <c r="D52" t="s">
        <v>2</v>
      </c>
      <c r="E52" t="s">
        <v>372</v>
      </c>
      <c r="F52" t="s">
        <v>13</v>
      </c>
      <c r="G52" t="s">
        <v>525</v>
      </c>
    </row>
    <row r="53" spans="1:7" x14ac:dyDescent="0.3">
      <c r="A53">
        <v>0</v>
      </c>
      <c r="B53" t="s">
        <v>314</v>
      </c>
      <c r="C53" t="s">
        <v>260</v>
      </c>
      <c r="D53" t="s">
        <v>2</v>
      </c>
      <c r="E53" t="s">
        <v>260</v>
      </c>
      <c r="F53" t="s">
        <v>13</v>
      </c>
      <c r="G53" t="s">
        <v>525</v>
      </c>
    </row>
    <row r="54" spans="1:7" x14ac:dyDescent="0.3">
      <c r="A54">
        <v>0</v>
      </c>
      <c r="B54" t="s">
        <v>312</v>
      </c>
      <c r="C54" t="s">
        <v>330</v>
      </c>
      <c r="D54" t="s">
        <v>2</v>
      </c>
      <c r="E54" t="s">
        <v>330</v>
      </c>
      <c r="F54" t="s">
        <v>13</v>
      </c>
      <c r="G54" t="s">
        <v>525</v>
      </c>
    </row>
    <row r="55" spans="1:7" x14ac:dyDescent="0.3">
      <c r="A55">
        <v>0</v>
      </c>
      <c r="B55" t="s">
        <v>105</v>
      </c>
      <c r="C55" t="s">
        <v>401</v>
      </c>
      <c r="D55" t="s">
        <v>2</v>
      </c>
      <c r="E55" t="s">
        <v>401</v>
      </c>
      <c r="F55" t="s">
        <v>13</v>
      </c>
      <c r="G55" t="s">
        <v>525</v>
      </c>
    </row>
    <row r="56" spans="1:7" x14ac:dyDescent="0.3">
      <c r="A56">
        <v>0</v>
      </c>
      <c r="B56" t="s">
        <v>312</v>
      </c>
      <c r="C56" t="s">
        <v>416</v>
      </c>
      <c r="D56" t="s">
        <v>2</v>
      </c>
      <c r="E56" t="s">
        <v>416</v>
      </c>
      <c r="F56" t="s">
        <v>13</v>
      </c>
      <c r="G56" t="s">
        <v>525</v>
      </c>
    </row>
    <row r="57" spans="1:7" x14ac:dyDescent="0.3">
      <c r="A57">
        <v>0</v>
      </c>
      <c r="B57" t="s">
        <v>319</v>
      </c>
      <c r="C57" t="s">
        <v>375</v>
      </c>
      <c r="D57" t="s">
        <v>2</v>
      </c>
      <c r="E57" t="s">
        <v>375</v>
      </c>
      <c r="F57" t="s">
        <v>13</v>
      </c>
      <c r="G57" t="s">
        <v>525</v>
      </c>
    </row>
    <row r="58" spans="1:7" x14ac:dyDescent="0.3">
      <c r="A58">
        <v>0</v>
      </c>
      <c r="B58" t="s">
        <v>312</v>
      </c>
      <c r="C58" t="s">
        <v>333</v>
      </c>
      <c r="D58" t="s">
        <v>2</v>
      </c>
      <c r="E58" t="s">
        <v>333</v>
      </c>
      <c r="F58" t="s">
        <v>13</v>
      </c>
      <c r="G58" t="s">
        <v>525</v>
      </c>
    </row>
    <row r="59" spans="1:7" x14ac:dyDescent="0.3">
      <c r="A59">
        <v>0</v>
      </c>
      <c r="B59" t="s">
        <v>57</v>
      </c>
      <c r="C59" t="s">
        <v>118</v>
      </c>
      <c r="D59" t="s">
        <v>2</v>
      </c>
      <c r="E59" t="s">
        <v>118</v>
      </c>
      <c r="F59" t="s">
        <v>13</v>
      </c>
      <c r="G59" t="s">
        <v>525</v>
      </c>
    </row>
    <row r="60" spans="1:7" x14ac:dyDescent="0.3">
      <c r="A60">
        <v>0</v>
      </c>
      <c r="B60" t="s">
        <v>312</v>
      </c>
      <c r="C60" t="s">
        <v>406</v>
      </c>
      <c r="D60" t="s">
        <v>2</v>
      </c>
      <c r="E60" t="s">
        <v>406</v>
      </c>
      <c r="F60" t="s">
        <v>13</v>
      </c>
      <c r="G60" t="s">
        <v>525</v>
      </c>
    </row>
    <row r="61" spans="1:7" x14ac:dyDescent="0.3">
      <c r="A61">
        <v>0</v>
      </c>
      <c r="B61" t="s">
        <v>312</v>
      </c>
      <c r="C61" t="s">
        <v>315</v>
      </c>
      <c r="D61" t="s">
        <v>2</v>
      </c>
      <c r="E61" t="s">
        <v>315</v>
      </c>
      <c r="F61" t="s">
        <v>13</v>
      </c>
      <c r="G61" t="s">
        <v>525</v>
      </c>
    </row>
    <row r="62" spans="1:7" x14ac:dyDescent="0.3">
      <c r="A62">
        <v>0</v>
      </c>
      <c r="B62" t="s">
        <v>312</v>
      </c>
      <c r="C62" t="s">
        <v>358</v>
      </c>
      <c r="D62" t="s">
        <v>2</v>
      </c>
      <c r="E62" t="s">
        <v>358</v>
      </c>
      <c r="F62" t="s">
        <v>13</v>
      </c>
      <c r="G62" t="s">
        <v>525</v>
      </c>
    </row>
    <row r="63" spans="1:7" x14ac:dyDescent="0.3">
      <c r="A63">
        <v>0</v>
      </c>
      <c r="B63" t="s">
        <v>314</v>
      </c>
      <c r="C63" t="s">
        <v>444</v>
      </c>
      <c r="D63" t="s">
        <v>2</v>
      </c>
      <c r="E63" t="s">
        <v>444</v>
      </c>
      <c r="F63" t="s">
        <v>13</v>
      </c>
      <c r="G63" t="s">
        <v>525</v>
      </c>
    </row>
    <row r="64" spans="1:7" x14ac:dyDescent="0.3">
      <c r="A64">
        <v>0</v>
      </c>
      <c r="B64" t="s">
        <v>312</v>
      </c>
      <c r="C64" t="s">
        <v>439</v>
      </c>
      <c r="D64" t="s">
        <v>2</v>
      </c>
      <c r="E64" t="s">
        <v>439</v>
      </c>
      <c r="F64" t="s">
        <v>13</v>
      </c>
      <c r="G64" t="s">
        <v>525</v>
      </c>
    </row>
    <row r="65" spans="1:7" x14ac:dyDescent="0.3">
      <c r="A65">
        <v>0</v>
      </c>
      <c r="B65" t="s">
        <v>312</v>
      </c>
      <c r="C65" t="s">
        <v>381</v>
      </c>
      <c r="D65" t="s">
        <v>2</v>
      </c>
      <c r="E65" t="s">
        <v>381</v>
      </c>
      <c r="F65" t="s">
        <v>13</v>
      </c>
      <c r="G65" t="s">
        <v>525</v>
      </c>
    </row>
    <row r="66" spans="1:7" x14ac:dyDescent="0.3">
      <c r="A66">
        <v>0</v>
      </c>
      <c r="B66" t="s">
        <v>312</v>
      </c>
      <c r="C66" t="s">
        <v>418</v>
      </c>
      <c r="D66" t="s">
        <v>2</v>
      </c>
      <c r="E66" t="s">
        <v>418</v>
      </c>
      <c r="F66" t="s">
        <v>13</v>
      </c>
      <c r="G66" t="s">
        <v>525</v>
      </c>
    </row>
    <row r="67" spans="1:7" x14ac:dyDescent="0.3">
      <c r="A67">
        <v>0</v>
      </c>
      <c r="B67" t="s">
        <v>314</v>
      </c>
      <c r="C67" t="s">
        <v>465</v>
      </c>
      <c r="D67" t="s">
        <v>2</v>
      </c>
      <c r="E67" t="s">
        <v>465</v>
      </c>
      <c r="F67" t="s">
        <v>13</v>
      </c>
      <c r="G67" t="s">
        <v>525</v>
      </c>
    </row>
    <row r="68" spans="1:7" x14ac:dyDescent="0.3">
      <c r="A68">
        <v>0</v>
      </c>
      <c r="B68" t="s">
        <v>105</v>
      </c>
      <c r="C68" t="s">
        <v>103</v>
      </c>
      <c r="D68" t="s">
        <v>2</v>
      </c>
      <c r="E68" t="s">
        <v>103</v>
      </c>
      <c r="F68" t="s">
        <v>13</v>
      </c>
      <c r="G68" t="s">
        <v>525</v>
      </c>
    </row>
    <row r="69" spans="1:7" x14ac:dyDescent="0.3">
      <c r="A69">
        <v>0</v>
      </c>
      <c r="B69" t="s">
        <v>312</v>
      </c>
      <c r="C69" t="s">
        <v>320</v>
      </c>
      <c r="D69" t="s">
        <v>2</v>
      </c>
      <c r="E69" t="s">
        <v>320</v>
      </c>
      <c r="F69" t="s">
        <v>13</v>
      </c>
      <c r="G69" t="s">
        <v>525</v>
      </c>
    </row>
    <row r="70" spans="1:7" x14ac:dyDescent="0.3">
      <c r="A70">
        <v>0</v>
      </c>
      <c r="B70" t="s">
        <v>312</v>
      </c>
      <c r="C70" t="s">
        <v>334</v>
      </c>
      <c r="D70" t="s">
        <v>2</v>
      </c>
      <c r="E70" t="s">
        <v>334</v>
      </c>
      <c r="F70" t="s">
        <v>13</v>
      </c>
      <c r="G70" t="s">
        <v>525</v>
      </c>
    </row>
    <row r="71" spans="1:7" x14ac:dyDescent="0.3">
      <c r="A71">
        <v>0</v>
      </c>
      <c r="B71" t="s">
        <v>312</v>
      </c>
      <c r="C71" t="s">
        <v>435</v>
      </c>
      <c r="D71" t="s">
        <v>2</v>
      </c>
      <c r="E71" t="s">
        <v>435</v>
      </c>
      <c r="F71" t="s">
        <v>13</v>
      </c>
      <c r="G71" t="s">
        <v>525</v>
      </c>
    </row>
    <row r="72" spans="1:7" x14ac:dyDescent="0.3">
      <c r="A72">
        <v>0</v>
      </c>
      <c r="B72" t="s">
        <v>319</v>
      </c>
      <c r="C72" t="s">
        <v>456</v>
      </c>
      <c r="D72" t="s">
        <v>2</v>
      </c>
      <c r="E72" t="s">
        <v>456</v>
      </c>
      <c r="F72" t="s">
        <v>13</v>
      </c>
      <c r="G72" t="s">
        <v>525</v>
      </c>
    </row>
    <row r="73" spans="1:7" x14ac:dyDescent="0.3">
      <c r="A73">
        <v>0</v>
      </c>
      <c r="B73" t="s">
        <v>312</v>
      </c>
      <c r="C73" t="s">
        <v>474</v>
      </c>
      <c r="D73" t="s">
        <v>2</v>
      </c>
      <c r="E73" t="s">
        <v>474</v>
      </c>
      <c r="F73" t="s">
        <v>13</v>
      </c>
      <c r="G73" t="s">
        <v>525</v>
      </c>
    </row>
    <row r="74" spans="1:7" x14ac:dyDescent="0.3">
      <c r="A74">
        <v>0</v>
      </c>
      <c r="B74" t="s">
        <v>319</v>
      </c>
      <c r="C74" t="s">
        <v>318</v>
      </c>
      <c r="D74" t="s">
        <v>2</v>
      </c>
      <c r="E74" t="s">
        <v>318</v>
      </c>
      <c r="F74" t="s">
        <v>13</v>
      </c>
      <c r="G74" t="s">
        <v>525</v>
      </c>
    </row>
    <row r="75" spans="1:7" x14ac:dyDescent="0.3">
      <c r="A75">
        <v>0</v>
      </c>
      <c r="B75" t="s">
        <v>314</v>
      </c>
      <c r="C75" t="s">
        <v>475</v>
      </c>
      <c r="D75" t="s">
        <v>2</v>
      </c>
      <c r="E75" t="s">
        <v>475</v>
      </c>
      <c r="F75" t="s">
        <v>13</v>
      </c>
      <c r="G75" t="s">
        <v>525</v>
      </c>
    </row>
    <row r="76" spans="1:7" x14ac:dyDescent="0.3">
      <c r="A76">
        <v>0</v>
      </c>
      <c r="B76" t="s">
        <v>314</v>
      </c>
      <c r="C76" t="s">
        <v>449</v>
      </c>
      <c r="D76" t="s">
        <v>2</v>
      </c>
      <c r="E76" t="s">
        <v>449</v>
      </c>
      <c r="F76" t="s">
        <v>13</v>
      </c>
      <c r="G76" t="s">
        <v>525</v>
      </c>
    </row>
    <row r="77" spans="1:7" x14ac:dyDescent="0.3">
      <c r="A77">
        <v>0</v>
      </c>
      <c r="B77" t="s">
        <v>314</v>
      </c>
      <c r="C77" t="s">
        <v>176</v>
      </c>
      <c r="D77" t="s">
        <v>2</v>
      </c>
      <c r="E77" t="s">
        <v>176</v>
      </c>
      <c r="F77" t="s">
        <v>13</v>
      </c>
      <c r="G77" t="s">
        <v>525</v>
      </c>
    </row>
    <row r="78" spans="1:7" x14ac:dyDescent="0.3">
      <c r="A78">
        <v>0</v>
      </c>
      <c r="B78" t="s">
        <v>312</v>
      </c>
      <c r="C78" t="s">
        <v>388</v>
      </c>
      <c r="D78" t="s">
        <v>2</v>
      </c>
      <c r="E78" t="s">
        <v>388</v>
      </c>
      <c r="F78" t="s">
        <v>13</v>
      </c>
      <c r="G78" t="s">
        <v>525</v>
      </c>
    </row>
    <row r="79" spans="1:7" x14ac:dyDescent="0.3">
      <c r="A79">
        <v>0</v>
      </c>
      <c r="B79" t="s">
        <v>319</v>
      </c>
      <c r="C79" t="s">
        <v>429</v>
      </c>
      <c r="D79" t="s">
        <v>2</v>
      </c>
      <c r="E79" t="s">
        <v>429</v>
      </c>
      <c r="F79" t="s">
        <v>13</v>
      </c>
      <c r="G79" t="s">
        <v>525</v>
      </c>
    </row>
    <row r="80" spans="1:7" x14ac:dyDescent="0.3">
      <c r="A80">
        <v>0</v>
      </c>
      <c r="B80" t="s">
        <v>312</v>
      </c>
      <c r="C80" t="s">
        <v>272</v>
      </c>
      <c r="D80" t="s">
        <v>2</v>
      </c>
      <c r="E80" t="s">
        <v>272</v>
      </c>
      <c r="F80" t="s">
        <v>13</v>
      </c>
      <c r="G80" t="s">
        <v>525</v>
      </c>
    </row>
    <row r="81" spans="1:7" x14ac:dyDescent="0.3">
      <c r="A81">
        <v>0</v>
      </c>
      <c r="B81" t="s">
        <v>312</v>
      </c>
      <c r="C81" t="s">
        <v>410</v>
      </c>
      <c r="D81" t="s">
        <v>2</v>
      </c>
      <c r="E81" t="s">
        <v>410</v>
      </c>
      <c r="F81" t="s">
        <v>13</v>
      </c>
      <c r="G81" t="s">
        <v>525</v>
      </c>
    </row>
    <row r="82" spans="1:7" x14ac:dyDescent="0.3">
      <c r="A82">
        <v>0</v>
      </c>
      <c r="B82" t="s">
        <v>319</v>
      </c>
      <c r="C82" t="s">
        <v>363</v>
      </c>
      <c r="D82" t="s">
        <v>2</v>
      </c>
      <c r="E82" t="s">
        <v>363</v>
      </c>
      <c r="F82" t="s">
        <v>13</v>
      </c>
      <c r="G82" t="s">
        <v>525</v>
      </c>
    </row>
    <row r="83" spans="1:7" x14ac:dyDescent="0.3">
      <c r="A83">
        <v>0</v>
      </c>
      <c r="B83" t="s">
        <v>312</v>
      </c>
      <c r="C83" t="s">
        <v>382</v>
      </c>
      <c r="D83" t="s">
        <v>2</v>
      </c>
      <c r="E83" t="s">
        <v>382</v>
      </c>
      <c r="F83" t="s">
        <v>13</v>
      </c>
      <c r="G83" t="s">
        <v>525</v>
      </c>
    </row>
    <row r="84" spans="1:7" x14ac:dyDescent="0.3">
      <c r="A84">
        <v>0</v>
      </c>
      <c r="B84" t="s">
        <v>312</v>
      </c>
      <c r="C84" t="s">
        <v>424</v>
      </c>
      <c r="D84" t="s">
        <v>2</v>
      </c>
      <c r="E84" t="s">
        <v>424</v>
      </c>
      <c r="F84" t="s">
        <v>13</v>
      </c>
      <c r="G84" t="s">
        <v>525</v>
      </c>
    </row>
    <row r="85" spans="1:7" x14ac:dyDescent="0.3">
      <c r="A85">
        <v>0</v>
      </c>
      <c r="B85" t="s">
        <v>314</v>
      </c>
      <c r="C85" t="s">
        <v>351</v>
      </c>
      <c r="D85" t="s">
        <v>2</v>
      </c>
      <c r="E85" t="s">
        <v>351</v>
      </c>
      <c r="F85" t="s">
        <v>13</v>
      </c>
      <c r="G85" t="s">
        <v>525</v>
      </c>
    </row>
    <row r="86" spans="1:7" x14ac:dyDescent="0.3">
      <c r="A86">
        <v>0</v>
      </c>
      <c r="B86" t="s">
        <v>312</v>
      </c>
      <c r="C86" t="s">
        <v>347</v>
      </c>
      <c r="D86" t="s">
        <v>2</v>
      </c>
      <c r="E86" t="s">
        <v>347</v>
      </c>
      <c r="F86" t="s">
        <v>13</v>
      </c>
      <c r="G86" t="s">
        <v>525</v>
      </c>
    </row>
    <row r="87" spans="1:7" x14ac:dyDescent="0.3">
      <c r="A87">
        <v>0</v>
      </c>
      <c r="B87" t="s">
        <v>314</v>
      </c>
      <c r="C87" t="s">
        <v>453</v>
      </c>
      <c r="D87" t="s">
        <v>2</v>
      </c>
      <c r="E87" t="s">
        <v>453</v>
      </c>
      <c r="F87" t="s">
        <v>13</v>
      </c>
      <c r="G87" t="s">
        <v>525</v>
      </c>
    </row>
    <row r="88" spans="1:7" x14ac:dyDescent="0.3">
      <c r="A88">
        <v>0</v>
      </c>
      <c r="B88" t="s">
        <v>319</v>
      </c>
      <c r="C88" t="s">
        <v>457</v>
      </c>
      <c r="D88" t="s">
        <v>2</v>
      </c>
      <c r="E88" t="s">
        <v>457</v>
      </c>
      <c r="F88" t="s">
        <v>13</v>
      </c>
      <c r="G88" t="s">
        <v>525</v>
      </c>
    </row>
    <row r="89" spans="1:7" x14ac:dyDescent="0.3">
      <c r="A89">
        <v>0</v>
      </c>
      <c r="B89" t="s">
        <v>312</v>
      </c>
      <c r="C89" t="s">
        <v>485</v>
      </c>
      <c r="D89" t="s">
        <v>2</v>
      </c>
      <c r="E89" t="s">
        <v>485</v>
      </c>
      <c r="F89" t="s">
        <v>13</v>
      </c>
      <c r="G89" t="s">
        <v>525</v>
      </c>
    </row>
    <row r="90" spans="1:7" x14ac:dyDescent="0.3">
      <c r="A90">
        <v>0</v>
      </c>
      <c r="B90" t="s">
        <v>312</v>
      </c>
      <c r="C90" t="s">
        <v>355</v>
      </c>
      <c r="D90" t="s">
        <v>2</v>
      </c>
      <c r="E90" t="s">
        <v>355</v>
      </c>
      <c r="F90" t="s">
        <v>13</v>
      </c>
      <c r="G90" t="s">
        <v>525</v>
      </c>
    </row>
    <row r="91" spans="1:7" x14ac:dyDescent="0.3">
      <c r="A91">
        <v>0</v>
      </c>
      <c r="B91" t="s">
        <v>312</v>
      </c>
      <c r="C91" t="s">
        <v>338</v>
      </c>
      <c r="D91" t="s">
        <v>2</v>
      </c>
      <c r="E91" t="s">
        <v>338</v>
      </c>
      <c r="F91" t="s">
        <v>13</v>
      </c>
      <c r="G91" t="s">
        <v>525</v>
      </c>
    </row>
    <row r="92" spans="1:7" x14ac:dyDescent="0.3">
      <c r="A92">
        <v>0</v>
      </c>
      <c r="B92" t="s">
        <v>312</v>
      </c>
      <c r="C92" t="s">
        <v>394</v>
      </c>
      <c r="D92" t="s">
        <v>2</v>
      </c>
      <c r="E92" t="s">
        <v>394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438</v>
      </c>
      <c r="D93" t="s">
        <v>2</v>
      </c>
      <c r="E93" t="s">
        <v>438</v>
      </c>
      <c r="F93" t="s">
        <v>13</v>
      </c>
      <c r="G93" t="s">
        <v>525</v>
      </c>
    </row>
    <row r="94" spans="1:7" x14ac:dyDescent="0.3">
      <c r="A94">
        <v>0</v>
      </c>
      <c r="B94" t="s">
        <v>312</v>
      </c>
      <c r="C94" t="s">
        <v>486</v>
      </c>
      <c r="D94" t="s">
        <v>2</v>
      </c>
      <c r="E94" t="s">
        <v>486</v>
      </c>
      <c r="F94" t="s">
        <v>13</v>
      </c>
      <c r="G94" t="s">
        <v>525</v>
      </c>
    </row>
    <row r="95" spans="1:7" x14ac:dyDescent="0.3">
      <c r="A95">
        <v>0</v>
      </c>
      <c r="B95" t="s">
        <v>319</v>
      </c>
      <c r="C95" t="s">
        <v>419</v>
      </c>
      <c r="D95" t="s">
        <v>2</v>
      </c>
      <c r="E95" t="s">
        <v>419</v>
      </c>
      <c r="F95" t="s">
        <v>13</v>
      </c>
      <c r="G95" t="s">
        <v>525</v>
      </c>
    </row>
    <row r="96" spans="1:7" x14ac:dyDescent="0.3">
      <c r="A96">
        <v>0</v>
      </c>
      <c r="B96" t="s">
        <v>57</v>
      </c>
      <c r="C96" t="s">
        <v>353</v>
      </c>
      <c r="D96" t="s">
        <v>2</v>
      </c>
      <c r="E96" t="s">
        <v>353</v>
      </c>
      <c r="F96" t="s">
        <v>13</v>
      </c>
      <c r="G96" t="s">
        <v>525</v>
      </c>
    </row>
    <row r="97" spans="1:7" x14ac:dyDescent="0.3">
      <c r="A97">
        <v>0</v>
      </c>
      <c r="B97" t="s">
        <v>319</v>
      </c>
      <c r="C97" t="s">
        <v>489</v>
      </c>
      <c r="D97" t="s">
        <v>2</v>
      </c>
      <c r="E97" t="s">
        <v>489</v>
      </c>
      <c r="F97" t="s">
        <v>13</v>
      </c>
      <c r="G97" t="s">
        <v>525</v>
      </c>
    </row>
    <row r="98" spans="1:7" x14ac:dyDescent="0.3">
      <c r="A98">
        <v>0</v>
      </c>
      <c r="B98" t="s">
        <v>312</v>
      </c>
      <c r="C98" t="s">
        <v>386</v>
      </c>
      <c r="D98" t="s">
        <v>2</v>
      </c>
      <c r="E98" t="s">
        <v>386</v>
      </c>
      <c r="F98" t="s">
        <v>13</v>
      </c>
      <c r="G98" t="s">
        <v>525</v>
      </c>
    </row>
    <row r="99" spans="1:7" x14ac:dyDescent="0.3">
      <c r="A99">
        <v>0</v>
      </c>
      <c r="B99" t="s">
        <v>319</v>
      </c>
      <c r="C99" t="s">
        <v>389</v>
      </c>
      <c r="D99" t="s">
        <v>2</v>
      </c>
      <c r="E99" t="s">
        <v>389</v>
      </c>
      <c r="F99" t="s">
        <v>13</v>
      </c>
      <c r="G99" t="s">
        <v>525</v>
      </c>
    </row>
    <row r="100" spans="1:7" x14ac:dyDescent="0.3">
      <c r="A100">
        <v>0</v>
      </c>
      <c r="B100" t="s">
        <v>312</v>
      </c>
      <c r="C100" t="s">
        <v>340</v>
      </c>
      <c r="D100" t="s">
        <v>2</v>
      </c>
      <c r="E100" t="s">
        <v>340</v>
      </c>
      <c r="F100" t="s">
        <v>13</v>
      </c>
      <c r="G100" t="s">
        <v>525</v>
      </c>
    </row>
    <row r="101" spans="1:7" x14ac:dyDescent="0.3">
      <c r="A101">
        <v>0</v>
      </c>
      <c r="B101" t="s">
        <v>312</v>
      </c>
      <c r="C101" t="s">
        <v>368</v>
      </c>
      <c r="D101" t="s">
        <v>2</v>
      </c>
      <c r="E101" t="s">
        <v>368</v>
      </c>
      <c r="F101" t="s">
        <v>13</v>
      </c>
      <c r="G101" t="s">
        <v>525</v>
      </c>
    </row>
    <row r="102" spans="1:7" x14ac:dyDescent="0.3">
      <c r="A102">
        <v>0</v>
      </c>
      <c r="B102" t="s">
        <v>312</v>
      </c>
      <c r="C102" t="s">
        <v>328</v>
      </c>
      <c r="D102" t="s">
        <v>2</v>
      </c>
      <c r="E102" t="s">
        <v>328</v>
      </c>
      <c r="F102" t="s">
        <v>13</v>
      </c>
      <c r="G102" t="s">
        <v>525</v>
      </c>
    </row>
    <row r="103" spans="1:7" x14ac:dyDescent="0.3">
      <c r="A103">
        <v>0</v>
      </c>
      <c r="B103" t="s">
        <v>312</v>
      </c>
      <c r="C103" t="s">
        <v>479</v>
      </c>
      <c r="D103" t="s">
        <v>2</v>
      </c>
      <c r="E103" t="s">
        <v>479</v>
      </c>
      <c r="F103" t="s">
        <v>13</v>
      </c>
      <c r="G103" t="s">
        <v>525</v>
      </c>
    </row>
    <row r="104" spans="1:7" x14ac:dyDescent="0.3">
      <c r="A104">
        <v>0</v>
      </c>
      <c r="B104" t="s">
        <v>57</v>
      </c>
      <c r="C104" t="s">
        <v>116</v>
      </c>
      <c r="D104" t="s">
        <v>2</v>
      </c>
      <c r="E104" t="s">
        <v>116</v>
      </c>
      <c r="F104" t="s">
        <v>13</v>
      </c>
      <c r="G104" t="s">
        <v>525</v>
      </c>
    </row>
    <row r="105" spans="1:7" x14ac:dyDescent="0.3">
      <c r="A105">
        <v>0</v>
      </c>
      <c r="B105" t="s">
        <v>312</v>
      </c>
      <c r="C105" t="s">
        <v>352</v>
      </c>
      <c r="D105" t="s">
        <v>2</v>
      </c>
      <c r="E105" t="s">
        <v>352</v>
      </c>
      <c r="F105" t="s">
        <v>13</v>
      </c>
      <c r="G105" t="s">
        <v>525</v>
      </c>
    </row>
    <row r="106" spans="1:7" x14ac:dyDescent="0.3">
      <c r="A106">
        <v>0</v>
      </c>
      <c r="B106" t="s">
        <v>312</v>
      </c>
      <c r="C106" t="s">
        <v>417</v>
      </c>
      <c r="D106" t="s">
        <v>2</v>
      </c>
      <c r="E106" t="s">
        <v>417</v>
      </c>
      <c r="F106" t="s">
        <v>13</v>
      </c>
      <c r="G106" t="s">
        <v>525</v>
      </c>
    </row>
    <row r="107" spans="1:7" x14ac:dyDescent="0.3">
      <c r="A107">
        <v>0</v>
      </c>
      <c r="B107" t="s">
        <v>312</v>
      </c>
      <c r="C107" t="s">
        <v>447</v>
      </c>
      <c r="D107" t="s">
        <v>2</v>
      </c>
      <c r="E107" t="s">
        <v>447</v>
      </c>
      <c r="F107" t="s">
        <v>13</v>
      </c>
      <c r="G107" t="s">
        <v>525</v>
      </c>
    </row>
    <row r="108" spans="1:7" x14ac:dyDescent="0.3">
      <c r="A108">
        <v>0</v>
      </c>
      <c r="B108" t="s">
        <v>319</v>
      </c>
      <c r="C108" t="s">
        <v>329</v>
      </c>
      <c r="D108" t="s">
        <v>2</v>
      </c>
      <c r="E108" t="s">
        <v>329</v>
      </c>
      <c r="F108" t="s">
        <v>13</v>
      </c>
      <c r="G108" t="s">
        <v>525</v>
      </c>
    </row>
    <row r="109" spans="1:7" x14ac:dyDescent="0.3">
      <c r="A109">
        <v>0</v>
      </c>
      <c r="B109" t="s">
        <v>312</v>
      </c>
      <c r="C109" t="s">
        <v>252</v>
      </c>
      <c r="D109" t="s">
        <v>2</v>
      </c>
      <c r="E109" t="s">
        <v>252</v>
      </c>
      <c r="F109" t="s">
        <v>13</v>
      </c>
      <c r="G109" t="s">
        <v>525</v>
      </c>
    </row>
    <row r="110" spans="1:7" x14ac:dyDescent="0.3">
      <c r="A110">
        <v>0</v>
      </c>
      <c r="B110" t="s">
        <v>312</v>
      </c>
      <c r="C110" t="s">
        <v>317</v>
      </c>
      <c r="D110" t="s">
        <v>2</v>
      </c>
      <c r="E110" t="s">
        <v>317</v>
      </c>
      <c r="F110" t="s">
        <v>13</v>
      </c>
      <c r="G110" t="s">
        <v>525</v>
      </c>
    </row>
    <row r="111" spans="1:7" x14ac:dyDescent="0.3">
      <c r="A111">
        <v>0</v>
      </c>
      <c r="B111" t="s">
        <v>312</v>
      </c>
      <c r="C111" t="s">
        <v>436</v>
      </c>
      <c r="D111" t="s">
        <v>2</v>
      </c>
      <c r="E111" t="s">
        <v>436</v>
      </c>
      <c r="F111" t="s">
        <v>13</v>
      </c>
      <c r="G111" t="s">
        <v>525</v>
      </c>
    </row>
    <row r="112" spans="1:7" x14ac:dyDescent="0.3">
      <c r="A112">
        <v>0</v>
      </c>
      <c r="B112" t="s">
        <v>319</v>
      </c>
      <c r="C112" t="s">
        <v>490</v>
      </c>
      <c r="D112" t="s">
        <v>2</v>
      </c>
      <c r="E112" t="s">
        <v>490</v>
      </c>
      <c r="F112" t="s">
        <v>13</v>
      </c>
      <c r="G112" t="s">
        <v>525</v>
      </c>
    </row>
    <row r="113" spans="1:7" x14ac:dyDescent="0.3">
      <c r="A113">
        <v>0</v>
      </c>
      <c r="B113" t="s">
        <v>312</v>
      </c>
      <c r="C113" t="s">
        <v>391</v>
      </c>
      <c r="D113" t="s">
        <v>2</v>
      </c>
      <c r="E113" t="s">
        <v>391</v>
      </c>
      <c r="F113" t="s">
        <v>13</v>
      </c>
      <c r="G113" t="s">
        <v>525</v>
      </c>
    </row>
    <row r="114" spans="1:7" x14ac:dyDescent="0.3">
      <c r="A114">
        <v>0</v>
      </c>
      <c r="B114" t="s">
        <v>312</v>
      </c>
      <c r="C114" t="s">
        <v>235</v>
      </c>
      <c r="D114" t="s">
        <v>2</v>
      </c>
      <c r="E114" t="s">
        <v>235</v>
      </c>
      <c r="F114" t="s">
        <v>13</v>
      </c>
      <c r="G114" t="s">
        <v>525</v>
      </c>
    </row>
    <row r="115" spans="1:7" x14ac:dyDescent="0.3">
      <c r="A115">
        <v>0</v>
      </c>
      <c r="B115" t="s">
        <v>312</v>
      </c>
      <c r="C115" t="s">
        <v>493</v>
      </c>
      <c r="D115" t="s">
        <v>2</v>
      </c>
      <c r="E115" t="s">
        <v>493</v>
      </c>
      <c r="F115" t="s">
        <v>13</v>
      </c>
      <c r="G115" t="s">
        <v>525</v>
      </c>
    </row>
    <row r="116" spans="1:7" x14ac:dyDescent="0.3">
      <c r="A116">
        <v>0</v>
      </c>
      <c r="B116" t="s">
        <v>312</v>
      </c>
      <c r="C116" t="s">
        <v>335</v>
      </c>
      <c r="D116" t="s">
        <v>2</v>
      </c>
      <c r="E116" t="s">
        <v>335</v>
      </c>
      <c r="F116" t="s">
        <v>13</v>
      </c>
      <c r="G116" t="s">
        <v>525</v>
      </c>
    </row>
    <row r="117" spans="1:7" x14ac:dyDescent="0.3">
      <c r="A117">
        <v>0</v>
      </c>
      <c r="B117" t="s">
        <v>312</v>
      </c>
      <c r="C117" t="s">
        <v>354</v>
      </c>
      <c r="D117" t="s">
        <v>2</v>
      </c>
      <c r="E117" t="s">
        <v>354</v>
      </c>
      <c r="F117" t="s">
        <v>13</v>
      </c>
      <c r="G117" t="s">
        <v>525</v>
      </c>
    </row>
    <row r="118" spans="1:7" x14ac:dyDescent="0.3">
      <c r="A118">
        <v>0</v>
      </c>
      <c r="B118" t="s">
        <v>319</v>
      </c>
      <c r="C118" t="s">
        <v>360</v>
      </c>
      <c r="D118" t="s">
        <v>2</v>
      </c>
      <c r="E118" t="s">
        <v>360</v>
      </c>
      <c r="F118" t="s">
        <v>13</v>
      </c>
      <c r="G118" t="s">
        <v>525</v>
      </c>
    </row>
    <row r="119" spans="1:7" x14ac:dyDescent="0.3">
      <c r="A119">
        <v>0</v>
      </c>
      <c r="B119" t="s">
        <v>314</v>
      </c>
      <c r="C119" t="s">
        <v>356</v>
      </c>
      <c r="D119" t="s">
        <v>2</v>
      </c>
      <c r="E119" t="s">
        <v>356</v>
      </c>
      <c r="F119" t="s">
        <v>13</v>
      </c>
      <c r="G119" t="s">
        <v>525</v>
      </c>
    </row>
    <row r="120" spans="1:7" x14ac:dyDescent="0.3">
      <c r="A120">
        <v>0</v>
      </c>
      <c r="B120" t="s">
        <v>312</v>
      </c>
      <c r="C120" t="s">
        <v>405</v>
      </c>
      <c r="D120" t="s">
        <v>2</v>
      </c>
      <c r="E120" t="s">
        <v>405</v>
      </c>
      <c r="F120" t="s">
        <v>13</v>
      </c>
      <c r="G120" t="s">
        <v>525</v>
      </c>
    </row>
    <row r="121" spans="1:7" x14ac:dyDescent="0.3">
      <c r="A121">
        <v>0</v>
      </c>
      <c r="B121" t="s">
        <v>312</v>
      </c>
      <c r="C121" t="s">
        <v>471</v>
      </c>
      <c r="D121" t="s">
        <v>2</v>
      </c>
      <c r="E121" t="s">
        <v>471</v>
      </c>
      <c r="F121" t="s">
        <v>13</v>
      </c>
      <c r="G121" t="s">
        <v>525</v>
      </c>
    </row>
    <row r="122" spans="1:7" x14ac:dyDescent="0.3">
      <c r="A122">
        <v>0</v>
      </c>
      <c r="B122" t="s">
        <v>319</v>
      </c>
      <c r="C122" t="s">
        <v>421</v>
      </c>
      <c r="D122" t="s">
        <v>2</v>
      </c>
      <c r="E122" t="s">
        <v>421</v>
      </c>
      <c r="F122" t="s">
        <v>13</v>
      </c>
      <c r="G122" t="s">
        <v>525</v>
      </c>
    </row>
    <row r="123" spans="1:7" x14ac:dyDescent="0.3">
      <c r="A123">
        <v>0</v>
      </c>
      <c r="B123" t="s">
        <v>312</v>
      </c>
      <c r="C123" t="s">
        <v>321</v>
      </c>
      <c r="D123" t="s">
        <v>2</v>
      </c>
      <c r="E123" t="s">
        <v>321</v>
      </c>
      <c r="F123" t="s">
        <v>13</v>
      </c>
      <c r="G123" t="s">
        <v>525</v>
      </c>
    </row>
    <row r="124" spans="1:7" x14ac:dyDescent="0.3">
      <c r="A124">
        <v>0</v>
      </c>
      <c r="B124" t="s">
        <v>105</v>
      </c>
      <c r="C124" t="s">
        <v>113</v>
      </c>
      <c r="D124" t="s">
        <v>2</v>
      </c>
      <c r="E124" t="s">
        <v>113</v>
      </c>
      <c r="F124" t="s">
        <v>13</v>
      </c>
      <c r="G124" t="s">
        <v>525</v>
      </c>
    </row>
    <row r="125" spans="1:7" x14ac:dyDescent="0.3">
      <c r="A125">
        <v>0</v>
      </c>
      <c r="B125" t="s">
        <v>312</v>
      </c>
      <c r="C125" t="s">
        <v>348</v>
      </c>
      <c r="D125" t="s">
        <v>2</v>
      </c>
      <c r="E125" t="s">
        <v>348</v>
      </c>
      <c r="F125" t="s">
        <v>13</v>
      </c>
      <c r="G125" t="s">
        <v>525</v>
      </c>
    </row>
    <row r="126" spans="1:7" x14ac:dyDescent="0.3">
      <c r="A126">
        <v>0</v>
      </c>
      <c r="B126" t="s">
        <v>105</v>
      </c>
      <c r="C126" t="s">
        <v>469</v>
      </c>
      <c r="D126" t="s">
        <v>2</v>
      </c>
      <c r="E126" t="s">
        <v>469</v>
      </c>
      <c r="F126" t="s">
        <v>13</v>
      </c>
      <c r="G126" t="s">
        <v>525</v>
      </c>
    </row>
    <row r="127" spans="1:7" x14ac:dyDescent="0.3">
      <c r="A127">
        <v>0</v>
      </c>
      <c r="B127" t="s">
        <v>314</v>
      </c>
      <c r="C127" t="s">
        <v>481</v>
      </c>
      <c r="D127" t="s">
        <v>2</v>
      </c>
      <c r="E127" t="s">
        <v>481</v>
      </c>
      <c r="F127" t="s">
        <v>13</v>
      </c>
      <c r="G127" t="s">
        <v>525</v>
      </c>
    </row>
    <row r="128" spans="1:7" x14ac:dyDescent="0.3">
      <c r="A128">
        <v>0</v>
      </c>
      <c r="B128" t="s">
        <v>312</v>
      </c>
      <c r="C128" t="s">
        <v>398</v>
      </c>
      <c r="D128" t="s">
        <v>2</v>
      </c>
      <c r="E128" t="s">
        <v>398</v>
      </c>
      <c r="F128" t="s">
        <v>13</v>
      </c>
      <c r="G128" t="s">
        <v>525</v>
      </c>
    </row>
    <row r="129" spans="1:7" x14ac:dyDescent="0.3">
      <c r="A129">
        <v>0</v>
      </c>
      <c r="B129" t="s">
        <v>314</v>
      </c>
      <c r="C129" t="s">
        <v>342</v>
      </c>
      <c r="D129" t="s">
        <v>2</v>
      </c>
      <c r="E129" t="s">
        <v>342</v>
      </c>
      <c r="F129" t="s">
        <v>13</v>
      </c>
      <c r="G129" t="s">
        <v>525</v>
      </c>
    </row>
    <row r="130" spans="1:7" x14ac:dyDescent="0.3">
      <c r="A130">
        <v>0</v>
      </c>
      <c r="B130" t="s">
        <v>312</v>
      </c>
      <c r="C130" t="s">
        <v>322</v>
      </c>
      <c r="D130" t="s">
        <v>2</v>
      </c>
      <c r="E130" t="s">
        <v>322</v>
      </c>
      <c r="F130" t="s">
        <v>13</v>
      </c>
      <c r="G130" t="s">
        <v>525</v>
      </c>
    </row>
    <row r="131" spans="1:7" x14ac:dyDescent="0.3">
      <c r="A131">
        <v>0</v>
      </c>
      <c r="B131" t="s">
        <v>314</v>
      </c>
      <c r="C131" t="s">
        <v>409</v>
      </c>
      <c r="D131" t="s">
        <v>2</v>
      </c>
      <c r="E131" t="s">
        <v>409</v>
      </c>
      <c r="F131" t="s">
        <v>13</v>
      </c>
      <c r="G131" t="s">
        <v>525</v>
      </c>
    </row>
    <row r="132" spans="1:7" x14ac:dyDescent="0.3">
      <c r="A132">
        <v>0</v>
      </c>
      <c r="B132" t="s">
        <v>314</v>
      </c>
      <c r="C132" t="s">
        <v>480</v>
      </c>
      <c r="D132" t="s">
        <v>2</v>
      </c>
      <c r="E132" t="s">
        <v>480</v>
      </c>
      <c r="F132" t="s">
        <v>13</v>
      </c>
      <c r="G132" t="s">
        <v>525</v>
      </c>
    </row>
    <row r="133" spans="1:7" x14ac:dyDescent="0.3">
      <c r="A133">
        <v>0</v>
      </c>
      <c r="B133" t="s">
        <v>105</v>
      </c>
      <c r="C133" t="s">
        <v>121</v>
      </c>
      <c r="D133" t="s">
        <v>2</v>
      </c>
      <c r="E133" t="s">
        <v>121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359</v>
      </c>
      <c r="D134" t="s">
        <v>2</v>
      </c>
      <c r="E134" t="s">
        <v>359</v>
      </c>
      <c r="F134" t="s">
        <v>13</v>
      </c>
      <c r="G134" t="s">
        <v>525</v>
      </c>
    </row>
    <row r="135" spans="1:7" x14ac:dyDescent="0.3">
      <c r="A135">
        <v>0</v>
      </c>
      <c r="B135" t="s">
        <v>319</v>
      </c>
      <c r="C135" t="s">
        <v>468</v>
      </c>
      <c r="D135" t="s">
        <v>2</v>
      </c>
      <c r="E135" t="s">
        <v>468</v>
      </c>
      <c r="F135" t="s">
        <v>13</v>
      </c>
      <c r="G135" t="s">
        <v>525</v>
      </c>
    </row>
    <row r="136" spans="1:7" x14ac:dyDescent="0.3">
      <c r="A136">
        <v>0</v>
      </c>
      <c r="B136" t="s">
        <v>319</v>
      </c>
      <c r="C136" t="s">
        <v>458</v>
      </c>
      <c r="D136" t="s">
        <v>2</v>
      </c>
      <c r="E136" t="s">
        <v>458</v>
      </c>
      <c r="F136" t="s">
        <v>13</v>
      </c>
      <c r="G136" t="s">
        <v>525</v>
      </c>
    </row>
    <row r="137" spans="1:7" x14ac:dyDescent="0.3">
      <c r="A137">
        <v>0</v>
      </c>
      <c r="B137" t="s">
        <v>312</v>
      </c>
      <c r="C137" t="s">
        <v>370</v>
      </c>
      <c r="D137" t="s">
        <v>2</v>
      </c>
      <c r="E137" t="s">
        <v>370</v>
      </c>
      <c r="F137" t="s">
        <v>13</v>
      </c>
      <c r="G137" t="s">
        <v>525</v>
      </c>
    </row>
    <row r="138" spans="1:7" x14ac:dyDescent="0.3">
      <c r="A138">
        <v>0</v>
      </c>
      <c r="B138" t="s">
        <v>57</v>
      </c>
      <c r="C138" t="s">
        <v>114</v>
      </c>
      <c r="D138" t="s">
        <v>2</v>
      </c>
      <c r="E138" t="s">
        <v>114</v>
      </c>
      <c r="F138" t="s">
        <v>13</v>
      </c>
      <c r="G138" t="s">
        <v>525</v>
      </c>
    </row>
    <row r="139" spans="1:7" x14ac:dyDescent="0.3">
      <c r="A139">
        <v>0</v>
      </c>
      <c r="B139" t="s">
        <v>319</v>
      </c>
      <c r="C139" t="s">
        <v>404</v>
      </c>
      <c r="D139" t="s">
        <v>2</v>
      </c>
      <c r="E139" t="s">
        <v>404</v>
      </c>
      <c r="F139" t="s">
        <v>13</v>
      </c>
      <c r="G139" t="s">
        <v>525</v>
      </c>
    </row>
    <row r="140" spans="1:7" x14ac:dyDescent="0.3">
      <c r="A140">
        <v>0</v>
      </c>
      <c r="B140" t="s">
        <v>312</v>
      </c>
      <c r="C140" t="s">
        <v>369</v>
      </c>
      <c r="D140" t="s">
        <v>2</v>
      </c>
      <c r="E140" t="s">
        <v>369</v>
      </c>
      <c r="F140" t="s">
        <v>13</v>
      </c>
      <c r="G140" t="s">
        <v>525</v>
      </c>
    </row>
    <row r="141" spans="1:7" x14ac:dyDescent="0.3">
      <c r="A141">
        <v>0</v>
      </c>
      <c r="B141" t="s">
        <v>57</v>
      </c>
      <c r="C141" t="s">
        <v>122</v>
      </c>
      <c r="D141" t="s">
        <v>2</v>
      </c>
      <c r="E141" t="s">
        <v>122</v>
      </c>
      <c r="F141" t="s">
        <v>13</v>
      </c>
      <c r="G141" t="s">
        <v>525</v>
      </c>
    </row>
    <row r="142" spans="1:7" x14ac:dyDescent="0.3">
      <c r="A142">
        <v>0</v>
      </c>
      <c r="B142" t="s">
        <v>319</v>
      </c>
      <c r="C142" t="s">
        <v>390</v>
      </c>
      <c r="D142" t="s">
        <v>2</v>
      </c>
      <c r="E142" t="s">
        <v>390</v>
      </c>
      <c r="F142" t="s">
        <v>13</v>
      </c>
      <c r="G142" t="s">
        <v>525</v>
      </c>
    </row>
    <row r="143" spans="1:7" x14ac:dyDescent="0.3">
      <c r="A143">
        <v>0</v>
      </c>
      <c r="B143" t="s">
        <v>312</v>
      </c>
      <c r="C143" t="s">
        <v>492</v>
      </c>
      <c r="D143" t="s">
        <v>2</v>
      </c>
      <c r="E143" t="s">
        <v>492</v>
      </c>
      <c r="F143" t="s">
        <v>13</v>
      </c>
      <c r="G143" t="s">
        <v>525</v>
      </c>
    </row>
    <row r="144" spans="1:7" x14ac:dyDescent="0.3">
      <c r="A144">
        <v>0</v>
      </c>
      <c r="B144" t="s">
        <v>312</v>
      </c>
      <c r="C144" t="s">
        <v>345</v>
      </c>
      <c r="D144" t="s">
        <v>2</v>
      </c>
      <c r="E144" t="s">
        <v>345</v>
      </c>
      <c r="F144" t="s">
        <v>13</v>
      </c>
      <c r="G144" t="s">
        <v>525</v>
      </c>
    </row>
    <row r="145" spans="1:7" x14ac:dyDescent="0.3">
      <c r="A145">
        <v>0</v>
      </c>
      <c r="B145" t="s">
        <v>314</v>
      </c>
      <c r="C145" t="s">
        <v>374</v>
      </c>
      <c r="D145" t="s">
        <v>2</v>
      </c>
      <c r="E145" t="s">
        <v>374</v>
      </c>
      <c r="F145" t="s">
        <v>13</v>
      </c>
      <c r="G145" t="s">
        <v>525</v>
      </c>
    </row>
    <row r="146" spans="1:7" x14ac:dyDescent="0.3">
      <c r="A146">
        <v>0</v>
      </c>
      <c r="B146" t="s">
        <v>105</v>
      </c>
      <c r="C146" t="s">
        <v>124</v>
      </c>
      <c r="D146" t="s">
        <v>2</v>
      </c>
      <c r="E146" t="s">
        <v>124</v>
      </c>
      <c r="F146" t="s">
        <v>13</v>
      </c>
      <c r="G146" t="s">
        <v>525</v>
      </c>
    </row>
    <row r="147" spans="1:7" x14ac:dyDescent="0.3">
      <c r="A147">
        <v>0</v>
      </c>
      <c r="B147" t="s">
        <v>312</v>
      </c>
      <c r="C147" t="s">
        <v>440</v>
      </c>
      <c r="D147" t="s">
        <v>2</v>
      </c>
      <c r="E147" t="s">
        <v>440</v>
      </c>
      <c r="F147" t="s">
        <v>13</v>
      </c>
      <c r="G147" t="s">
        <v>525</v>
      </c>
    </row>
    <row r="148" spans="1:7" x14ac:dyDescent="0.3">
      <c r="A148">
        <v>0</v>
      </c>
      <c r="B148" t="s">
        <v>312</v>
      </c>
      <c r="C148" t="s">
        <v>316</v>
      </c>
      <c r="D148" t="s">
        <v>2</v>
      </c>
      <c r="E148" t="s">
        <v>316</v>
      </c>
      <c r="F148" t="s">
        <v>13</v>
      </c>
      <c r="G148" t="s">
        <v>525</v>
      </c>
    </row>
    <row r="149" spans="1:7" x14ac:dyDescent="0.3">
      <c r="A149">
        <v>0</v>
      </c>
      <c r="B149" t="s">
        <v>312</v>
      </c>
      <c r="C149" t="s">
        <v>427</v>
      </c>
      <c r="D149" t="s">
        <v>2</v>
      </c>
      <c r="E149" t="s">
        <v>427</v>
      </c>
      <c r="F149" t="s">
        <v>13</v>
      </c>
      <c r="G149" t="s">
        <v>525</v>
      </c>
    </row>
    <row r="150" spans="1:7" x14ac:dyDescent="0.3">
      <c r="A150">
        <v>0</v>
      </c>
      <c r="B150" t="s">
        <v>312</v>
      </c>
      <c r="C150" t="s">
        <v>332</v>
      </c>
      <c r="D150" t="s">
        <v>2</v>
      </c>
      <c r="E150" t="s">
        <v>332</v>
      </c>
      <c r="F150" t="s">
        <v>13</v>
      </c>
      <c r="G150" t="s">
        <v>525</v>
      </c>
    </row>
    <row r="151" spans="1:7" x14ac:dyDescent="0.3">
      <c r="A151">
        <v>0</v>
      </c>
      <c r="B151" t="s">
        <v>312</v>
      </c>
      <c r="C151" t="s">
        <v>336</v>
      </c>
      <c r="D151" t="s">
        <v>2</v>
      </c>
      <c r="E151" t="s">
        <v>336</v>
      </c>
      <c r="F151" t="s">
        <v>13</v>
      </c>
      <c r="G151" t="s">
        <v>525</v>
      </c>
    </row>
    <row r="152" spans="1:7" x14ac:dyDescent="0.3">
      <c r="A152">
        <v>0</v>
      </c>
      <c r="B152" t="s">
        <v>314</v>
      </c>
      <c r="C152" t="s">
        <v>393</v>
      </c>
      <c r="D152" t="s">
        <v>2</v>
      </c>
      <c r="E152" t="s">
        <v>393</v>
      </c>
      <c r="F152" t="s">
        <v>13</v>
      </c>
      <c r="G152" t="s">
        <v>525</v>
      </c>
    </row>
    <row r="153" spans="1:7" x14ac:dyDescent="0.3">
      <c r="A153">
        <v>0</v>
      </c>
      <c r="B153" t="s">
        <v>312</v>
      </c>
      <c r="C153" t="s">
        <v>339</v>
      </c>
      <c r="D153" t="s">
        <v>2</v>
      </c>
      <c r="E153" t="s">
        <v>339</v>
      </c>
      <c r="F153" t="s">
        <v>13</v>
      </c>
      <c r="G153" t="s">
        <v>525</v>
      </c>
    </row>
    <row r="154" spans="1:7" x14ac:dyDescent="0.3">
      <c r="A154">
        <v>0</v>
      </c>
      <c r="B154" t="s">
        <v>312</v>
      </c>
      <c r="C154" t="s">
        <v>400</v>
      </c>
      <c r="D154" t="s">
        <v>2</v>
      </c>
      <c r="E154" t="s">
        <v>400</v>
      </c>
      <c r="F154" t="s">
        <v>13</v>
      </c>
      <c r="G154" t="s">
        <v>525</v>
      </c>
    </row>
    <row r="155" spans="1:7" x14ac:dyDescent="0.3">
      <c r="A155">
        <v>0</v>
      </c>
      <c r="B155" t="s">
        <v>312</v>
      </c>
      <c r="C155" t="s">
        <v>380</v>
      </c>
      <c r="D155" t="s">
        <v>2</v>
      </c>
      <c r="E155" t="s">
        <v>380</v>
      </c>
      <c r="F155" t="s">
        <v>13</v>
      </c>
      <c r="G155" t="s">
        <v>525</v>
      </c>
    </row>
    <row r="156" spans="1:7" x14ac:dyDescent="0.3">
      <c r="A156">
        <v>0</v>
      </c>
      <c r="B156" t="s">
        <v>312</v>
      </c>
      <c r="C156" t="s">
        <v>442</v>
      </c>
      <c r="D156" t="s">
        <v>2</v>
      </c>
      <c r="E156" t="s">
        <v>442</v>
      </c>
      <c r="F156" t="s">
        <v>13</v>
      </c>
      <c r="G156" t="s">
        <v>525</v>
      </c>
    </row>
    <row r="157" spans="1:7" x14ac:dyDescent="0.3">
      <c r="A157">
        <v>0</v>
      </c>
      <c r="B157" t="s">
        <v>314</v>
      </c>
      <c r="C157" t="s">
        <v>349</v>
      </c>
      <c r="D157" t="s">
        <v>2</v>
      </c>
      <c r="E157" t="s">
        <v>349</v>
      </c>
      <c r="F157" t="s">
        <v>13</v>
      </c>
      <c r="G157" t="s">
        <v>525</v>
      </c>
    </row>
    <row r="158" spans="1:7" x14ac:dyDescent="0.3">
      <c r="A158">
        <v>0</v>
      </c>
      <c r="B158" t="s">
        <v>57</v>
      </c>
      <c r="C158" t="s">
        <v>470</v>
      </c>
      <c r="D158" t="s">
        <v>2</v>
      </c>
      <c r="E158" t="s">
        <v>470</v>
      </c>
      <c r="F158" t="s">
        <v>13</v>
      </c>
      <c r="G158" t="s">
        <v>525</v>
      </c>
    </row>
    <row r="159" spans="1:7" x14ac:dyDescent="0.3">
      <c r="A159">
        <v>0</v>
      </c>
      <c r="B159" t="s">
        <v>319</v>
      </c>
      <c r="C159" t="s">
        <v>463</v>
      </c>
      <c r="D159" t="s">
        <v>2</v>
      </c>
      <c r="E159" t="s">
        <v>463</v>
      </c>
      <c r="F159" t="s">
        <v>13</v>
      </c>
      <c r="G159" t="s">
        <v>525</v>
      </c>
    </row>
    <row r="160" spans="1:7" x14ac:dyDescent="0.3">
      <c r="A160">
        <v>0</v>
      </c>
      <c r="B160" t="s">
        <v>314</v>
      </c>
      <c r="C160" t="s">
        <v>343</v>
      </c>
      <c r="D160" t="s">
        <v>2</v>
      </c>
      <c r="E160" t="s">
        <v>343</v>
      </c>
      <c r="F160" t="s">
        <v>13</v>
      </c>
      <c r="G160" t="s">
        <v>525</v>
      </c>
    </row>
    <row r="161" spans="1:7" x14ac:dyDescent="0.3">
      <c r="A161">
        <v>0</v>
      </c>
      <c r="B161" t="s">
        <v>312</v>
      </c>
      <c r="C161" t="s">
        <v>371</v>
      </c>
      <c r="D161" t="s">
        <v>2</v>
      </c>
      <c r="E161" t="s">
        <v>371</v>
      </c>
      <c r="F161" t="s">
        <v>13</v>
      </c>
      <c r="G161" t="s">
        <v>525</v>
      </c>
    </row>
    <row r="162" spans="1:7" x14ac:dyDescent="0.3">
      <c r="A162">
        <v>0</v>
      </c>
      <c r="B162" t="s">
        <v>312</v>
      </c>
      <c r="C162" t="s">
        <v>366</v>
      </c>
      <c r="D162" t="s">
        <v>2</v>
      </c>
      <c r="E162" t="s">
        <v>366</v>
      </c>
      <c r="F162" t="s">
        <v>13</v>
      </c>
      <c r="G162" t="s">
        <v>525</v>
      </c>
    </row>
    <row r="163" spans="1:7" x14ac:dyDescent="0.3">
      <c r="A163">
        <v>0</v>
      </c>
      <c r="B163" t="s">
        <v>312</v>
      </c>
      <c r="C163" t="s">
        <v>384</v>
      </c>
      <c r="D163" t="s">
        <v>2</v>
      </c>
      <c r="E163" t="s">
        <v>384</v>
      </c>
      <c r="F163" t="s">
        <v>13</v>
      </c>
      <c r="G163" t="s">
        <v>525</v>
      </c>
    </row>
    <row r="164" spans="1:7" x14ac:dyDescent="0.3">
      <c r="A164">
        <v>0</v>
      </c>
      <c r="B164" t="s">
        <v>319</v>
      </c>
      <c r="C164" t="s">
        <v>464</v>
      </c>
      <c r="D164" t="s">
        <v>2</v>
      </c>
      <c r="E164" t="s">
        <v>464</v>
      </c>
      <c r="F164" t="s">
        <v>13</v>
      </c>
      <c r="G164" t="s">
        <v>525</v>
      </c>
    </row>
    <row r="165" spans="1:7" x14ac:dyDescent="0.3">
      <c r="A165">
        <v>0</v>
      </c>
      <c r="B165" t="s">
        <v>312</v>
      </c>
      <c r="C165" t="s">
        <v>323</v>
      </c>
      <c r="D165" t="s">
        <v>2</v>
      </c>
      <c r="E165" t="s">
        <v>323</v>
      </c>
      <c r="F165" t="s">
        <v>13</v>
      </c>
      <c r="G165" t="s">
        <v>525</v>
      </c>
    </row>
    <row r="166" spans="1:7" x14ac:dyDescent="0.3">
      <c r="A166">
        <v>0</v>
      </c>
      <c r="B166" t="s">
        <v>314</v>
      </c>
      <c r="C166" t="s">
        <v>414</v>
      </c>
      <c r="D166" t="s">
        <v>2</v>
      </c>
      <c r="E166" t="s">
        <v>414</v>
      </c>
      <c r="F166" t="s">
        <v>13</v>
      </c>
      <c r="G166" t="s">
        <v>525</v>
      </c>
    </row>
    <row r="167" spans="1:7" x14ac:dyDescent="0.3">
      <c r="A167">
        <v>0</v>
      </c>
      <c r="B167" t="s">
        <v>312</v>
      </c>
      <c r="C167" t="s">
        <v>261</v>
      </c>
      <c r="D167" t="s">
        <v>2</v>
      </c>
      <c r="E167" t="s">
        <v>261</v>
      </c>
      <c r="F167" t="s">
        <v>13</v>
      </c>
      <c r="G167" t="s">
        <v>525</v>
      </c>
    </row>
    <row r="168" spans="1:7" x14ac:dyDescent="0.3">
      <c r="A168">
        <v>0</v>
      </c>
      <c r="B168" t="s">
        <v>319</v>
      </c>
      <c r="C168" t="s">
        <v>364</v>
      </c>
      <c r="D168" t="s">
        <v>2</v>
      </c>
      <c r="E168" t="s">
        <v>364</v>
      </c>
      <c r="F168" t="s">
        <v>13</v>
      </c>
      <c r="G168" t="s">
        <v>525</v>
      </c>
    </row>
    <row r="169" spans="1:7" x14ac:dyDescent="0.3">
      <c r="A169">
        <v>0</v>
      </c>
      <c r="B169" t="s">
        <v>312</v>
      </c>
      <c r="C169" t="s">
        <v>373</v>
      </c>
      <c r="D169" t="s">
        <v>2</v>
      </c>
      <c r="E169" t="s">
        <v>373</v>
      </c>
      <c r="F169" t="s">
        <v>13</v>
      </c>
      <c r="G169" t="s">
        <v>525</v>
      </c>
    </row>
    <row r="170" spans="1:7" x14ac:dyDescent="0.3">
      <c r="A170">
        <v>0</v>
      </c>
      <c r="B170" t="s">
        <v>312</v>
      </c>
      <c r="C170" t="s">
        <v>482</v>
      </c>
      <c r="D170" t="s">
        <v>2</v>
      </c>
      <c r="E170" t="s">
        <v>482</v>
      </c>
      <c r="F170" t="s">
        <v>13</v>
      </c>
      <c r="G170" t="s">
        <v>525</v>
      </c>
    </row>
    <row r="171" spans="1:7" x14ac:dyDescent="0.3">
      <c r="A171">
        <v>0</v>
      </c>
      <c r="B171" t="s">
        <v>312</v>
      </c>
      <c r="C171" t="s">
        <v>412</v>
      </c>
      <c r="D171" t="s">
        <v>2</v>
      </c>
      <c r="E171" t="s">
        <v>412</v>
      </c>
      <c r="F171" t="s">
        <v>13</v>
      </c>
      <c r="G171" t="s">
        <v>525</v>
      </c>
    </row>
    <row r="172" spans="1:7" x14ac:dyDescent="0.3">
      <c r="A172">
        <v>0</v>
      </c>
      <c r="B172" t="s">
        <v>312</v>
      </c>
      <c r="C172" t="s">
        <v>434</v>
      </c>
      <c r="D172" t="s">
        <v>2</v>
      </c>
      <c r="E172" t="s">
        <v>434</v>
      </c>
      <c r="F172" t="s">
        <v>13</v>
      </c>
      <c r="G172" t="s">
        <v>525</v>
      </c>
    </row>
    <row r="173" spans="1:7" x14ac:dyDescent="0.3">
      <c r="A173">
        <v>0</v>
      </c>
      <c r="B173" t="s">
        <v>314</v>
      </c>
      <c r="C173" t="s">
        <v>443</v>
      </c>
      <c r="D173" t="s">
        <v>2</v>
      </c>
      <c r="E173" t="s">
        <v>443</v>
      </c>
      <c r="F173" t="s">
        <v>13</v>
      </c>
      <c r="G173" t="s">
        <v>525</v>
      </c>
    </row>
    <row r="174" spans="1:7" x14ac:dyDescent="0.3">
      <c r="A174">
        <v>0</v>
      </c>
      <c r="B174" t="s">
        <v>319</v>
      </c>
      <c r="C174" t="s">
        <v>430</v>
      </c>
      <c r="D174" t="s">
        <v>2</v>
      </c>
      <c r="E174" t="s">
        <v>430</v>
      </c>
      <c r="F174" t="s">
        <v>13</v>
      </c>
      <c r="G174" t="s">
        <v>525</v>
      </c>
    </row>
    <row r="175" spans="1:7" x14ac:dyDescent="0.3">
      <c r="A175">
        <v>0</v>
      </c>
      <c r="B175" t="s">
        <v>314</v>
      </c>
      <c r="C175" t="s">
        <v>408</v>
      </c>
      <c r="D175" t="s">
        <v>2</v>
      </c>
      <c r="E175" t="s">
        <v>408</v>
      </c>
      <c r="F175" t="s">
        <v>13</v>
      </c>
      <c r="G175" t="s">
        <v>525</v>
      </c>
    </row>
    <row r="176" spans="1:7" x14ac:dyDescent="0.3">
      <c r="A176">
        <v>0</v>
      </c>
      <c r="B176" t="s">
        <v>312</v>
      </c>
      <c r="C176" t="s">
        <v>138</v>
      </c>
      <c r="D176" t="s">
        <v>2</v>
      </c>
      <c r="E176" t="s">
        <v>138</v>
      </c>
      <c r="F176" t="s">
        <v>13</v>
      </c>
      <c r="G176" t="s">
        <v>525</v>
      </c>
    </row>
    <row r="177" spans="1:7" x14ac:dyDescent="0.3">
      <c r="A177">
        <v>0</v>
      </c>
      <c r="B177" t="s">
        <v>312</v>
      </c>
      <c r="C177" t="s">
        <v>275</v>
      </c>
      <c r="D177" t="s">
        <v>2</v>
      </c>
      <c r="E177" t="s">
        <v>275</v>
      </c>
      <c r="F177" t="s">
        <v>13</v>
      </c>
      <c r="G177" t="s">
        <v>525</v>
      </c>
    </row>
    <row r="178" spans="1:7" x14ac:dyDescent="0.3">
      <c r="A178">
        <v>0</v>
      </c>
      <c r="B178" t="s">
        <v>312</v>
      </c>
      <c r="C178" t="s">
        <v>337</v>
      </c>
      <c r="D178" t="s">
        <v>2</v>
      </c>
      <c r="E178" t="s">
        <v>337</v>
      </c>
      <c r="F178" t="s">
        <v>13</v>
      </c>
      <c r="G178" t="s">
        <v>525</v>
      </c>
    </row>
    <row r="179" spans="1:7" x14ac:dyDescent="0.3">
      <c r="A179">
        <v>0</v>
      </c>
      <c r="B179" t="s">
        <v>312</v>
      </c>
      <c r="C179" t="s">
        <v>331</v>
      </c>
      <c r="D179" t="s">
        <v>2</v>
      </c>
      <c r="E179" t="s">
        <v>331</v>
      </c>
      <c r="F179" t="s">
        <v>13</v>
      </c>
      <c r="G179" t="s">
        <v>525</v>
      </c>
    </row>
    <row r="180" spans="1:7" x14ac:dyDescent="0.3">
      <c r="A180">
        <v>0</v>
      </c>
      <c r="B180" t="s">
        <v>312</v>
      </c>
      <c r="C180" t="s">
        <v>452</v>
      </c>
      <c r="D180" t="s">
        <v>2</v>
      </c>
      <c r="E180" t="s">
        <v>452</v>
      </c>
      <c r="F180" t="s">
        <v>13</v>
      </c>
      <c r="G180" t="s">
        <v>525</v>
      </c>
    </row>
    <row r="181" spans="1:7" x14ac:dyDescent="0.3">
      <c r="A181">
        <v>0</v>
      </c>
      <c r="B181" t="s">
        <v>319</v>
      </c>
      <c r="C181" t="s">
        <v>477</v>
      </c>
      <c r="D181" t="s">
        <v>2</v>
      </c>
      <c r="E181" t="s">
        <v>477</v>
      </c>
      <c r="F181" t="s">
        <v>13</v>
      </c>
      <c r="G181" t="s">
        <v>525</v>
      </c>
    </row>
    <row r="182" spans="1:7" x14ac:dyDescent="0.3">
      <c r="A182">
        <v>0</v>
      </c>
      <c r="B182" t="s">
        <v>312</v>
      </c>
      <c r="C182" t="s">
        <v>446</v>
      </c>
      <c r="D182" t="s">
        <v>2</v>
      </c>
      <c r="E182" t="s">
        <v>446</v>
      </c>
      <c r="F182" t="s">
        <v>13</v>
      </c>
      <c r="G182" t="s">
        <v>525</v>
      </c>
    </row>
    <row r="183" spans="1:7" x14ac:dyDescent="0.3">
      <c r="A183">
        <v>0</v>
      </c>
      <c r="B183" t="s">
        <v>319</v>
      </c>
      <c r="C183" t="s">
        <v>491</v>
      </c>
      <c r="D183" t="s">
        <v>2</v>
      </c>
      <c r="E183" t="s">
        <v>491</v>
      </c>
      <c r="F183" t="s">
        <v>13</v>
      </c>
      <c r="G183" t="s">
        <v>525</v>
      </c>
    </row>
    <row r="184" spans="1:7" x14ac:dyDescent="0.3">
      <c r="A184">
        <v>0</v>
      </c>
      <c r="B184" t="s">
        <v>312</v>
      </c>
      <c r="C184" t="s">
        <v>326</v>
      </c>
      <c r="D184" t="s">
        <v>2</v>
      </c>
      <c r="E184" t="s">
        <v>326</v>
      </c>
      <c r="F184" t="s">
        <v>13</v>
      </c>
      <c r="G184" t="s">
        <v>525</v>
      </c>
    </row>
    <row r="185" spans="1:7" x14ac:dyDescent="0.3">
      <c r="A185">
        <v>0</v>
      </c>
      <c r="B185" t="s">
        <v>319</v>
      </c>
      <c r="C185" t="s">
        <v>415</v>
      </c>
      <c r="D185" t="s">
        <v>2</v>
      </c>
      <c r="E185" t="s">
        <v>415</v>
      </c>
      <c r="F185" t="s">
        <v>13</v>
      </c>
      <c r="G185" t="s">
        <v>525</v>
      </c>
    </row>
    <row r="186" spans="1:7" x14ac:dyDescent="0.3">
      <c r="A186">
        <v>0</v>
      </c>
      <c r="B186" t="s">
        <v>314</v>
      </c>
      <c r="C186" t="s">
        <v>451</v>
      </c>
      <c r="D186" t="s">
        <v>2</v>
      </c>
      <c r="E186" t="s">
        <v>451</v>
      </c>
      <c r="F186" t="s">
        <v>13</v>
      </c>
      <c r="G186" t="s">
        <v>525</v>
      </c>
    </row>
    <row r="187" spans="1:7" x14ac:dyDescent="0.3">
      <c r="A187">
        <v>0</v>
      </c>
      <c r="B187" t="s">
        <v>314</v>
      </c>
      <c r="C187" t="s">
        <v>448</v>
      </c>
      <c r="D187" t="s">
        <v>2</v>
      </c>
      <c r="E187" t="s">
        <v>448</v>
      </c>
      <c r="F187" t="s">
        <v>13</v>
      </c>
      <c r="G187" t="s">
        <v>525</v>
      </c>
    </row>
    <row r="188" spans="1:7" x14ac:dyDescent="0.3">
      <c r="A188">
        <v>0</v>
      </c>
      <c r="B188" t="s">
        <v>312</v>
      </c>
      <c r="C188" t="s">
        <v>423</v>
      </c>
      <c r="D188" t="s">
        <v>2</v>
      </c>
      <c r="E188" t="s">
        <v>423</v>
      </c>
      <c r="F188" t="s">
        <v>13</v>
      </c>
      <c r="G188" t="s">
        <v>525</v>
      </c>
    </row>
    <row r="189" spans="1:7" x14ac:dyDescent="0.3">
      <c r="A189">
        <v>0</v>
      </c>
      <c r="B189" t="s">
        <v>319</v>
      </c>
      <c r="C189" t="s">
        <v>361</v>
      </c>
      <c r="D189" t="s">
        <v>2</v>
      </c>
      <c r="E189" t="s">
        <v>361</v>
      </c>
      <c r="F189" t="s">
        <v>13</v>
      </c>
      <c r="G189" t="s">
        <v>525</v>
      </c>
    </row>
    <row r="190" spans="1:7" x14ac:dyDescent="0.3">
      <c r="A190">
        <v>0</v>
      </c>
      <c r="B190" t="s">
        <v>314</v>
      </c>
      <c r="C190" t="s">
        <v>467</v>
      </c>
      <c r="D190" t="s">
        <v>2</v>
      </c>
      <c r="E190" t="s">
        <v>467</v>
      </c>
      <c r="F190" t="s">
        <v>13</v>
      </c>
      <c r="G190" t="s">
        <v>525</v>
      </c>
    </row>
    <row r="191" spans="1:7" x14ac:dyDescent="0.3">
      <c r="A191">
        <v>0</v>
      </c>
      <c r="B191" t="s">
        <v>319</v>
      </c>
      <c r="C191" t="s">
        <v>420</v>
      </c>
      <c r="D191" t="s">
        <v>2</v>
      </c>
      <c r="E191" t="s">
        <v>420</v>
      </c>
      <c r="F191" t="s">
        <v>13</v>
      </c>
      <c r="G191" t="s">
        <v>525</v>
      </c>
    </row>
    <row r="192" spans="1:7" x14ac:dyDescent="0.3">
      <c r="A192">
        <v>0</v>
      </c>
      <c r="B192" t="s">
        <v>314</v>
      </c>
      <c r="C192" t="s">
        <v>487</v>
      </c>
      <c r="D192" t="s">
        <v>2</v>
      </c>
      <c r="E192" t="s">
        <v>487</v>
      </c>
      <c r="F192" t="s">
        <v>13</v>
      </c>
      <c r="G192" t="s">
        <v>525</v>
      </c>
    </row>
    <row r="193" spans="1:7" x14ac:dyDescent="0.3">
      <c r="A193">
        <v>0</v>
      </c>
      <c r="B193" t="s">
        <v>312</v>
      </c>
      <c r="C193" t="s">
        <v>149</v>
      </c>
      <c r="D193" t="s">
        <v>2</v>
      </c>
      <c r="E193" t="s">
        <v>149</v>
      </c>
      <c r="F193" t="s">
        <v>13</v>
      </c>
      <c r="G193" t="s">
        <v>525</v>
      </c>
    </row>
    <row r="194" spans="1:7" x14ac:dyDescent="0.3">
      <c r="A194">
        <v>0</v>
      </c>
      <c r="B194" t="s">
        <v>314</v>
      </c>
      <c r="C194" t="s">
        <v>377</v>
      </c>
      <c r="D194" t="s">
        <v>2</v>
      </c>
      <c r="E194" t="s">
        <v>377</v>
      </c>
      <c r="F194" t="s">
        <v>13</v>
      </c>
      <c r="G194" t="s">
        <v>525</v>
      </c>
    </row>
    <row r="195" spans="1:7" x14ac:dyDescent="0.3">
      <c r="A195">
        <v>0</v>
      </c>
      <c r="B195" t="s">
        <v>312</v>
      </c>
      <c r="C195" t="s">
        <v>403</v>
      </c>
      <c r="D195" t="s">
        <v>2</v>
      </c>
      <c r="E195" t="s">
        <v>403</v>
      </c>
      <c r="F195" t="s">
        <v>13</v>
      </c>
      <c r="G195" t="s">
        <v>525</v>
      </c>
    </row>
    <row r="196" spans="1:7" x14ac:dyDescent="0.3">
      <c r="A196">
        <v>0</v>
      </c>
      <c r="B196" t="s">
        <v>312</v>
      </c>
      <c r="C196" t="s">
        <v>387</v>
      </c>
      <c r="D196" t="s">
        <v>2</v>
      </c>
      <c r="E196" t="s">
        <v>387</v>
      </c>
      <c r="F196" t="s">
        <v>13</v>
      </c>
      <c r="G196" t="s">
        <v>525</v>
      </c>
    </row>
    <row r="197" spans="1:7" x14ac:dyDescent="0.3">
      <c r="A197">
        <v>0</v>
      </c>
      <c r="B197" t="s">
        <v>312</v>
      </c>
      <c r="C197" t="s">
        <v>431</v>
      </c>
      <c r="D197" t="s">
        <v>2</v>
      </c>
      <c r="E197" t="s">
        <v>431</v>
      </c>
      <c r="F197" t="s">
        <v>13</v>
      </c>
      <c r="G197" t="s">
        <v>525</v>
      </c>
    </row>
    <row r="198" spans="1:7" x14ac:dyDescent="0.3">
      <c r="A198">
        <v>0</v>
      </c>
      <c r="B198" t="s">
        <v>319</v>
      </c>
      <c r="C198" t="s">
        <v>459</v>
      </c>
      <c r="D198" t="s">
        <v>2</v>
      </c>
      <c r="E198" t="s">
        <v>459</v>
      </c>
      <c r="F198" t="s">
        <v>13</v>
      </c>
      <c r="G198" t="s">
        <v>525</v>
      </c>
    </row>
    <row r="199" spans="1:7" x14ac:dyDescent="0.3">
      <c r="A199">
        <v>0</v>
      </c>
      <c r="B199" t="s">
        <v>314</v>
      </c>
      <c r="C199" t="s">
        <v>376</v>
      </c>
      <c r="D199" t="s">
        <v>2</v>
      </c>
      <c r="E199" t="s">
        <v>376</v>
      </c>
      <c r="F199" t="s">
        <v>13</v>
      </c>
      <c r="G199" t="s">
        <v>525</v>
      </c>
    </row>
    <row r="200" spans="1:7" x14ac:dyDescent="0.3">
      <c r="A200">
        <v>0</v>
      </c>
      <c r="B200" t="s">
        <v>312</v>
      </c>
      <c r="C200" t="s">
        <v>379</v>
      </c>
      <c r="D200" t="s">
        <v>2</v>
      </c>
      <c r="E200" t="s">
        <v>379</v>
      </c>
      <c r="F200" t="s">
        <v>13</v>
      </c>
      <c r="G200" t="s">
        <v>525</v>
      </c>
    </row>
    <row r="201" spans="1:7" x14ac:dyDescent="0.3">
      <c r="A201">
        <v>0</v>
      </c>
      <c r="B201" t="s">
        <v>314</v>
      </c>
      <c r="C201" t="s">
        <v>445</v>
      </c>
      <c r="D201" t="s">
        <v>2</v>
      </c>
      <c r="E201" t="s">
        <v>445</v>
      </c>
      <c r="F201" t="s">
        <v>13</v>
      </c>
      <c r="G201" t="s">
        <v>525</v>
      </c>
    </row>
    <row r="202" spans="1:7" x14ac:dyDescent="0.3">
      <c r="A202">
        <v>0</v>
      </c>
      <c r="B202" t="s">
        <v>319</v>
      </c>
      <c r="C202" t="s">
        <v>460</v>
      </c>
      <c r="D202" t="s">
        <v>2</v>
      </c>
      <c r="E202" t="s">
        <v>460</v>
      </c>
      <c r="F202" t="s">
        <v>13</v>
      </c>
      <c r="G202" t="s">
        <v>525</v>
      </c>
    </row>
    <row r="203" spans="1:7" x14ac:dyDescent="0.3">
      <c r="A203">
        <v>0</v>
      </c>
      <c r="B203" t="s">
        <v>314</v>
      </c>
      <c r="C203" t="s">
        <v>450</v>
      </c>
      <c r="D203" t="s">
        <v>2</v>
      </c>
      <c r="E203" t="s">
        <v>450</v>
      </c>
      <c r="F203" t="s">
        <v>13</v>
      </c>
      <c r="G203" t="s">
        <v>525</v>
      </c>
    </row>
    <row r="204" spans="1:7" x14ac:dyDescent="0.3">
      <c r="A204">
        <v>0</v>
      </c>
      <c r="B204" t="s">
        <v>312</v>
      </c>
      <c r="C204" t="s">
        <v>473</v>
      </c>
      <c r="D204" t="s">
        <v>2</v>
      </c>
      <c r="E204" t="s">
        <v>473</v>
      </c>
      <c r="F204" t="s">
        <v>13</v>
      </c>
      <c r="G204" t="s">
        <v>525</v>
      </c>
    </row>
    <row r="205" spans="1:7" x14ac:dyDescent="0.3">
      <c r="A205">
        <v>0</v>
      </c>
      <c r="B205" t="s">
        <v>314</v>
      </c>
      <c r="C205" t="s">
        <v>313</v>
      </c>
      <c r="D205" t="s">
        <v>2</v>
      </c>
      <c r="E205" t="s">
        <v>313</v>
      </c>
      <c r="F205" t="s">
        <v>13</v>
      </c>
      <c r="G205" t="s">
        <v>525</v>
      </c>
    </row>
    <row r="206" spans="1:7" x14ac:dyDescent="0.3">
      <c r="A206">
        <v>0</v>
      </c>
      <c r="B206" t="s">
        <v>312</v>
      </c>
      <c r="C206" t="s">
        <v>472</v>
      </c>
      <c r="D206" t="s">
        <v>2</v>
      </c>
      <c r="E206" t="s">
        <v>472</v>
      </c>
      <c r="F206" t="s">
        <v>13</v>
      </c>
      <c r="G206" t="s">
        <v>525</v>
      </c>
    </row>
    <row r="207" spans="1:7" x14ac:dyDescent="0.3">
      <c r="A207">
        <v>0</v>
      </c>
      <c r="B207" t="s">
        <v>312</v>
      </c>
      <c r="C207" t="s">
        <v>402</v>
      </c>
      <c r="D207" t="s">
        <v>2</v>
      </c>
      <c r="E207" t="s">
        <v>402</v>
      </c>
      <c r="F207" t="s">
        <v>13</v>
      </c>
      <c r="G207" t="s">
        <v>525</v>
      </c>
    </row>
    <row r="208" spans="1:7" x14ac:dyDescent="0.3">
      <c r="A208">
        <v>0</v>
      </c>
      <c r="B208" t="s">
        <v>314</v>
      </c>
      <c r="C208" t="s">
        <v>455</v>
      </c>
      <c r="D208" t="s">
        <v>2</v>
      </c>
      <c r="E208" t="s">
        <v>455</v>
      </c>
      <c r="F208" t="s">
        <v>13</v>
      </c>
      <c r="G208" t="s">
        <v>525</v>
      </c>
    </row>
    <row r="209" spans="1:7" x14ac:dyDescent="0.3">
      <c r="A209">
        <v>0</v>
      </c>
      <c r="B209" t="s">
        <v>312</v>
      </c>
      <c r="C209" t="s">
        <v>411</v>
      </c>
      <c r="D209" t="s">
        <v>2</v>
      </c>
      <c r="E209" t="s">
        <v>411</v>
      </c>
      <c r="F209" t="s">
        <v>13</v>
      </c>
      <c r="G209" t="s">
        <v>525</v>
      </c>
    </row>
    <row r="210" spans="1:7" x14ac:dyDescent="0.3">
      <c r="A210">
        <v>0</v>
      </c>
      <c r="B210" t="s">
        <v>312</v>
      </c>
      <c r="C210" t="s">
        <v>488</v>
      </c>
      <c r="D210" t="s">
        <v>2</v>
      </c>
      <c r="E210" t="s">
        <v>488</v>
      </c>
      <c r="F210" t="s">
        <v>13</v>
      </c>
      <c r="G210" t="s">
        <v>525</v>
      </c>
    </row>
    <row r="211" spans="1:7" x14ac:dyDescent="0.3">
      <c r="A211">
        <v>0</v>
      </c>
      <c r="B211" t="s">
        <v>319</v>
      </c>
      <c r="C211" t="s">
        <v>462</v>
      </c>
      <c r="D211" t="s">
        <v>2</v>
      </c>
      <c r="E211" t="s">
        <v>462</v>
      </c>
      <c r="F211" t="s">
        <v>13</v>
      </c>
      <c r="G211" t="s">
        <v>525</v>
      </c>
    </row>
    <row r="212" spans="1:7" x14ac:dyDescent="0.3">
      <c r="A212">
        <v>0</v>
      </c>
      <c r="B212" t="s">
        <v>312</v>
      </c>
      <c r="C212" t="s">
        <v>246</v>
      </c>
      <c r="D212" t="s">
        <v>2</v>
      </c>
      <c r="E212" t="s">
        <v>246</v>
      </c>
      <c r="F212" t="s">
        <v>13</v>
      </c>
      <c r="G212" t="s">
        <v>525</v>
      </c>
    </row>
    <row r="213" spans="1:7" x14ac:dyDescent="0.3">
      <c r="A213">
        <v>0</v>
      </c>
      <c r="B213" t="s">
        <v>312</v>
      </c>
      <c r="C213" t="s">
        <v>357</v>
      </c>
      <c r="D213" t="s">
        <v>2</v>
      </c>
      <c r="E213" t="s">
        <v>357</v>
      </c>
      <c r="F213" t="s">
        <v>13</v>
      </c>
      <c r="G213" t="s">
        <v>525</v>
      </c>
    </row>
    <row r="214" spans="1:7" x14ac:dyDescent="0.3">
      <c r="A214">
        <v>0</v>
      </c>
      <c r="B214" t="s">
        <v>314</v>
      </c>
      <c r="C214" t="s">
        <v>341</v>
      </c>
      <c r="D214" t="s">
        <v>2</v>
      </c>
      <c r="E214" t="s">
        <v>341</v>
      </c>
      <c r="F214" t="s">
        <v>13</v>
      </c>
      <c r="G214" t="s">
        <v>525</v>
      </c>
    </row>
    <row r="215" spans="1:7" x14ac:dyDescent="0.3">
      <c r="A215">
        <v>0</v>
      </c>
      <c r="B215" t="s">
        <v>319</v>
      </c>
      <c r="C215" t="s">
        <v>466</v>
      </c>
      <c r="D215" t="s">
        <v>2</v>
      </c>
      <c r="E215" t="s">
        <v>466</v>
      </c>
      <c r="F215" t="s">
        <v>13</v>
      </c>
      <c r="G215" t="s">
        <v>525</v>
      </c>
    </row>
    <row r="216" spans="1:7" x14ac:dyDescent="0.3">
      <c r="A216">
        <v>0</v>
      </c>
      <c r="B216" t="s">
        <v>319</v>
      </c>
      <c r="C216" t="s">
        <v>362</v>
      </c>
      <c r="D216" t="s">
        <v>2</v>
      </c>
      <c r="E216" t="s">
        <v>362</v>
      </c>
      <c r="F216" t="s">
        <v>13</v>
      </c>
      <c r="G216" t="s">
        <v>525</v>
      </c>
    </row>
    <row r="217" spans="1:7" x14ac:dyDescent="0.3">
      <c r="A217">
        <v>0</v>
      </c>
      <c r="B217" t="s">
        <v>312</v>
      </c>
      <c r="C217" t="s">
        <v>433</v>
      </c>
      <c r="D217" t="s">
        <v>2</v>
      </c>
      <c r="E217" t="s">
        <v>433</v>
      </c>
      <c r="F217" t="s">
        <v>13</v>
      </c>
      <c r="G217" t="s">
        <v>525</v>
      </c>
    </row>
    <row r="218" spans="1:7" x14ac:dyDescent="0.3">
      <c r="A218">
        <v>0</v>
      </c>
      <c r="B218" t="s">
        <v>312</v>
      </c>
      <c r="C218" t="s">
        <v>397</v>
      </c>
      <c r="D218" t="s">
        <v>2</v>
      </c>
      <c r="E218" t="s">
        <v>397</v>
      </c>
      <c r="F218" t="s">
        <v>13</v>
      </c>
      <c r="G218" t="s">
        <v>525</v>
      </c>
    </row>
    <row r="219" spans="1:7" x14ac:dyDescent="0.3">
      <c r="A219">
        <v>0</v>
      </c>
      <c r="B219" t="s">
        <v>319</v>
      </c>
      <c r="C219" t="s">
        <v>378</v>
      </c>
      <c r="D219" t="s">
        <v>2</v>
      </c>
      <c r="E219" t="s">
        <v>378</v>
      </c>
      <c r="F219" t="s">
        <v>13</v>
      </c>
      <c r="G219" t="s">
        <v>525</v>
      </c>
    </row>
    <row r="220" spans="1:7" x14ac:dyDescent="0.3">
      <c r="A220">
        <v>0</v>
      </c>
      <c r="B220" t="s">
        <v>105</v>
      </c>
      <c r="C220" t="s">
        <v>117</v>
      </c>
      <c r="D220" t="s">
        <v>2</v>
      </c>
      <c r="E220" t="s">
        <v>117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476</v>
      </c>
      <c r="D221" t="s">
        <v>2</v>
      </c>
      <c r="E221" t="s">
        <v>476</v>
      </c>
      <c r="F221" t="s">
        <v>13</v>
      </c>
      <c r="G221" t="s">
        <v>525</v>
      </c>
    </row>
    <row r="222" spans="1:7" x14ac:dyDescent="0.3">
      <c r="A222">
        <v>0</v>
      </c>
      <c r="B222" t="s">
        <v>319</v>
      </c>
      <c r="C222" t="s">
        <v>478</v>
      </c>
      <c r="D222" t="s">
        <v>2</v>
      </c>
      <c r="E222" t="s">
        <v>478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367</v>
      </c>
      <c r="D223" t="s">
        <v>2</v>
      </c>
      <c r="E223" t="s">
        <v>367</v>
      </c>
      <c r="F223" t="s">
        <v>13</v>
      </c>
      <c r="G223" t="s">
        <v>525</v>
      </c>
    </row>
    <row r="224" spans="1:7" x14ac:dyDescent="0.3">
      <c r="A224">
        <v>0</v>
      </c>
      <c r="B224" t="s">
        <v>312</v>
      </c>
      <c r="C224" t="s">
        <v>346</v>
      </c>
      <c r="D224" t="s">
        <v>2</v>
      </c>
      <c r="E224" t="s">
        <v>346</v>
      </c>
      <c r="F224" t="s">
        <v>13</v>
      </c>
      <c r="G224" t="s">
        <v>525</v>
      </c>
    </row>
    <row r="225" spans="1:7" x14ac:dyDescent="0.3">
      <c r="A225">
        <v>0</v>
      </c>
      <c r="B225" t="s">
        <v>105</v>
      </c>
      <c r="C225" t="s">
        <v>119</v>
      </c>
      <c r="D225" t="s">
        <v>2</v>
      </c>
      <c r="E225" t="s">
        <v>119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385</v>
      </c>
      <c r="D226" t="s">
        <v>2</v>
      </c>
      <c r="E226" t="s">
        <v>385</v>
      </c>
      <c r="F226" t="s">
        <v>13</v>
      </c>
      <c r="G226" t="s">
        <v>525</v>
      </c>
    </row>
    <row r="227" spans="1:7" x14ac:dyDescent="0.3">
      <c r="A227">
        <v>0</v>
      </c>
      <c r="B227" t="s">
        <v>57</v>
      </c>
      <c r="C227" t="s">
        <v>120</v>
      </c>
      <c r="D227" t="s">
        <v>2</v>
      </c>
      <c r="E227" t="s">
        <v>120</v>
      </c>
      <c r="F227" t="s">
        <v>13</v>
      </c>
      <c r="G227" t="s">
        <v>525</v>
      </c>
    </row>
    <row r="228" spans="1:7" x14ac:dyDescent="0.3">
      <c r="A228">
        <v>0</v>
      </c>
      <c r="B228" t="s">
        <v>312</v>
      </c>
      <c r="C228" t="s">
        <v>324</v>
      </c>
      <c r="D228" t="s">
        <v>2</v>
      </c>
      <c r="E228" t="s">
        <v>324</v>
      </c>
      <c r="F228" t="s">
        <v>13</v>
      </c>
      <c r="G228" t="s">
        <v>525</v>
      </c>
    </row>
    <row r="229" spans="1:7" x14ac:dyDescent="0.3">
      <c r="A229">
        <v>0</v>
      </c>
      <c r="B229" t="s">
        <v>312</v>
      </c>
      <c r="C229" t="s">
        <v>327</v>
      </c>
      <c r="D229" t="s">
        <v>2</v>
      </c>
      <c r="E229" t="s">
        <v>327</v>
      </c>
      <c r="F229" t="s">
        <v>13</v>
      </c>
      <c r="G229" t="s">
        <v>525</v>
      </c>
    </row>
    <row r="230" spans="1:7" x14ac:dyDescent="0.3">
      <c r="A230">
        <v>0</v>
      </c>
      <c r="B230" t="s">
        <v>314</v>
      </c>
      <c r="C230" t="s">
        <v>441</v>
      </c>
      <c r="D230" t="s">
        <v>2</v>
      </c>
      <c r="E230" t="s">
        <v>441</v>
      </c>
      <c r="F230" t="s">
        <v>13</v>
      </c>
      <c r="G230" t="s">
        <v>525</v>
      </c>
    </row>
    <row r="231" spans="1:7" x14ac:dyDescent="0.3">
      <c r="A231">
        <v>0</v>
      </c>
      <c r="B231" t="s">
        <v>105</v>
      </c>
      <c r="C231" t="s">
        <v>115</v>
      </c>
      <c r="D231" t="s">
        <v>2</v>
      </c>
      <c r="E231" t="s">
        <v>115</v>
      </c>
      <c r="F231" t="s">
        <v>13</v>
      </c>
      <c r="G231" t="s">
        <v>525</v>
      </c>
    </row>
    <row r="232" spans="1:7" x14ac:dyDescent="0.3">
      <c r="A232">
        <v>0</v>
      </c>
      <c r="B232" t="s">
        <v>312</v>
      </c>
      <c r="C232" t="s">
        <v>484</v>
      </c>
      <c r="D232" t="s">
        <v>2</v>
      </c>
      <c r="E232" t="s">
        <v>484</v>
      </c>
      <c r="F232" t="s">
        <v>13</v>
      </c>
      <c r="G232" t="s">
        <v>525</v>
      </c>
    </row>
    <row r="233" spans="1:7" x14ac:dyDescent="0.3">
      <c r="A233">
        <v>0</v>
      </c>
      <c r="B233" t="s">
        <v>312</v>
      </c>
      <c r="C233" t="s">
        <v>311</v>
      </c>
      <c r="D233" t="s">
        <v>2</v>
      </c>
      <c r="E233" t="s">
        <v>311</v>
      </c>
      <c r="F233" t="s">
        <v>13</v>
      </c>
      <c r="G233" t="s">
        <v>525</v>
      </c>
    </row>
    <row r="234" spans="1:7" x14ac:dyDescent="0.3">
      <c r="A234">
        <v>0</v>
      </c>
      <c r="B234" t="s">
        <v>312</v>
      </c>
      <c r="C234" t="s">
        <v>365</v>
      </c>
      <c r="D234" t="s">
        <v>2</v>
      </c>
      <c r="E234" t="s">
        <v>365</v>
      </c>
      <c r="F234" t="s">
        <v>13</v>
      </c>
      <c r="G234" t="s">
        <v>525</v>
      </c>
    </row>
    <row r="235" spans="1:7" x14ac:dyDescent="0.3">
      <c r="A235">
        <v>0</v>
      </c>
      <c r="B235" t="s">
        <v>314</v>
      </c>
      <c r="C235" t="s">
        <v>350</v>
      </c>
      <c r="D235" t="s">
        <v>2</v>
      </c>
      <c r="E235" t="s">
        <v>350</v>
      </c>
      <c r="F235" t="s">
        <v>13</v>
      </c>
      <c r="G235" t="s">
        <v>525</v>
      </c>
    </row>
    <row r="236" spans="1:7" x14ac:dyDescent="0.3">
      <c r="A236">
        <v>0</v>
      </c>
      <c r="B236" t="s">
        <v>105</v>
      </c>
      <c r="C236" t="s">
        <v>123</v>
      </c>
      <c r="D236" t="s">
        <v>2</v>
      </c>
      <c r="E236" t="s">
        <v>123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396</v>
      </c>
      <c r="D237" t="s">
        <v>2</v>
      </c>
      <c r="E237" t="s">
        <v>396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428</v>
      </c>
      <c r="D238" t="s">
        <v>2</v>
      </c>
      <c r="E238" t="s">
        <v>428</v>
      </c>
      <c r="F238" t="s">
        <v>13</v>
      </c>
      <c r="G238" t="s">
        <v>525</v>
      </c>
    </row>
    <row r="239" spans="1:7" x14ac:dyDescent="0.3">
      <c r="A239">
        <v>0</v>
      </c>
      <c r="B239" t="s">
        <v>312</v>
      </c>
      <c r="C239" t="s">
        <v>383</v>
      </c>
      <c r="D239" t="s">
        <v>2</v>
      </c>
      <c r="E239" t="s">
        <v>383</v>
      </c>
      <c r="F239" t="s">
        <v>13</v>
      </c>
      <c r="G239" t="s">
        <v>525</v>
      </c>
    </row>
    <row r="240" spans="1:7" x14ac:dyDescent="0.3">
      <c r="A240">
        <v>0</v>
      </c>
      <c r="B240" t="s">
        <v>312</v>
      </c>
      <c r="C240" t="s">
        <v>426</v>
      </c>
      <c r="D240" t="s">
        <v>2</v>
      </c>
      <c r="E240" t="s">
        <v>426</v>
      </c>
      <c r="F240" t="s">
        <v>13</v>
      </c>
      <c r="G240" t="s">
        <v>525</v>
      </c>
    </row>
    <row r="241" spans="1:7" x14ac:dyDescent="0.3">
      <c r="A241">
        <v>0</v>
      </c>
      <c r="B241" t="s">
        <v>312</v>
      </c>
      <c r="C241" t="s">
        <v>437</v>
      </c>
      <c r="D241" t="s">
        <v>2</v>
      </c>
      <c r="E241" t="s">
        <v>437</v>
      </c>
      <c r="F241" t="s">
        <v>13</v>
      </c>
      <c r="G241" t="s">
        <v>525</v>
      </c>
    </row>
    <row r="242" spans="1:7" x14ac:dyDescent="0.3">
      <c r="A242">
        <v>0</v>
      </c>
      <c r="B242" t="s">
        <v>312</v>
      </c>
      <c r="C242" t="s">
        <v>454</v>
      </c>
      <c r="D242" t="s">
        <v>2</v>
      </c>
      <c r="E242" t="s">
        <v>454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425</v>
      </c>
      <c r="D243" t="s">
        <v>2</v>
      </c>
      <c r="E243" t="s">
        <v>425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344</v>
      </c>
      <c r="D244" t="s">
        <v>2</v>
      </c>
      <c r="E244" t="s">
        <v>344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t="s">
        <v>407</v>
      </c>
      <c r="D245" t="s">
        <v>2</v>
      </c>
      <c r="E245" t="s">
        <v>407</v>
      </c>
      <c r="F245" t="s">
        <v>13</v>
      </c>
      <c r="G245" t="s">
        <v>525</v>
      </c>
    </row>
    <row r="246" spans="1:7" x14ac:dyDescent="0.3">
      <c r="A246">
        <v>0</v>
      </c>
      <c r="B246" t="s">
        <v>314</v>
      </c>
      <c r="C246" t="s">
        <v>413</v>
      </c>
      <c r="D246" t="s">
        <v>2</v>
      </c>
      <c r="E246" t="s">
        <v>413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392</v>
      </c>
      <c r="D247" t="s">
        <v>2</v>
      </c>
      <c r="E247" t="s">
        <v>392</v>
      </c>
      <c r="F247" t="s">
        <v>13</v>
      </c>
      <c r="G247" t="s">
        <v>525</v>
      </c>
    </row>
    <row r="248" spans="1:7" x14ac:dyDescent="0.3">
      <c r="A248">
        <v>0</v>
      </c>
      <c r="B248" t="s">
        <v>319</v>
      </c>
      <c r="C248" t="s">
        <v>422</v>
      </c>
      <c r="D248" t="s">
        <v>2</v>
      </c>
      <c r="E248" t="s">
        <v>422</v>
      </c>
      <c r="F248" t="s">
        <v>13</v>
      </c>
      <c r="G248" t="s">
        <v>525</v>
      </c>
    </row>
    <row r="249" spans="1:7" x14ac:dyDescent="0.3">
      <c r="A249">
        <v>0</v>
      </c>
      <c r="B249" t="s">
        <v>314</v>
      </c>
      <c r="C249" t="s">
        <v>495</v>
      </c>
      <c r="D249" t="s">
        <v>494</v>
      </c>
      <c r="E249" t="s">
        <v>495</v>
      </c>
      <c r="F249" t="s">
        <v>13</v>
      </c>
      <c r="G249" t="s">
        <v>525</v>
      </c>
    </row>
    <row r="250" spans="1:7" x14ac:dyDescent="0.3">
      <c r="A250">
        <v>0</v>
      </c>
      <c r="B250" t="s">
        <v>314</v>
      </c>
      <c r="C250" t="s">
        <v>497</v>
      </c>
      <c r="D250" t="s">
        <v>494</v>
      </c>
      <c r="E250" t="s">
        <v>497</v>
      </c>
      <c r="F250" t="s">
        <v>13</v>
      </c>
      <c r="G250" t="s">
        <v>525</v>
      </c>
    </row>
    <row r="251" spans="1:7" x14ac:dyDescent="0.3">
      <c r="A251">
        <v>0</v>
      </c>
      <c r="B251" t="s">
        <v>314</v>
      </c>
      <c r="C251" t="s">
        <v>496</v>
      </c>
      <c r="D251" t="s">
        <v>494</v>
      </c>
      <c r="E251" t="s">
        <v>496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513</v>
      </c>
      <c r="D252" t="s">
        <v>498</v>
      </c>
      <c r="E252" t="s">
        <v>513</v>
      </c>
      <c r="F252" t="s">
        <v>13</v>
      </c>
      <c r="G252" t="s">
        <v>525</v>
      </c>
    </row>
    <row r="253" spans="1:7" x14ac:dyDescent="0.3">
      <c r="A253">
        <v>0</v>
      </c>
      <c r="B253" t="s">
        <v>312</v>
      </c>
      <c r="C253" t="s">
        <v>515</v>
      </c>
      <c r="D253" t="s">
        <v>498</v>
      </c>
      <c r="E253" t="s">
        <v>515</v>
      </c>
      <c r="F253" t="s">
        <v>13</v>
      </c>
      <c r="G253" t="s">
        <v>525</v>
      </c>
    </row>
    <row r="254" spans="1:7" x14ac:dyDescent="0.3">
      <c r="A254">
        <v>0</v>
      </c>
      <c r="B254" t="s">
        <v>312</v>
      </c>
      <c r="C254" t="s">
        <v>509</v>
      </c>
      <c r="D254" t="s">
        <v>498</v>
      </c>
      <c r="E254" t="s">
        <v>509</v>
      </c>
      <c r="F254" t="s">
        <v>13</v>
      </c>
      <c r="G254" t="s">
        <v>525</v>
      </c>
    </row>
    <row r="255" spans="1:7" x14ac:dyDescent="0.3">
      <c r="A255">
        <v>0</v>
      </c>
      <c r="B255" t="s">
        <v>312</v>
      </c>
      <c r="C255" t="s">
        <v>502</v>
      </c>
      <c r="D255" t="s">
        <v>498</v>
      </c>
      <c r="E255" t="s">
        <v>502</v>
      </c>
      <c r="F255" t="s">
        <v>13</v>
      </c>
      <c r="G255" t="s">
        <v>525</v>
      </c>
    </row>
    <row r="256" spans="1:7" x14ac:dyDescent="0.3">
      <c r="A256">
        <v>0</v>
      </c>
      <c r="B256" t="s">
        <v>312</v>
      </c>
      <c r="C256" t="s">
        <v>500</v>
      </c>
      <c r="D256" t="s">
        <v>498</v>
      </c>
      <c r="E256" t="s">
        <v>500</v>
      </c>
      <c r="F256" t="s">
        <v>13</v>
      </c>
      <c r="G256" t="s">
        <v>525</v>
      </c>
    </row>
    <row r="257" spans="1:7" x14ac:dyDescent="0.3">
      <c r="A257">
        <v>0</v>
      </c>
      <c r="B257" t="s">
        <v>507</v>
      </c>
      <c r="C257" t="s">
        <v>506</v>
      </c>
      <c r="D257" t="s">
        <v>498</v>
      </c>
      <c r="E257" t="s">
        <v>506</v>
      </c>
      <c r="F257" t="s">
        <v>13</v>
      </c>
      <c r="G257" t="s">
        <v>525</v>
      </c>
    </row>
    <row r="258" spans="1:7" x14ac:dyDescent="0.3">
      <c r="A258">
        <v>0</v>
      </c>
      <c r="B258" t="s">
        <v>312</v>
      </c>
      <c r="C258" t="s">
        <v>514</v>
      </c>
      <c r="D258" t="s">
        <v>498</v>
      </c>
      <c r="E258" t="s">
        <v>514</v>
      </c>
      <c r="F258" t="s">
        <v>13</v>
      </c>
      <c r="G258" t="s">
        <v>525</v>
      </c>
    </row>
    <row r="259" spans="1:7" x14ac:dyDescent="0.3">
      <c r="A259">
        <v>0</v>
      </c>
      <c r="B259" t="s">
        <v>312</v>
      </c>
      <c r="C259" t="s">
        <v>499</v>
      </c>
      <c r="D259" t="s">
        <v>498</v>
      </c>
      <c r="E259" t="s">
        <v>499</v>
      </c>
      <c r="F259" t="s">
        <v>13</v>
      </c>
      <c r="G259" t="s">
        <v>525</v>
      </c>
    </row>
    <row r="260" spans="1:7" x14ac:dyDescent="0.3">
      <c r="A260">
        <v>0</v>
      </c>
      <c r="B260" t="s">
        <v>312</v>
      </c>
      <c r="C260" t="s">
        <v>508</v>
      </c>
      <c r="D260" t="s">
        <v>498</v>
      </c>
      <c r="E260" t="s">
        <v>508</v>
      </c>
      <c r="F260" t="s">
        <v>13</v>
      </c>
      <c r="G260" t="s">
        <v>525</v>
      </c>
    </row>
    <row r="261" spans="1:7" x14ac:dyDescent="0.3">
      <c r="A261">
        <v>0</v>
      </c>
      <c r="B261" t="s">
        <v>312</v>
      </c>
      <c r="C261" t="s">
        <v>519</v>
      </c>
      <c r="D261" t="s">
        <v>498</v>
      </c>
      <c r="E261" t="s">
        <v>519</v>
      </c>
      <c r="F261" t="s">
        <v>13</v>
      </c>
      <c r="G261" t="s">
        <v>525</v>
      </c>
    </row>
    <row r="262" spans="1:7" x14ac:dyDescent="0.3">
      <c r="A262">
        <v>0</v>
      </c>
      <c r="B262" t="s">
        <v>312</v>
      </c>
      <c r="C262" t="s">
        <v>510</v>
      </c>
      <c r="D262" t="s">
        <v>498</v>
      </c>
      <c r="E262" t="s">
        <v>510</v>
      </c>
      <c r="F262" t="s">
        <v>13</v>
      </c>
      <c r="G262" t="s">
        <v>525</v>
      </c>
    </row>
    <row r="263" spans="1:7" x14ac:dyDescent="0.3">
      <c r="A263">
        <v>0</v>
      </c>
      <c r="B263" t="s">
        <v>312</v>
      </c>
      <c r="C263" t="s">
        <v>521</v>
      </c>
      <c r="D263" t="s">
        <v>498</v>
      </c>
      <c r="E263" t="s">
        <v>521</v>
      </c>
      <c r="F263" t="s">
        <v>13</v>
      </c>
      <c r="G263" t="s">
        <v>525</v>
      </c>
    </row>
    <row r="264" spans="1:7" x14ac:dyDescent="0.3">
      <c r="A264">
        <v>0</v>
      </c>
      <c r="B264" t="s">
        <v>312</v>
      </c>
      <c r="C264" t="s">
        <v>501</v>
      </c>
      <c r="D264" t="s">
        <v>498</v>
      </c>
      <c r="E264" t="s">
        <v>501</v>
      </c>
      <c r="F264" t="s">
        <v>13</v>
      </c>
      <c r="G264" t="s">
        <v>525</v>
      </c>
    </row>
    <row r="265" spans="1:7" x14ac:dyDescent="0.3">
      <c r="A265">
        <v>0</v>
      </c>
      <c r="B265" t="s">
        <v>312</v>
      </c>
      <c r="C265" t="s">
        <v>504</v>
      </c>
      <c r="D265" t="s">
        <v>498</v>
      </c>
      <c r="E265" t="s">
        <v>504</v>
      </c>
      <c r="F265" t="s">
        <v>13</v>
      </c>
      <c r="G265" t="s">
        <v>525</v>
      </c>
    </row>
    <row r="266" spans="1:7" x14ac:dyDescent="0.3">
      <c r="A266">
        <v>0</v>
      </c>
      <c r="B266" t="s">
        <v>312</v>
      </c>
      <c r="C266" t="s">
        <v>520</v>
      </c>
      <c r="D266" t="s">
        <v>498</v>
      </c>
      <c r="E266" t="s">
        <v>520</v>
      </c>
      <c r="F266" t="s">
        <v>13</v>
      </c>
      <c r="G266" t="s">
        <v>525</v>
      </c>
    </row>
    <row r="267" spans="1:7" x14ac:dyDescent="0.3">
      <c r="A267">
        <v>0</v>
      </c>
      <c r="B267" t="s">
        <v>312</v>
      </c>
      <c r="C267" t="s">
        <v>523</v>
      </c>
      <c r="D267" t="s">
        <v>498</v>
      </c>
      <c r="E267" t="s">
        <v>523</v>
      </c>
      <c r="F267" t="s">
        <v>13</v>
      </c>
      <c r="G267" t="s">
        <v>525</v>
      </c>
    </row>
    <row r="268" spans="1:7" x14ac:dyDescent="0.3">
      <c r="A268">
        <v>0</v>
      </c>
      <c r="B268" t="s">
        <v>312</v>
      </c>
      <c r="C268" t="s">
        <v>503</v>
      </c>
      <c r="D268" t="s">
        <v>498</v>
      </c>
      <c r="E268" t="s">
        <v>503</v>
      </c>
      <c r="F268" t="s">
        <v>13</v>
      </c>
      <c r="G268" t="s">
        <v>525</v>
      </c>
    </row>
    <row r="269" spans="1:7" x14ac:dyDescent="0.3">
      <c r="A269">
        <v>0</v>
      </c>
      <c r="B269" t="s">
        <v>312</v>
      </c>
      <c r="C269" t="s">
        <v>512</v>
      </c>
      <c r="D269" t="s">
        <v>498</v>
      </c>
      <c r="E269" t="s">
        <v>512</v>
      </c>
      <c r="F269" t="s">
        <v>13</v>
      </c>
      <c r="G269" t="s">
        <v>525</v>
      </c>
    </row>
    <row r="270" spans="1:7" x14ac:dyDescent="0.3">
      <c r="A270">
        <v>0</v>
      </c>
      <c r="B270" t="s">
        <v>312</v>
      </c>
      <c r="C270" t="s">
        <v>505</v>
      </c>
      <c r="D270" t="s">
        <v>498</v>
      </c>
      <c r="E270" t="s">
        <v>505</v>
      </c>
      <c r="F270" t="s">
        <v>13</v>
      </c>
      <c r="G270" t="s">
        <v>525</v>
      </c>
    </row>
    <row r="271" spans="1:7" x14ac:dyDescent="0.3">
      <c r="A271">
        <v>0</v>
      </c>
      <c r="B271" t="s">
        <v>312</v>
      </c>
      <c r="C271" t="s">
        <v>518</v>
      </c>
      <c r="D271" t="s">
        <v>498</v>
      </c>
      <c r="E271" t="s">
        <v>518</v>
      </c>
      <c r="F271" t="s">
        <v>13</v>
      </c>
      <c r="G271" t="s">
        <v>525</v>
      </c>
    </row>
    <row r="272" spans="1:7" x14ac:dyDescent="0.3">
      <c r="A272">
        <v>0</v>
      </c>
      <c r="B272" t="s">
        <v>312</v>
      </c>
      <c r="C272" t="s">
        <v>522</v>
      </c>
      <c r="D272" t="s">
        <v>498</v>
      </c>
      <c r="E272" t="s">
        <v>522</v>
      </c>
      <c r="F272" t="s">
        <v>13</v>
      </c>
      <c r="G272" t="s">
        <v>525</v>
      </c>
    </row>
    <row r="273" spans="1:7" x14ac:dyDescent="0.3">
      <c r="A273">
        <v>0</v>
      </c>
      <c r="B273" t="s">
        <v>312</v>
      </c>
      <c r="C273" t="s">
        <v>516</v>
      </c>
      <c r="D273" t="s">
        <v>498</v>
      </c>
      <c r="E273" t="s">
        <v>516</v>
      </c>
      <c r="F273" t="s">
        <v>13</v>
      </c>
      <c r="G273" t="s">
        <v>525</v>
      </c>
    </row>
    <row r="274" spans="1:7" x14ac:dyDescent="0.3">
      <c r="A274">
        <v>0</v>
      </c>
      <c r="B274" t="s">
        <v>312</v>
      </c>
      <c r="C274" t="s">
        <v>517</v>
      </c>
      <c r="D274" t="s">
        <v>498</v>
      </c>
      <c r="E274" t="s">
        <v>517</v>
      </c>
      <c r="F274" t="s">
        <v>13</v>
      </c>
      <c r="G274" t="s">
        <v>525</v>
      </c>
    </row>
    <row r="275" spans="1:7" x14ac:dyDescent="0.3">
      <c r="A275">
        <v>0</v>
      </c>
      <c r="B275" t="s">
        <v>16</v>
      </c>
      <c r="C275" s="2" t="s">
        <v>22</v>
      </c>
      <c r="D275" t="s">
        <v>2</v>
      </c>
      <c r="E275" s="2" t="s">
        <v>22</v>
      </c>
      <c r="F275" t="s">
        <v>13</v>
      </c>
      <c r="G275" t="s">
        <v>525</v>
      </c>
    </row>
    <row r="276" spans="1:7" x14ac:dyDescent="0.3">
      <c r="A276">
        <v>0</v>
      </c>
      <c r="B276" t="s">
        <v>16</v>
      </c>
      <c r="C276" s="2" t="s">
        <v>49</v>
      </c>
      <c r="D276" t="s">
        <v>2</v>
      </c>
      <c r="E276" s="2" t="s">
        <v>49</v>
      </c>
      <c r="F276" t="s">
        <v>13</v>
      </c>
      <c r="G276" t="s">
        <v>525</v>
      </c>
    </row>
    <row r="277" spans="1:7" x14ac:dyDescent="0.3">
      <c r="A277">
        <v>0</v>
      </c>
      <c r="B277" t="s">
        <v>312</v>
      </c>
      <c r="C277" s="2" t="s">
        <v>55</v>
      </c>
      <c r="D277" t="s">
        <v>2</v>
      </c>
      <c r="E277" s="2" t="s">
        <v>55</v>
      </c>
      <c r="F277" t="s">
        <v>13</v>
      </c>
      <c r="G277" t="s">
        <v>525</v>
      </c>
    </row>
    <row r="278" spans="1:7" x14ac:dyDescent="0.3">
      <c r="A278">
        <v>0</v>
      </c>
      <c r="B278" t="s">
        <v>312</v>
      </c>
      <c r="C278" t="s">
        <v>59</v>
      </c>
      <c r="D278" t="s">
        <v>2</v>
      </c>
      <c r="E278" t="s">
        <v>59</v>
      </c>
      <c r="F278" t="s">
        <v>13</v>
      </c>
      <c r="G278" t="s">
        <v>525</v>
      </c>
    </row>
    <row r="279" spans="1:7" x14ac:dyDescent="0.3">
      <c r="A279">
        <v>0</v>
      </c>
      <c r="B279" t="s">
        <v>16</v>
      </c>
      <c r="C279" s="2" t="s">
        <v>61</v>
      </c>
      <c r="D279" t="s">
        <v>2</v>
      </c>
      <c r="E279" s="2" t="s">
        <v>61</v>
      </c>
      <c r="F279" t="s">
        <v>13</v>
      </c>
      <c r="G279" t="s">
        <v>525</v>
      </c>
    </row>
    <row r="280" spans="1:7" x14ac:dyDescent="0.3">
      <c r="A280">
        <v>0</v>
      </c>
      <c r="B280" t="s">
        <v>312</v>
      </c>
      <c r="C280" s="2" t="s">
        <v>67</v>
      </c>
      <c r="D280" t="s">
        <v>2</v>
      </c>
      <c r="E280" s="2" t="s">
        <v>67</v>
      </c>
      <c r="F280" t="s">
        <v>13</v>
      </c>
      <c r="G280" t="s">
        <v>525</v>
      </c>
    </row>
    <row r="281" spans="1:7" x14ac:dyDescent="0.3">
      <c r="A281">
        <v>0</v>
      </c>
      <c r="B281" t="s">
        <v>312</v>
      </c>
      <c r="C281" t="s">
        <v>73</v>
      </c>
      <c r="D281" t="s">
        <v>2</v>
      </c>
      <c r="E281" t="s">
        <v>73</v>
      </c>
      <c r="F281" t="s">
        <v>13</v>
      </c>
      <c r="G281" t="s">
        <v>525</v>
      </c>
    </row>
    <row r="282" spans="1:7" x14ac:dyDescent="0.3">
      <c r="A282">
        <v>0</v>
      </c>
      <c r="B282" t="s">
        <v>312</v>
      </c>
      <c r="C282" t="s">
        <v>79</v>
      </c>
      <c r="D282" t="s">
        <v>2</v>
      </c>
      <c r="E282" t="s">
        <v>79</v>
      </c>
      <c r="F282" t="s">
        <v>13</v>
      </c>
      <c r="G282" t="s">
        <v>525</v>
      </c>
    </row>
    <row r="283" spans="1:7" x14ac:dyDescent="0.3">
      <c r="A283">
        <v>0</v>
      </c>
      <c r="B283" t="s">
        <v>312</v>
      </c>
      <c r="C283" t="s">
        <v>82</v>
      </c>
      <c r="D283" t="s">
        <v>2</v>
      </c>
      <c r="E283" t="s">
        <v>82</v>
      </c>
      <c r="F283" t="s">
        <v>13</v>
      </c>
      <c r="G283" t="s">
        <v>525</v>
      </c>
    </row>
    <row r="284" spans="1:7" x14ac:dyDescent="0.3">
      <c r="A284">
        <v>0</v>
      </c>
      <c r="B284" t="s">
        <v>312</v>
      </c>
      <c r="C284" t="s">
        <v>85</v>
      </c>
      <c r="D284" t="s">
        <v>2</v>
      </c>
      <c r="E284" t="s">
        <v>85</v>
      </c>
      <c r="F284" t="s">
        <v>13</v>
      </c>
      <c r="G284" t="s">
        <v>525</v>
      </c>
    </row>
    <row r="285" spans="1:7" x14ac:dyDescent="0.3">
      <c r="A285">
        <v>0</v>
      </c>
      <c r="B285" t="s">
        <v>312</v>
      </c>
      <c r="C285" t="s">
        <v>88</v>
      </c>
      <c r="D285" t="s">
        <v>2</v>
      </c>
      <c r="E285" t="s">
        <v>88</v>
      </c>
      <c r="F285" t="s">
        <v>13</v>
      </c>
      <c r="G285" t="s">
        <v>525</v>
      </c>
    </row>
    <row r="286" spans="1:7" x14ac:dyDescent="0.3">
      <c r="A286">
        <v>0</v>
      </c>
      <c r="B286" t="s">
        <v>312</v>
      </c>
      <c r="C286" t="s">
        <v>91</v>
      </c>
      <c r="D286" t="s">
        <v>2</v>
      </c>
      <c r="E286" t="s">
        <v>91</v>
      </c>
      <c r="F286" t="s">
        <v>13</v>
      </c>
      <c r="G286" t="s">
        <v>525</v>
      </c>
    </row>
    <row r="287" spans="1:7" x14ac:dyDescent="0.3">
      <c r="A287">
        <v>0</v>
      </c>
      <c r="B287" t="s">
        <v>312</v>
      </c>
      <c r="C287" t="s">
        <v>94</v>
      </c>
      <c r="D287" t="s">
        <v>2</v>
      </c>
      <c r="E287" t="s">
        <v>94</v>
      </c>
      <c r="F287" t="s">
        <v>13</v>
      </c>
      <c r="G287" t="s">
        <v>525</v>
      </c>
    </row>
    <row r="288" spans="1:7" x14ac:dyDescent="0.3">
      <c r="A288">
        <v>0</v>
      </c>
      <c r="B288" t="s">
        <v>312</v>
      </c>
      <c r="C288" t="s">
        <v>97</v>
      </c>
      <c r="D288" t="s">
        <v>2</v>
      </c>
      <c r="E288" t="s">
        <v>97</v>
      </c>
      <c r="F288" t="s">
        <v>13</v>
      </c>
      <c r="G288" t="s">
        <v>525</v>
      </c>
    </row>
    <row r="289" spans="1:7" x14ac:dyDescent="0.3">
      <c r="A289">
        <v>0</v>
      </c>
      <c r="B289" t="s">
        <v>312</v>
      </c>
      <c r="C289" t="s">
        <v>100</v>
      </c>
      <c r="D289" t="s">
        <v>2</v>
      </c>
      <c r="E289" t="s">
        <v>100</v>
      </c>
      <c r="F289" t="s">
        <v>13</v>
      </c>
      <c r="G289" t="s">
        <v>525</v>
      </c>
    </row>
  </sheetData>
  <pageMargins left="0.75" right="0.75" top="1" bottom="1" header="0.5" footer="0.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93"/>
  <sheetViews>
    <sheetView topLeftCell="A35" workbookViewId="0">
      <selection activeCell="E48" sqref="E48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1.03</v>
      </c>
      <c r="B2" t="s">
        <v>16</v>
      </c>
      <c r="C2" t="s">
        <v>659</v>
      </c>
      <c r="D2" t="s">
        <v>2</v>
      </c>
      <c r="E2" t="s">
        <v>61</v>
      </c>
      <c r="F2" s="4" t="s">
        <v>13</v>
      </c>
      <c r="G2" t="s">
        <v>525</v>
      </c>
      <c r="H2" t="s">
        <v>626</v>
      </c>
    </row>
    <row r="3" spans="1:9" x14ac:dyDescent="0.3">
      <c r="A3">
        <v>3.3730158730158736E-3</v>
      </c>
      <c r="B3" t="s">
        <v>57</v>
      </c>
      <c r="C3" t="s">
        <v>660</v>
      </c>
      <c r="D3" t="s">
        <v>2</v>
      </c>
      <c r="E3" s="2" t="s">
        <v>55</v>
      </c>
      <c r="F3" s="4" t="s">
        <v>13</v>
      </c>
      <c r="G3" t="s">
        <v>525</v>
      </c>
      <c r="H3" t="s">
        <v>626</v>
      </c>
    </row>
    <row r="4" spans="1:9" x14ac:dyDescent="0.3">
      <c r="A4">
        <v>1.1111111111111111E-3</v>
      </c>
      <c r="B4" t="s">
        <v>57</v>
      </c>
      <c r="C4" t="s">
        <v>661</v>
      </c>
      <c r="D4" t="s">
        <v>2</v>
      </c>
      <c r="E4" s="2" t="s">
        <v>55</v>
      </c>
      <c r="F4" s="4" t="s">
        <v>13</v>
      </c>
      <c r="G4" t="s">
        <v>525</v>
      </c>
      <c r="H4" t="s">
        <v>626</v>
      </c>
    </row>
    <row r="5" spans="1:9" x14ac:dyDescent="0.3">
      <c r="A5">
        <v>5.541365096733708E-2</v>
      </c>
      <c r="B5" t="s">
        <v>57</v>
      </c>
      <c r="C5" t="s">
        <v>662</v>
      </c>
      <c r="D5" t="s">
        <v>2</v>
      </c>
      <c r="E5" s="2" t="s">
        <v>55</v>
      </c>
      <c r="F5" s="4" t="s">
        <v>13</v>
      </c>
      <c r="G5" t="s">
        <v>525</v>
      </c>
      <c r="H5" t="s">
        <v>626</v>
      </c>
    </row>
    <row r="6" spans="1:9" x14ac:dyDescent="0.3">
      <c r="A6">
        <v>2.1901709401709404E-2</v>
      </c>
      <c r="B6" t="s">
        <v>57</v>
      </c>
      <c r="C6" t="s">
        <v>663</v>
      </c>
      <c r="D6" t="s">
        <v>2</v>
      </c>
      <c r="E6" s="2" t="s">
        <v>246</v>
      </c>
      <c r="F6" t="s">
        <v>13</v>
      </c>
      <c r="G6" t="s">
        <v>525</v>
      </c>
      <c r="H6" t="s">
        <v>626</v>
      </c>
    </row>
    <row r="7" spans="1:9" x14ac:dyDescent="0.3">
      <c r="A7">
        <v>1.3313609467455622E-2</v>
      </c>
      <c r="B7" t="s">
        <v>57</v>
      </c>
      <c r="C7" t="s">
        <v>664</v>
      </c>
      <c r="D7" t="s">
        <v>2</v>
      </c>
      <c r="E7" t="s">
        <v>149</v>
      </c>
      <c r="F7" t="s">
        <v>13</v>
      </c>
      <c r="G7" t="s">
        <v>525</v>
      </c>
      <c r="H7" t="s">
        <v>626</v>
      </c>
    </row>
    <row r="8" spans="1:9" x14ac:dyDescent="0.3">
      <c r="A8">
        <v>0.17710387902695593</v>
      </c>
      <c r="B8" t="s">
        <v>57</v>
      </c>
      <c r="C8" t="s">
        <v>643</v>
      </c>
      <c r="D8" t="s">
        <v>2</v>
      </c>
      <c r="E8" t="s">
        <v>149</v>
      </c>
      <c r="F8" t="s">
        <v>13</v>
      </c>
      <c r="G8" t="s">
        <v>525</v>
      </c>
      <c r="H8" t="s">
        <v>626</v>
      </c>
    </row>
    <row r="9" spans="1:9" x14ac:dyDescent="0.3">
      <c r="A9">
        <v>6.2869822485207101E-4</v>
      </c>
      <c r="B9" t="s">
        <v>57</v>
      </c>
      <c r="C9" t="s">
        <v>665</v>
      </c>
      <c r="D9" t="s">
        <v>2</v>
      </c>
      <c r="E9" t="s">
        <v>149</v>
      </c>
      <c r="F9" t="s">
        <v>13</v>
      </c>
      <c r="G9" t="s">
        <v>525</v>
      </c>
      <c r="H9" t="s">
        <v>626</v>
      </c>
    </row>
    <row r="10" spans="1:9" x14ac:dyDescent="0.3">
      <c r="A10">
        <v>6.4513477975016429E-4</v>
      </c>
      <c r="B10" t="s">
        <v>57</v>
      </c>
      <c r="C10" t="s">
        <v>641</v>
      </c>
      <c r="D10" t="s">
        <v>2</v>
      </c>
      <c r="E10" t="s">
        <v>85</v>
      </c>
      <c r="F10" s="4" t="s">
        <v>13</v>
      </c>
      <c r="G10" t="s">
        <v>525</v>
      </c>
      <c r="H10" t="s">
        <v>626</v>
      </c>
    </row>
    <row r="11" spans="1:9" x14ac:dyDescent="0.3">
      <c r="A11">
        <v>0.604043392504931</v>
      </c>
      <c r="B11" t="s">
        <v>57</v>
      </c>
      <c r="C11" t="s">
        <v>666</v>
      </c>
      <c r="D11" t="s">
        <v>2</v>
      </c>
      <c r="E11" t="s">
        <v>149</v>
      </c>
      <c r="F11" t="s">
        <v>13</v>
      </c>
      <c r="G11" t="s">
        <v>525</v>
      </c>
      <c r="H11" t="s">
        <v>626</v>
      </c>
    </row>
    <row r="12" spans="1:9" x14ac:dyDescent="0.3">
      <c r="A12">
        <v>1.5080539119000657E-2</v>
      </c>
      <c r="B12" t="s">
        <v>57</v>
      </c>
      <c r="C12" t="s">
        <v>667</v>
      </c>
      <c r="D12" t="s">
        <v>2</v>
      </c>
      <c r="E12" s="2" t="s">
        <v>332</v>
      </c>
      <c r="F12" t="s">
        <v>13</v>
      </c>
      <c r="G12" t="s">
        <v>525</v>
      </c>
      <c r="H12" t="s">
        <v>626</v>
      </c>
    </row>
    <row r="13" spans="1:9" x14ac:dyDescent="0.3">
      <c r="A13">
        <v>3.1188362919132145E-5</v>
      </c>
      <c r="B13" t="s">
        <v>57</v>
      </c>
      <c r="C13" t="s">
        <v>668</v>
      </c>
      <c r="D13" t="s">
        <v>2</v>
      </c>
      <c r="E13" t="s">
        <v>149</v>
      </c>
      <c r="F13" t="s">
        <v>13</v>
      </c>
      <c r="G13" t="s">
        <v>525</v>
      </c>
      <c r="H13" t="s">
        <v>626</v>
      </c>
    </row>
    <row r="14" spans="1:9" x14ac:dyDescent="0.3">
      <c r="A14">
        <v>1.1505588428665352</v>
      </c>
      <c r="B14" t="s">
        <v>57</v>
      </c>
      <c r="C14" t="s">
        <v>669</v>
      </c>
      <c r="D14" t="s">
        <v>2</v>
      </c>
      <c r="E14" t="s">
        <v>149</v>
      </c>
      <c r="F14" t="s">
        <v>13</v>
      </c>
      <c r="G14" t="s">
        <v>525</v>
      </c>
      <c r="H14" t="s">
        <v>626</v>
      </c>
    </row>
    <row r="15" spans="1:9" x14ac:dyDescent="0.3">
      <c r="A15">
        <v>2.9092702169625246E-3</v>
      </c>
      <c r="B15" t="s">
        <v>57</v>
      </c>
      <c r="C15" t="s">
        <v>670</v>
      </c>
      <c r="D15" t="s">
        <v>2</v>
      </c>
      <c r="E15" t="s">
        <v>59</v>
      </c>
      <c r="F15" s="4" t="s">
        <v>13</v>
      </c>
      <c r="G15" t="s">
        <v>525</v>
      </c>
      <c r="H15" t="s">
        <v>626</v>
      </c>
    </row>
    <row r="16" spans="1:9" x14ac:dyDescent="0.3">
      <c r="A16">
        <f>170.940170940171*2.31803430690774E-09</f>
        <v>3.9624518066798988E-7</v>
      </c>
      <c r="B16" t="s">
        <v>314</v>
      </c>
      <c r="C16" t="s">
        <v>640</v>
      </c>
      <c r="D16" t="s">
        <v>2</v>
      </c>
      <c r="E16" s="2" t="s">
        <v>341</v>
      </c>
      <c r="F16" t="s">
        <v>13</v>
      </c>
      <c r="G16" t="s">
        <v>525</v>
      </c>
      <c r="H16" t="s">
        <v>626</v>
      </c>
    </row>
    <row r="17" spans="1:8" x14ac:dyDescent="0.3">
      <c r="A17">
        <v>17.746571249998329</v>
      </c>
      <c r="B17" t="s">
        <v>542</v>
      </c>
      <c r="C17" t="s">
        <v>648</v>
      </c>
      <c r="D17" t="s">
        <v>2</v>
      </c>
      <c r="E17" t="s">
        <v>111</v>
      </c>
      <c r="F17" t="s">
        <v>13</v>
      </c>
      <c r="G17" t="s">
        <v>525</v>
      </c>
      <c r="H17" t="s">
        <v>626</v>
      </c>
    </row>
    <row r="18" spans="1:8" x14ac:dyDescent="0.3">
      <c r="A18">
        <f>0.0608152531229454/48</f>
        <v>1.2669844400613624E-3</v>
      </c>
      <c r="B18" t="s">
        <v>57</v>
      </c>
      <c r="C18" t="s">
        <v>671</v>
      </c>
      <c r="D18" t="s">
        <v>2</v>
      </c>
      <c r="E18" t="s">
        <v>398</v>
      </c>
      <c r="F18" t="s">
        <v>13</v>
      </c>
      <c r="G18" t="s">
        <v>525</v>
      </c>
      <c r="H18" t="s">
        <v>626</v>
      </c>
    </row>
    <row r="19" spans="1:8" x14ac:dyDescent="0.3">
      <c r="A19">
        <f>$A$2*'[1]Wafer prod CN'!I16</f>
        <v>0</v>
      </c>
      <c r="B19" t="s">
        <v>314</v>
      </c>
      <c r="C19" t="s">
        <v>620</v>
      </c>
      <c r="D19" t="s">
        <v>2</v>
      </c>
      <c r="E19" s="2" t="s">
        <v>455</v>
      </c>
      <c r="F19" t="s">
        <v>13</v>
      </c>
      <c r="G19" t="s">
        <v>525</v>
      </c>
      <c r="H19" t="s">
        <v>621</v>
      </c>
    </row>
    <row r="20" spans="1:8" x14ac:dyDescent="0.3">
      <c r="A20">
        <f>$A$2*'[1]Wafer prod CN'!I17</f>
        <v>7.4657817565464523E-6</v>
      </c>
      <c r="B20" s="2" t="s">
        <v>314</v>
      </c>
      <c r="C20" t="s">
        <v>622</v>
      </c>
      <c r="D20" t="s">
        <v>2</v>
      </c>
      <c r="E20" s="2" t="s">
        <v>409</v>
      </c>
      <c r="F20" t="s">
        <v>13</v>
      </c>
      <c r="G20" t="s">
        <v>525</v>
      </c>
      <c r="H20" t="s">
        <v>621</v>
      </c>
    </row>
    <row r="21" spans="1:8" x14ac:dyDescent="0.3">
      <c r="A21">
        <f>$A$2*'[1]Wafer prod CN'!I18</f>
        <v>4.6907642095502955E-8</v>
      </c>
      <c r="B21" s="2" t="s">
        <v>314</v>
      </c>
      <c r="C21" t="s">
        <v>623</v>
      </c>
      <c r="D21" t="s">
        <v>2</v>
      </c>
      <c r="E21" s="2" t="s">
        <v>443</v>
      </c>
      <c r="F21" t="s">
        <v>13</v>
      </c>
      <c r="G21" t="s">
        <v>525</v>
      </c>
      <c r="H21" t="s">
        <v>621</v>
      </c>
    </row>
    <row r="22" spans="1:8" x14ac:dyDescent="0.3">
      <c r="A22">
        <v>2.3298816568047302E-3</v>
      </c>
      <c r="B22" s="2" t="s">
        <v>319</v>
      </c>
      <c r="C22" t="s">
        <v>672</v>
      </c>
      <c r="D22" t="s">
        <v>2</v>
      </c>
      <c r="E22" s="2" t="s">
        <v>375</v>
      </c>
      <c r="F22" t="s">
        <v>13</v>
      </c>
      <c r="G22" t="s">
        <v>525</v>
      </c>
      <c r="H22" t="s">
        <v>626</v>
      </c>
    </row>
    <row r="23" spans="1:8" x14ac:dyDescent="0.3">
      <c r="A23">
        <v>1.72172912557528E-4</v>
      </c>
      <c r="B23" s="2" t="s">
        <v>319</v>
      </c>
      <c r="C23" t="s">
        <v>673</v>
      </c>
      <c r="D23" t="s">
        <v>2</v>
      </c>
      <c r="E23" s="2" t="s">
        <v>404</v>
      </c>
      <c r="F23" t="s">
        <v>13</v>
      </c>
      <c r="G23" t="s">
        <v>525</v>
      </c>
      <c r="H23" t="s">
        <v>626</v>
      </c>
    </row>
    <row r="24" spans="1:8" x14ac:dyDescent="0.3">
      <c r="A24">
        <v>3.2786920226533085E-7</v>
      </c>
      <c r="B24" t="s">
        <v>314</v>
      </c>
      <c r="C24" t="s">
        <v>654</v>
      </c>
      <c r="D24" t="s">
        <v>2</v>
      </c>
      <c r="E24" s="2" t="s">
        <v>449</v>
      </c>
      <c r="F24" t="s">
        <v>13</v>
      </c>
      <c r="G24" t="s">
        <v>525</v>
      </c>
      <c r="H24" t="s">
        <v>655</v>
      </c>
    </row>
    <row r="25" spans="1:8" x14ac:dyDescent="0.3">
      <c r="A25">
        <v>1.8032806124593192E-6</v>
      </c>
      <c r="B25" t="s">
        <v>314</v>
      </c>
      <c r="C25" t="s">
        <v>656</v>
      </c>
      <c r="D25" t="s">
        <v>2</v>
      </c>
      <c r="E25" s="2" t="s">
        <v>487</v>
      </c>
      <c r="F25" t="s">
        <v>13</v>
      </c>
      <c r="G25" t="s">
        <v>525</v>
      </c>
      <c r="H25" t="s">
        <v>655</v>
      </c>
    </row>
    <row r="26" spans="1:8" x14ac:dyDescent="0.3">
      <c r="A26">
        <v>8.5245992588985998E-7</v>
      </c>
      <c r="B26" t="s">
        <v>314</v>
      </c>
      <c r="C26" t="s">
        <v>495</v>
      </c>
      <c r="D26" t="s">
        <v>494</v>
      </c>
      <c r="E26" t="s">
        <v>495</v>
      </c>
      <c r="F26" t="s">
        <v>13</v>
      </c>
      <c r="G26" t="s">
        <v>525</v>
      </c>
      <c r="H26" t="s">
        <v>655</v>
      </c>
    </row>
    <row r="27" spans="1:8" x14ac:dyDescent="0.3">
      <c r="A27">
        <v>3.4098397035594399E-6</v>
      </c>
      <c r="B27" t="s">
        <v>314</v>
      </c>
      <c r="C27" t="s">
        <v>496</v>
      </c>
      <c r="D27" t="s">
        <v>494</v>
      </c>
      <c r="E27" s="2" t="s">
        <v>496</v>
      </c>
      <c r="F27" t="s">
        <v>13</v>
      </c>
      <c r="G27" t="s">
        <v>525</v>
      </c>
      <c r="H27" t="s">
        <v>655</v>
      </c>
    </row>
    <row r="28" spans="1:8" x14ac:dyDescent="0.3">
      <c r="A28">
        <v>2.3442647961971142E-6</v>
      </c>
      <c r="B28" t="s">
        <v>314</v>
      </c>
      <c r="C28" t="s">
        <v>497</v>
      </c>
      <c r="D28" t="s">
        <v>494</v>
      </c>
      <c r="E28" s="2" t="s">
        <v>497</v>
      </c>
      <c r="F28" t="s">
        <v>13</v>
      </c>
      <c r="G28" t="s">
        <v>525</v>
      </c>
      <c r="H28" t="s">
        <v>655</v>
      </c>
    </row>
    <row r="29" spans="1:8" x14ac:dyDescent="0.3">
      <c r="A29">
        <v>2.0686005676624811E-7</v>
      </c>
      <c r="B29" t="s">
        <v>507</v>
      </c>
      <c r="C29" t="s">
        <v>506</v>
      </c>
      <c r="D29" t="s">
        <v>498</v>
      </c>
      <c r="E29" s="2" t="s">
        <v>506</v>
      </c>
      <c r="F29" t="s">
        <v>13</v>
      </c>
      <c r="G29" t="s">
        <v>525</v>
      </c>
      <c r="H29" t="s">
        <v>655</v>
      </c>
    </row>
    <row r="30" spans="1:8" x14ac:dyDescent="0.3">
      <c r="A30">
        <v>7.725180802103879E-6</v>
      </c>
      <c r="B30" t="s">
        <v>57</v>
      </c>
      <c r="C30" t="s">
        <v>674</v>
      </c>
      <c r="D30" t="s">
        <v>498</v>
      </c>
      <c r="E30" t="s">
        <v>522</v>
      </c>
      <c r="F30" t="s">
        <v>13</v>
      </c>
      <c r="G30" t="s">
        <v>525</v>
      </c>
      <c r="H30" t="s">
        <v>626</v>
      </c>
    </row>
    <row r="31" spans="1:8" x14ac:dyDescent="0.3">
      <c r="A31">
        <v>1.3806706114398421E-4</v>
      </c>
      <c r="B31" t="s">
        <v>57</v>
      </c>
      <c r="C31" t="s">
        <v>85</v>
      </c>
      <c r="D31" t="s">
        <v>498</v>
      </c>
      <c r="E31" s="2" t="s">
        <v>516</v>
      </c>
      <c r="F31" t="s">
        <v>13</v>
      </c>
      <c r="G31" t="s">
        <v>525</v>
      </c>
      <c r="H31" t="s">
        <v>626</v>
      </c>
    </row>
    <row r="32" spans="1:8" x14ac:dyDescent="0.3">
      <c r="A32">
        <v>7.725180802103879E-6</v>
      </c>
      <c r="B32" t="s">
        <v>57</v>
      </c>
      <c r="C32" t="s">
        <v>675</v>
      </c>
      <c r="D32" t="s">
        <v>498</v>
      </c>
      <c r="E32" t="s">
        <v>520</v>
      </c>
      <c r="F32" t="s">
        <v>13</v>
      </c>
      <c r="G32" t="s">
        <v>525</v>
      </c>
      <c r="H32" t="s">
        <v>626</v>
      </c>
    </row>
    <row r="33" spans="1:8" x14ac:dyDescent="0.3">
      <c r="A33">
        <v>3.1681459566074953E-8</v>
      </c>
      <c r="B33" t="s">
        <v>57</v>
      </c>
      <c r="C33" t="s">
        <v>676</v>
      </c>
      <c r="D33" t="s">
        <v>498</v>
      </c>
      <c r="E33" t="s">
        <v>516</v>
      </c>
      <c r="F33" t="s">
        <v>13</v>
      </c>
      <c r="G33" t="s">
        <v>525</v>
      </c>
      <c r="H33" t="s">
        <v>626</v>
      </c>
    </row>
    <row r="34" spans="1:8" x14ac:dyDescent="0.3">
      <c r="A34">
        <v>7.725180802103879E-6</v>
      </c>
      <c r="B34" t="s">
        <v>57</v>
      </c>
      <c r="C34" t="s">
        <v>677</v>
      </c>
      <c r="D34" t="s">
        <v>498</v>
      </c>
      <c r="E34" t="s">
        <v>516</v>
      </c>
      <c r="F34" t="s">
        <v>13</v>
      </c>
      <c r="G34" t="s">
        <v>525</v>
      </c>
      <c r="H34" t="s">
        <v>626</v>
      </c>
    </row>
    <row r="35" spans="1:8" x14ac:dyDescent="0.3">
      <c r="A35">
        <v>7.725180802103879E-6</v>
      </c>
      <c r="B35" t="s">
        <v>57</v>
      </c>
      <c r="C35" t="s">
        <v>678</v>
      </c>
      <c r="D35" t="s">
        <v>498</v>
      </c>
      <c r="E35" t="s">
        <v>516</v>
      </c>
      <c r="F35" t="s">
        <v>13</v>
      </c>
      <c r="G35" t="s">
        <v>525</v>
      </c>
      <c r="H35" t="s">
        <v>626</v>
      </c>
    </row>
    <row r="36" spans="1:8" x14ac:dyDescent="0.3">
      <c r="A36">
        <v>3.7310979618671928E-5</v>
      </c>
      <c r="B36" t="s">
        <v>57</v>
      </c>
      <c r="C36" t="s">
        <v>679</v>
      </c>
      <c r="D36" t="s">
        <v>498</v>
      </c>
      <c r="E36" t="s">
        <v>512</v>
      </c>
      <c r="F36" t="s">
        <v>13</v>
      </c>
      <c r="G36" t="s">
        <v>525</v>
      </c>
      <c r="H36" t="s">
        <v>626</v>
      </c>
    </row>
    <row r="37" spans="1:8" x14ac:dyDescent="0.3">
      <c r="A37">
        <v>0.1668310322156476</v>
      </c>
      <c r="B37" t="s">
        <v>57</v>
      </c>
      <c r="C37" t="s">
        <v>680</v>
      </c>
      <c r="D37" t="s">
        <v>498</v>
      </c>
      <c r="E37" t="s">
        <v>502</v>
      </c>
      <c r="F37" t="s">
        <v>13</v>
      </c>
      <c r="G37" t="s">
        <v>525</v>
      </c>
      <c r="H37" t="s">
        <v>626</v>
      </c>
    </row>
    <row r="38" spans="1:8" x14ac:dyDescent="0.3">
      <c r="A38">
        <v>4.602235371466141E-5</v>
      </c>
      <c r="B38" t="s">
        <v>57</v>
      </c>
      <c r="C38" t="s">
        <v>681</v>
      </c>
      <c r="D38" t="s">
        <v>498</v>
      </c>
      <c r="E38" t="s">
        <v>516</v>
      </c>
      <c r="F38" t="s">
        <v>13</v>
      </c>
      <c r="G38" t="s">
        <v>525</v>
      </c>
      <c r="H38" t="s">
        <v>626</v>
      </c>
    </row>
    <row r="39" spans="1:8" x14ac:dyDescent="0.3">
      <c r="A39">
        <v>1.1012491781722551E-2</v>
      </c>
      <c r="B39" t="s">
        <v>57</v>
      </c>
      <c r="C39" t="s">
        <v>112</v>
      </c>
      <c r="D39" t="s">
        <v>498</v>
      </c>
      <c r="E39" t="s">
        <v>516</v>
      </c>
      <c r="F39" t="s">
        <v>13</v>
      </c>
      <c r="G39" t="s">
        <v>525</v>
      </c>
      <c r="H39" t="s">
        <v>626</v>
      </c>
    </row>
    <row r="40" spans="1:8" x14ac:dyDescent="0.3">
      <c r="A40">
        <v>1.4710716633793556E-2</v>
      </c>
      <c r="B40" t="s">
        <v>57</v>
      </c>
      <c r="C40" t="s">
        <v>682</v>
      </c>
      <c r="D40" t="s">
        <v>498</v>
      </c>
      <c r="E40" t="s">
        <v>516</v>
      </c>
      <c r="F40" t="s">
        <v>13</v>
      </c>
      <c r="G40" t="s">
        <v>525</v>
      </c>
      <c r="H40" t="s">
        <v>626</v>
      </c>
    </row>
    <row r="41" spans="1:8" x14ac:dyDescent="0.3">
      <c r="A41">
        <v>6.3280736357659438E-4</v>
      </c>
      <c r="B41" t="s">
        <v>57</v>
      </c>
      <c r="C41" t="s">
        <v>683</v>
      </c>
      <c r="D41" t="s">
        <v>498</v>
      </c>
      <c r="E41" t="s">
        <v>516</v>
      </c>
      <c r="F41" t="s">
        <v>13</v>
      </c>
      <c r="G41" t="s">
        <v>525</v>
      </c>
      <c r="H41" t="s">
        <v>626</v>
      </c>
    </row>
    <row r="42" spans="1:8" x14ac:dyDescent="0.3">
      <c r="A42">
        <v>3.1188362919132145E-5</v>
      </c>
      <c r="B42" t="s">
        <v>57</v>
      </c>
      <c r="C42" t="s">
        <v>684</v>
      </c>
      <c r="D42" t="s">
        <v>498</v>
      </c>
      <c r="E42" t="s">
        <v>508</v>
      </c>
      <c r="F42" t="s">
        <v>13</v>
      </c>
      <c r="G42" t="s">
        <v>525</v>
      </c>
      <c r="H42" t="s">
        <v>626</v>
      </c>
    </row>
    <row r="43" spans="1:8" x14ac:dyDescent="0.3">
      <c r="A43">
        <v>3.3284023668639053E-4</v>
      </c>
      <c r="B43" t="s">
        <v>57</v>
      </c>
      <c r="C43" t="s">
        <v>676</v>
      </c>
      <c r="D43" t="s">
        <v>498</v>
      </c>
      <c r="E43" t="s">
        <v>516</v>
      </c>
      <c r="F43" t="s">
        <v>13</v>
      </c>
      <c r="G43" t="s">
        <v>525</v>
      </c>
      <c r="H43" t="s">
        <v>626</v>
      </c>
    </row>
    <row r="44" spans="1:8" x14ac:dyDescent="0.3">
      <c r="A44">
        <v>2.6298487836949372E-3</v>
      </c>
      <c r="B44" t="s">
        <v>57</v>
      </c>
      <c r="C44" t="s">
        <v>676</v>
      </c>
      <c r="D44" t="s">
        <v>498</v>
      </c>
      <c r="E44" t="s">
        <v>516</v>
      </c>
      <c r="F44" t="s">
        <v>13</v>
      </c>
      <c r="G44" t="s">
        <v>525</v>
      </c>
      <c r="H44" t="s">
        <v>626</v>
      </c>
    </row>
    <row r="45" spans="1:8" x14ac:dyDescent="0.3">
      <c r="A45">
        <v>1.2615055884286653E-2</v>
      </c>
      <c r="B45" t="s">
        <v>57</v>
      </c>
      <c r="C45" t="s">
        <v>657</v>
      </c>
      <c r="D45" t="s">
        <v>498</v>
      </c>
      <c r="E45" t="s">
        <v>513</v>
      </c>
      <c r="F45" t="s">
        <v>13</v>
      </c>
      <c r="G45" t="s">
        <v>525</v>
      </c>
      <c r="H45" t="s">
        <v>626</v>
      </c>
    </row>
    <row r="46" spans="1:8" x14ac:dyDescent="0.3">
      <c r="A46">
        <v>3.4117357001972382E-3</v>
      </c>
      <c r="B46" t="s">
        <v>57</v>
      </c>
      <c r="C46" t="s">
        <v>535</v>
      </c>
      <c r="D46" t="s">
        <v>498</v>
      </c>
      <c r="E46" t="s">
        <v>502</v>
      </c>
      <c r="F46" t="s">
        <v>13</v>
      </c>
      <c r="G46" t="s">
        <v>525</v>
      </c>
      <c r="H46" t="s">
        <v>658</v>
      </c>
    </row>
    <row r="47" spans="1:8" x14ac:dyDescent="0.3">
      <c r="A47">
        <v>3.0407626561472713E-7</v>
      </c>
      <c r="B47" t="s">
        <v>57</v>
      </c>
      <c r="C47" t="s">
        <v>500</v>
      </c>
      <c r="D47" t="s">
        <v>498</v>
      </c>
      <c r="E47" t="s">
        <v>500</v>
      </c>
      <c r="F47" t="s">
        <v>13</v>
      </c>
      <c r="G47" t="s">
        <v>525</v>
      </c>
      <c r="H47" t="s">
        <v>658</v>
      </c>
    </row>
    <row r="48" spans="1:8" x14ac:dyDescent="0.3">
      <c r="A48">
        <v>6.081525312294543E-9</v>
      </c>
      <c r="B48" t="s">
        <v>57</v>
      </c>
      <c r="C48" t="s">
        <v>511</v>
      </c>
      <c r="D48" t="s">
        <v>498</v>
      </c>
      <c r="E48" t="s">
        <v>511</v>
      </c>
      <c r="F48" t="s">
        <v>13</v>
      </c>
      <c r="G48" t="s">
        <v>525</v>
      </c>
      <c r="H48" t="s">
        <v>658</v>
      </c>
    </row>
    <row r="49" spans="1:7" x14ac:dyDescent="0.3">
      <c r="A49">
        <v>0</v>
      </c>
      <c r="B49" t="s">
        <v>312</v>
      </c>
      <c r="C49" t="s">
        <v>483</v>
      </c>
      <c r="D49" t="s">
        <v>2</v>
      </c>
      <c r="E49" t="s">
        <v>483</v>
      </c>
      <c r="F49" t="s">
        <v>13</v>
      </c>
      <c r="G49" t="s">
        <v>525</v>
      </c>
    </row>
    <row r="50" spans="1:7" x14ac:dyDescent="0.3">
      <c r="A50">
        <v>0</v>
      </c>
      <c r="B50" t="s">
        <v>105</v>
      </c>
      <c r="C50" t="s">
        <v>125</v>
      </c>
      <c r="D50" t="s">
        <v>2</v>
      </c>
      <c r="E50" t="s">
        <v>125</v>
      </c>
      <c r="F50" t="s">
        <v>13</v>
      </c>
      <c r="G50" t="s">
        <v>525</v>
      </c>
    </row>
    <row r="51" spans="1:7" x14ac:dyDescent="0.3">
      <c r="A51">
        <v>0</v>
      </c>
      <c r="B51" t="s">
        <v>319</v>
      </c>
      <c r="C51" t="s">
        <v>461</v>
      </c>
      <c r="D51" t="s">
        <v>2</v>
      </c>
      <c r="E51" t="s">
        <v>461</v>
      </c>
      <c r="F51" t="s">
        <v>13</v>
      </c>
      <c r="G51" t="s">
        <v>525</v>
      </c>
    </row>
    <row r="52" spans="1:7" x14ac:dyDescent="0.3">
      <c r="A52">
        <v>0</v>
      </c>
      <c r="B52" t="s">
        <v>314</v>
      </c>
      <c r="C52" t="s">
        <v>395</v>
      </c>
      <c r="D52" t="s">
        <v>2</v>
      </c>
      <c r="E52" t="s">
        <v>395</v>
      </c>
      <c r="F52" t="s">
        <v>13</v>
      </c>
      <c r="G52" t="s">
        <v>525</v>
      </c>
    </row>
    <row r="53" spans="1:7" x14ac:dyDescent="0.3">
      <c r="A53">
        <v>0</v>
      </c>
      <c r="B53" t="s">
        <v>312</v>
      </c>
      <c r="C53" t="s">
        <v>399</v>
      </c>
      <c r="D53" t="s">
        <v>2</v>
      </c>
      <c r="E53" t="s">
        <v>399</v>
      </c>
      <c r="F53" t="s">
        <v>13</v>
      </c>
      <c r="G53" t="s">
        <v>525</v>
      </c>
    </row>
    <row r="54" spans="1:7" x14ac:dyDescent="0.3">
      <c r="A54">
        <v>0</v>
      </c>
      <c r="B54" t="s">
        <v>314</v>
      </c>
      <c r="C54" t="s">
        <v>432</v>
      </c>
      <c r="D54" t="s">
        <v>2</v>
      </c>
      <c r="E54" t="s">
        <v>432</v>
      </c>
      <c r="F54" t="s">
        <v>13</v>
      </c>
      <c r="G54" t="s">
        <v>525</v>
      </c>
    </row>
    <row r="55" spans="1:7" x14ac:dyDescent="0.3">
      <c r="A55">
        <v>0</v>
      </c>
      <c r="B55" t="s">
        <v>312</v>
      </c>
      <c r="C55" t="s">
        <v>325</v>
      </c>
      <c r="D55" t="s">
        <v>2</v>
      </c>
      <c r="E55" t="s">
        <v>325</v>
      </c>
      <c r="F55" t="s">
        <v>13</v>
      </c>
      <c r="G55" t="s">
        <v>525</v>
      </c>
    </row>
    <row r="56" spans="1:7" x14ac:dyDescent="0.3">
      <c r="A56">
        <v>0</v>
      </c>
      <c r="B56" t="s">
        <v>314</v>
      </c>
      <c r="C56" t="s">
        <v>372</v>
      </c>
      <c r="D56" t="s">
        <v>2</v>
      </c>
      <c r="E56" t="s">
        <v>372</v>
      </c>
      <c r="F56" t="s">
        <v>13</v>
      </c>
      <c r="G56" t="s">
        <v>525</v>
      </c>
    </row>
    <row r="57" spans="1:7" x14ac:dyDescent="0.3">
      <c r="A57">
        <v>0</v>
      </c>
      <c r="B57" t="s">
        <v>314</v>
      </c>
      <c r="C57" t="s">
        <v>260</v>
      </c>
      <c r="D57" t="s">
        <v>2</v>
      </c>
      <c r="E57" t="s">
        <v>260</v>
      </c>
      <c r="F57" t="s">
        <v>13</v>
      </c>
      <c r="G57" t="s">
        <v>525</v>
      </c>
    </row>
    <row r="58" spans="1:7" x14ac:dyDescent="0.3">
      <c r="A58">
        <v>0</v>
      </c>
      <c r="B58" t="s">
        <v>312</v>
      </c>
      <c r="C58" t="s">
        <v>330</v>
      </c>
      <c r="D58" t="s">
        <v>2</v>
      </c>
      <c r="E58" t="s">
        <v>330</v>
      </c>
      <c r="F58" t="s">
        <v>13</v>
      </c>
      <c r="G58" t="s">
        <v>525</v>
      </c>
    </row>
    <row r="59" spans="1:7" x14ac:dyDescent="0.3">
      <c r="A59">
        <v>0</v>
      </c>
      <c r="B59" t="s">
        <v>105</v>
      </c>
      <c r="C59" t="s">
        <v>401</v>
      </c>
      <c r="D59" t="s">
        <v>2</v>
      </c>
      <c r="E59" t="s">
        <v>401</v>
      </c>
      <c r="F59" t="s">
        <v>13</v>
      </c>
      <c r="G59" t="s">
        <v>525</v>
      </c>
    </row>
    <row r="60" spans="1:7" x14ac:dyDescent="0.3">
      <c r="A60">
        <v>0</v>
      </c>
      <c r="B60" t="s">
        <v>312</v>
      </c>
      <c r="C60" t="s">
        <v>416</v>
      </c>
      <c r="D60" t="s">
        <v>2</v>
      </c>
      <c r="E60" t="s">
        <v>416</v>
      </c>
      <c r="F60" t="s">
        <v>13</v>
      </c>
      <c r="G60" t="s">
        <v>525</v>
      </c>
    </row>
    <row r="61" spans="1:7" x14ac:dyDescent="0.3">
      <c r="A61">
        <v>0</v>
      </c>
      <c r="B61" t="s">
        <v>319</v>
      </c>
      <c r="C61" t="s">
        <v>375</v>
      </c>
      <c r="D61" t="s">
        <v>2</v>
      </c>
      <c r="E61" t="s">
        <v>375</v>
      </c>
      <c r="F61" t="s">
        <v>13</v>
      </c>
      <c r="G61" t="s">
        <v>525</v>
      </c>
    </row>
    <row r="62" spans="1:7" x14ac:dyDescent="0.3">
      <c r="A62">
        <v>0</v>
      </c>
      <c r="B62" t="s">
        <v>312</v>
      </c>
      <c r="C62" t="s">
        <v>333</v>
      </c>
      <c r="D62" t="s">
        <v>2</v>
      </c>
      <c r="E62" t="s">
        <v>333</v>
      </c>
      <c r="F62" t="s">
        <v>13</v>
      </c>
      <c r="G62" t="s">
        <v>525</v>
      </c>
    </row>
    <row r="63" spans="1:7" x14ac:dyDescent="0.3">
      <c r="A63">
        <v>0</v>
      </c>
      <c r="B63" t="s">
        <v>57</v>
      </c>
      <c r="C63" t="s">
        <v>118</v>
      </c>
      <c r="D63" t="s">
        <v>2</v>
      </c>
      <c r="E63" t="s">
        <v>118</v>
      </c>
      <c r="F63" t="s">
        <v>13</v>
      </c>
      <c r="G63" t="s">
        <v>525</v>
      </c>
    </row>
    <row r="64" spans="1:7" x14ac:dyDescent="0.3">
      <c r="A64">
        <v>0</v>
      </c>
      <c r="B64" t="s">
        <v>312</v>
      </c>
      <c r="C64" t="s">
        <v>406</v>
      </c>
      <c r="D64" t="s">
        <v>2</v>
      </c>
      <c r="E64" t="s">
        <v>406</v>
      </c>
      <c r="F64" t="s">
        <v>13</v>
      </c>
      <c r="G64" t="s">
        <v>525</v>
      </c>
    </row>
    <row r="65" spans="1:7" x14ac:dyDescent="0.3">
      <c r="A65">
        <v>0</v>
      </c>
      <c r="B65" t="s">
        <v>312</v>
      </c>
      <c r="C65" t="s">
        <v>315</v>
      </c>
      <c r="D65" t="s">
        <v>2</v>
      </c>
      <c r="E65" t="s">
        <v>315</v>
      </c>
      <c r="F65" t="s">
        <v>13</v>
      </c>
      <c r="G65" t="s">
        <v>525</v>
      </c>
    </row>
    <row r="66" spans="1:7" x14ac:dyDescent="0.3">
      <c r="A66">
        <v>0</v>
      </c>
      <c r="B66" t="s">
        <v>312</v>
      </c>
      <c r="C66" t="s">
        <v>358</v>
      </c>
      <c r="D66" t="s">
        <v>2</v>
      </c>
      <c r="E66" t="s">
        <v>358</v>
      </c>
      <c r="F66" t="s">
        <v>13</v>
      </c>
      <c r="G66" t="s">
        <v>525</v>
      </c>
    </row>
    <row r="67" spans="1:7" x14ac:dyDescent="0.3">
      <c r="A67">
        <v>0</v>
      </c>
      <c r="B67" t="s">
        <v>314</v>
      </c>
      <c r="C67" t="s">
        <v>444</v>
      </c>
      <c r="D67" t="s">
        <v>2</v>
      </c>
      <c r="E67" t="s">
        <v>444</v>
      </c>
      <c r="F67" t="s">
        <v>13</v>
      </c>
      <c r="G67" t="s">
        <v>525</v>
      </c>
    </row>
    <row r="68" spans="1:7" x14ac:dyDescent="0.3">
      <c r="A68">
        <v>0</v>
      </c>
      <c r="B68" t="s">
        <v>312</v>
      </c>
      <c r="C68" t="s">
        <v>439</v>
      </c>
      <c r="D68" t="s">
        <v>2</v>
      </c>
      <c r="E68" t="s">
        <v>439</v>
      </c>
      <c r="F68" t="s">
        <v>13</v>
      </c>
      <c r="G68" t="s">
        <v>525</v>
      </c>
    </row>
    <row r="69" spans="1:7" x14ac:dyDescent="0.3">
      <c r="A69">
        <v>0</v>
      </c>
      <c r="B69" t="s">
        <v>312</v>
      </c>
      <c r="C69" t="s">
        <v>381</v>
      </c>
      <c r="D69" t="s">
        <v>2</v>
      </c>
      <c r="E69" t="s">
        <v>381</v>
      </c>
      <c r="F69" t="s">
        <v>13</v>
      </c>
      <c r="G69" t="s">
        <v>525</v>
      </c>
    </row>
    <row r="70" spans="1:7" x14ac:dyDescent="0.3">
      <c r="A70">
        <v>0</v>
      </c>
      <c r="B70" t="s">
        <v>312</v>
      </c>
      <c r="C70" t="s">
        <v>418</v>
      </c>
      <c r="D70" t="s">
        <v>2</v>
      </c>
      <c r="E70" t="s">
        <v>418</v>
      </c>
      <c r="F70" t="s">
        <v>13</v>
      </c>
      <c r="G70" t="s">
        <v>525</v>
      </c>
    </row>
    <row r="71" spans="1:7" x14ac:dyDescent="0.3">
      <c r="A71">
        <v>0</v>
      </c>
      <c r="B71" t="s">
        <v>314</v>
      </c>
      <c r="C71" t="s">
        <v>465</v>
      </c>
      <c r="D71" t="s">
        <v>2</v>
      </c>
      <c r="E71" t="s">
        <v>465</v>
      </c>
      <c r="F71" t="s">
        <v>13</v>
      </c>
      <c r="G71" t="s">
        <v>525</v>
      </c>
    </row>
    <row r="72" spans="1:7" x14ac:dyDescent="0.3">
      <c r="A72">
        <v>0</v>
      </c>
      <c r="B72" t="s">
        <v>105</v>
      </c>
      <c r="C72" t="s">
        <v>103</v>
      </c>
      <c r="D72" t="s">
        <v>2</v>
      </c>
      <c r="E72" t="s">
        <v>103</v>
      </c>
      <c r="F72" t="s">
        <v>13</v>
      </c>
      <c r="G72" t="s">
        <v>525</v>
      </c>
    </row>
    <row r="73" spans="1:7" x14ac:dyDescent="0.3">
      <c r="A73">
        <v>0</v>
      </c>
      <c r="B73" t="s">
        <v>312</v>
      </c>
      <c r="C73" t="s">
        <v>320</v>
      </c>
      <c r="D73" t="s">
        <v>2</v>
      </c>
      <c r="E73" t="s">
        <v>320</v>
      </c>
      <c r="F73" t="s">
        <v>13</v>
      </c>
      <c r="G73" t="s">
        <v>525</v>
      </c>
    </row>
    <row r="74" spans="1:7" x14ac:dyDescent="0.3">
      <c r="A74">
        <v>0</v>
      </c>
      <c r="B74" t="s">
        <v>312</v>
      </c>
      <c r="C74" t="s">
        <v>334</v>
      </c>
      <c r="D74" t="s">
        <v>2</v>
      </c>
      <c r="E74" t="s">
        <v>334</v>
      </c>
      <c r="F74" t="s">
        <v>13</v>
      </c>
      <c r="G74" t="s">
        <v>525</v>
      </c>
    </row>
    <row r="75" spans="1:7" x14ac:dyDescent="0.3">
      <c r="A75">
        <v>0</v>
      </c>
      <c r="B75" t="s">
        <v>312</v>
      </c>
      <c r="C75" t="s">
        <v>435</v>
      </c>
      <c r="D75" t="s">
        <v>2</v>
      </c>
      <c r="E75" t="s">
        <v>435</v>
      </c>
      <c r="F75" t="s">
        <v>13</v>
      </c>
      <c r="G75" t="s">
        <v>525</v>
      </c>
    </row>
    <row r="76" spans="1:7" x14ac:dyDescent="0.3">
      <c r="A76">
        <v>0</v>
      </c>
      <c r="B76" t="s">
        <v>319</v>
      </c>
      <c r="C76" t="s">
        <v>456</v>
      </c>
      <c r="D76" t="s">
        <v>2</v>
      </c>
      <c r="E76" t="s">
        <v>456</v>
      </c>
      <c r="F76" t="s">
        <v>13</v>
      </c>
      <c r="G76" t="s">
        <v>525</v>
      </c>
    </row>
    <row r="77" spans="1:7" x14ac:dyDescent="0.3">
      <c r="A77">
        <v>0</v>
      </c>
      <c r="B77" t="s">
        <v>312</v>
      </c>
      <c r="C77" t="s">
        <v>474</v>
      </c>
      <c r="D77" t="s">
        <v>2</v>
      </c>
      <c r="E77" t="s">
        <v>474</v>
      </c>
      <c r="F77" t="s">
        <v>13</v>
      </c>
      <c r="G77" t="s">
        <v>525</v>
      </c>
    </row>
    <row r="78" spans="1:7" x14ac:dyDescent="0.3">
      <c r="A78">
        <v>0</v>
      </c>
      <c r="B78" t="s">
        <v>319</v>
      </c>
      <c r="C78" t="s">
        <v>318</v>
      </c>
      <c r="D78" t="s">
        <v>2</v>
      </c>
      <c r="E78" t="s">
        <v>318</v>
      </c>
      <c r="F78" t="s">
        <v>13</v>
      </c>
      <c r="G78" t="s">
        <v>525</v>
      </c>
    </row>
    <row r="79" spans="1:7" x14ac:dyDescent="0.3">
      <c r="A79">
        <v>0</v>
      </c>
      <c r="B79" t="s">
        <v>314</v>
      </c>
      <c r="C79" t="s">
        <v>475</v>
      </c>
      <c r="D79" t="s">
        <v>2</v>
      </c>
      <c r="E79" t="s">
        <v>475</v>
      </c>
      <c r="F79" t="s">
        <v>13</v>
      </c>
      <c r="G79" t="s">
        <v>525</v>
      </c>
    </row>
    <row r="80" spans="1:7" x14ac:dyDescent="0.3">
      <c r="A80">
        <v>0</v>
      </c>
      <c r="B80" t="s">
        <v>314</v>
      </c>
      <c r="C80" t="s">
        <v>449</v>
      </c>
      <c r="D80" t="s">
        <v>2</v>
      </c>
      <c r="E80" t="s">
        <v>449</v>
      </c>
      <c r="F80" t="s">
        <v>13</v>
      </c>
      <c r="G80" t="s">
        <v>525</v>
      </c>
    </row>
    <row r="81" spans="1:7" x14ac:dyDescent="0.3">
      <c r="A81">
        <v>0</v>
      </c>
      <c r="B81" t="s">
        <v>314</v>
      </c>
      <c r="C81" t="s">
        <v>176</v>
      </c>
      <c r="D81" t="s">
        <v>2</v>
      </c>
      <c r="E81" t="s">
        <v>176</v>
      </c>
      <c r="F81" t="s">
        <v>13</v>
      </c>
      <c r="G81" t="s">
        <v>525</v>
      </c>
    </row>
    <row r="82" spans="1:7" x14ac:dyDescent="0.3">
      <c r="A82">
        <v>0</v>
      </c>
      <c r="B82" t="s">
        <v>312</v>
      </c>
      <c r="C82" t="s">
        <v>388</v>
      </c>
      <c r="D82" t="s">
        <v>2</v>
      </c>
      <c r="E82" t="s">
        <v>388</v>
      </c>
      <c r="F82" t="s">
        <v>13</v>
      </c>
      <c r="G82" t="s">
        <v>525</v>
      </c>
    </row>
    <row r="83" spans="1:7" x14ac:dyDescent="0.3">
      <c r="A83">
        <v>0</v>
      </c>
      <c r="B83" t="s">
        <v>319</v>
      </c>
      <c r="C83" t="s">
        <v>429</v>
      </c>
      <c r="D83" t="s">
        <v>2</v>
      </c>
      <c r="E83" t="s">
        <v>429</v>
      </c>
      <c r="F83" t="s">
        <v>13</v>
      </c>
      <c r="G83" t="s">
        <v>525</v>
      </c>
    </row>
    <row r="84" spans="1:7" x14ac:dyDescent="0.3">
      <c r="A84">
        <v>0</v>
      </c>
      <c r="B84" t="s">
        <v>312</v>
      </c>
      <c r="C84" t="s">
        <v>272</v>
      </c>
      <c r="D84" t="s">
        <v>2</v>
      </c>
      <c r="E84" t="s">
        <v>272</v>
      </c>
      <c r="F84" t="s">
        <v>13</v>
      </c>
      <c r="G84" t="s">
        <v>525</v>
      </c>
    </row>
    <row r="85" spans="1:7" x14ac:dyDescent="0.3">
      <c r="A85">
        <v>0</v>
      </c>
      <c r="B85" t="s">
        <v>312</v>
      </c>
      <c r="C85" t="s">
        <v>410</v>
      </c>
      <c r="D85" t="s">
        <v>2</v>
      </c>
      <c r="E85" t="s">
        <v>410</v>
      </c>
      <c r="F85" t="s">
        <v>13</v>
      </c>
      <c r="G85" t="s">
        <v>525</v>
      </c>
    </row>
    <row r="86" spans="1:7" x14ac:dyDescent="0.3">
      <c r="A86">
        <v>0</v>
      </c>
      <c r="B86" t="s">
        <v>319</v>
      </c>
      <c r="C86" t="s">
        <v>363</v>
      </c>
      <c r="D86" t="s">
        <v>2</v>
      </c>
      <c r="E86" t="s">
        <v>363</v>
      </c>
      <c r="F86" t="s">
        <v>13</v>
      </c>
      <c r="G86" t="s">
        <v>525</v>
      </c>
    </row>
    <row r="87" spans="1:7" x14ac:dyDescent="0.3">
      <c r="A87">
        <v>0</v>
      </c>
      <c r="B87" t="s">
        <v>312</v>
      </c>
      <c r="C87" t="s">
        <v>382</v>
      </c>
      <c r="D87" t="s">
        <v>2</v>
      </c>
      <c r="E87" t="s">
        <v>382</v>
      </c>
      <c r="F87" t="s">
        <v>13</v>
      </c>
      <c r="G87" t="s">
        <v>525</v>
      </c>
    </row>
    <row r="88" spans="1:7" x14ac:dyDescent="0.3">
      <c r="A88">
        <v>0</v>
      </c>
      <c r="B88" t="s">
        <v>312</v>
      </c>
      <c r="C88" t="s">
        <v>424</v>
      </c>
      <c r="D88" t="s">
        <v>2</v>
      </c>
      <c r="E88" t="s">
        <v>424</v>
      </c>
      <c r="F88" t="s">
        <v>13</v>
      </c>
      <c r="G88" t="s">
        <v>525</v>
      </c>
    </row>
    <row r="89" spans="1:7" x14ac:dyDescent="0.3">
      <c r="A89">
        <v>0</v>
      </c>
      <c r="B89" t="s">
        <v>314</v>
      </c>
      <c r="C89" t="s">
        <v>351</v>
      </c>
      <c r="D89" t="s">
        <v>2</v>
      </c>
      <c r="E89" t="s">
        <v>351</v>
      </c>
      <c r="F89" t="s">
        <v>13</v>
      </c>
      <c r="G89" t="s">
        <v>525</v>
      </c>
    </row>
    <row r="90" spans="1:7" x14ac:dyDescent="0.3">
      <c r="A90">
        <v>0</v>
      </c>
      <c r="B90" t="s">
        <v>312</v>
      </c>
      <c r="C90" t="s">
        <v>347</v>
      </c>
      <c r="D90" t="s">
        <v>2</v>
      </c>
      <c r="E90" t="s">
        <v>347</v>
      </c>
      <c r="F90" t="s">
        <v>13</v>
      </c>
      <c r="G90" t="s">
        <v>525</v>
      </c>
    </row>
    <row r="91" spans="1:7" x14ac:dyDescent="0.3">
      <c r="A91">
        <v>0</v>
      </c>
      <c r="B91" t="s">
        <v>314</v>
      </c>
      <c r="C91" t="s">
        <v>453</v>
      </c>
      <c r="D91" t="s">
        <v>2</v>
      </c>
      <c r="E91" t="s">
        <v>453</v>
      </c>
      <c r="F91" t="s">
        <v>13</v>
      </c>
      <c r="G91" t="s">
        <v>525</v>
      </c>
    </row>
    <row r="92" spans="1:7" x14ac:dyDescent="0.3">
      <c r="A92">
        <v>0</v>
      </c>
      <c r="B92" t="s">
        <v>319</v>
      </c>
      <c r="C92" t="s">
        <v>457</v>
      </c>
      <c r="D92" t="s">
        <v>2</v>
      </c>
      <c r="E92" t="s">
        <v>457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485</v>
      </c>
      <c r="D93" t="s">
        <v>2</v>
      </c>
      <c r="E93" t="s">
        <v>485</v>
      </c>
      <c r="F93" t="s">
        <v>13</v>
      </c>
      <c r="G93" t="s">
        <v>525</v>
      </c>
    </row>
    <row r="94" spans="1:7" x14ac:dyDescent="0.3">
      <c r="A94">
        <v>0</v>
      </c>
      <c r="B94" t="s">
        <v>312</v>
      </c>
      <c r="C94" t="s">
        <v>355</v>
      </c>
      <c r="D94" t="s">
        <v>2</v>
      </c>
      <c r="E94" t="s">
        <v>355</v>
      </c>
      <c r="F94" t="s">
        <v>13</v>
      </c>
      <c r="G94" t="s">
        <v>525</v>
      </c>
    </row>
    <row r="95" spans="1:7" x14ac:dyDescent="0.3">
      <c r="A95">
        <v>0</v>
      </c>
      <c r="B95" t="s">
        <v>312</v>
      </c>
      <c r="C95" t="s">
        <v>338</v>
      </c>
      <c r="D95" t="s">
        <v>2</v>
      </c>
      <c r="E95" t="s">
        <v>338</v>
      </c>
      <c r="F95" t="s">
        <v>13</v>
      </c>
      <c r="G95" t="s">
        <v>525</v>
      </c>
    </row>
    <row r="96" spans="1:7" x14ac:dyDescent="0.3">
      <c r="A96">
        <v>0</v>
      </c>
      <c r="B96" t="s">
        <v>312</v>
      </c>
      <c r="C96" t="s">
        <v>394</v>
      </c>
      <c r="D96" t="s">
        <v>2</v>
      </c>
      <c r="E96" t="s">
        <v>394</v>
      </c>
      <c r="F96" t="s">
        <v>13</v>
      </c>
      <c r="G96" t="s">
        <v>525</v>
      </c>
    </row>
    <row r="97" spans="1:7" x14ac:dyDescent="0.3">
      <c r="A97">
        <v>0</v>
      </c>
      <c r="B97" t="s">
        <v>312</v>
      </c>
      <c r="C97" t="s">
        <v>438</v>
      </c>
      <c r="D97" t="s">
        <v>2</v>
      </c>
      <c r="E97" t="s">
        <v>438</v>
      </c>
      <c r="F97" t="s">
        <v>13</v>
      </c>
      <c r="G97" t="s">
        <v>525</v>
      </c>
    </row>
    <row r="98" spans="1:7" x14ac:dyDescent="0.3">
      <c r="A98">
        <v>0</v>
      </c>
      <c r="B98" t="s">
        <v>312</v>
      </c>
      <c r="C98" t="s">
        <v>486</v>
      </c>
      <c r="D98" t="s">
        <v>2</v>
      </c>
      <c r="E98" t="s">
        <v>486</v>
      </c>
      <c r="F98" t="s">
        <v>13</v>
      </c>
      <c r="G98" t="s">
        <v>525</v>
      </c>
    </row>
    <row r="99" spans="1:7" x14ac:dyDescent="0.3">
      <c r="A99">
        <v>0</v>
      </c>
      <c r="B99" t="s">
        <v>319</v>
      </c>
      <c r="C99" t="s">
        <v>419</v>
      </c>
      <c r="D99" t="s">
        <v>2</v>
      </c>
      <c r="E99" t="s">
        <v>419</v>
      </c>
      <c r="F99" t="s">
        <v>13</v>
      </c>
      <c r="G99" t="s">
        <v>525</v>
      </c>
    </row>
    <row r="100" spans="1:7" x14ac:dyDescent="0.3">
      <c r="A100">
        <v>0</v>
      </c>
      <c r="B100" t="s">
        <v>57</v>
      </c>
      <c r="C100" t="s">
        <v>353</v>
      </c>
      <c r="D100" t="s">
        <v>2</v>
      </c>
      <c r="E100" t="s">
        <v>353</v>
      </c>
      <c r="F100" t="s">
        <v>13</v>
      </c>
      <c r="G100" t="s">
        <v>525</v>
      </c>
    </row>
    <row r="101" spans="1:7" x14ac:dyDescent="0.3">
      <c r="A101">
        <v>0</v>
      </c>
      <c r="B101" t="s">
        <v>319</v>
      </c>
      <c r="C101" t="s">
        <v>489</v>
      </c>
      <c r="D101" t="s">
        <v>2</v>
      </c>
      <c r="E101" t="s">
        <v>489</v>
      </c>
      <c r="F101" t="s">
        <v>13</v>
      </c>
      <c r="G101" t="s">
        <v>525</v>
      </c>
    </row>
    <row r="102" spans="1:7" x14ac:dyDescent="0.3">
      <c r="A102">
        <v>0</v>
      </c>
      <c r="B102" t="s">
        <v>312</v>
      </c>
      <c r="C102" t="s">
        <v>386</v>
      </c>
      <c r="D102" t="s">
        <v>2</v>
      </c>
      <c r="E102" t="s">
        <v>386</v>
      </c>
      <c r="F102" t="s">
        <v>13</v>
      </c>
      <c r="G102" t="s">
        <v>525</v>
      </c>
    </row>
    <row r="103" spans="1:7" x14ac:dyDescent="0.3">
      <c r="A103">
        <v>0</v>
      </c>
      <c r="B103" t="s">
        <v>319</v>
      </c>
      <c r="C103" t="s">
        <v>389</v>
      </c>
      <c r="D103" t="s">
        <v>2</v>
      </c>
      <c r="E103" t="s">
        <v>389</v>
      </c>
      <c r="F103" t="s">
        <v>13</v>
      </c>
      <c r="G103" t="s">
        <v>525</v>
      </c>
    </row>
    <row r="104" spans="1:7" x14ac:dyDescent="0.3">
      <c r="A104">
        <v>0</v>
      </c>
      <c r="B104" t="s">
        <v>312</v>
      </c>
      <c r="C104" t="s">
        <v>340</v>
      </c>
      <c r="D104" t="s">
        <v>2</v>
      </c>
      <c r="E104" t="s">
        <v>340</v>
      </c>
      <c r="F104" t="s">
        <v>13</v>
      </c>
      <c r="G104" t="s">
        <v>525</v>
      </c>
    </row>
    <row r="105" spans="1:7" x14ac:dyDescent="0.3">
      <c r="A105">
        <v>0</v>
      </c>
      <c r="B105" t="s">
        <v>312</v>
      </c>
      <c r="C105" t="s">
        <v>368</v>
      </c>
      <c r="D105" t="s">
        <v>2</v>
      </c>
      <c r="E105" t="s">
        <v>368</v>
      </c>
      <c r="F105" t="s">
        <v>13</v>
      </c>
      <c r="G105" t="s">
        <v>525</v>
      </c>
    </row>
    <row r="106" spans="1:7" x14ac:dyDescent="0.3">
      <c r="A106">
        <v>0</v>
      </c>
      <c r="B106" t="s">
        <v>312</v>
      </c>
      <c r="C106" t="s">
        <v>328</v>
      </c>
      <c r="D106" t="s">
        <v>2</v>
      </c>
      <c r="E106" t="s">
        <v>328</v>
      </c>
      <c r="F106" t="s">
        <v>13</v>
      </c>
      <c r="G106" t="s">
        <v>525</v>
      </c>
    </row>
    <row r="107" spans="1:7" x14ac:dyDescent="0.3">
      <c r="A107">
        <v>0</v>
      </c>
      <c r="B107" t="s">
        <v>312</v>
      </c>
      <c r="C107" t="s">
        <v>479</v>
      </c>
      <c r="D107" t="s">
        <v>2</v>
      </c>
      <c r="E107" t="s">
        <v>479</v>
      </c>
      <c r="F107" t="s">
        <v>13</v>
      </c>
      <c r="G107" t="s">
        <v>525</v>
      </c>
    </row>
    <row r="108" spans="1:7" x14ac:dyDescent="0.3">
      <c r="A108">
        <v>0</v>
      </c>
      <c r="B108" t="s">
        <v>57</v>
      </c>
      <c r="C108" t="s">
        <v>116</v>
      </c>
      <c r="D108" t="s">
        <v>2</v>
      </c>
      <c r="E108" t="s">
        <v>116</v>
      </c>
      <c r="F108" t="s">
        <v>13</v>
      </c>
      <c r="G108" t="s">
        <v>525</v>
      </c>
    </row>
    <row r="109" spans="1:7" x14ac:dyDescent="0.3">
      <c r="A109">
        <v>0</v>
      </c>
      <c r="B109" t="s">
        <v>312</v>
      </c>
      <c r="C109" t="s">
        <v>352</v>
      </c>
      <c r="D109" t="s">
        <v>2</v>
      </c>
      <c r="E109" t="s">
        <v>352</v>
      </c>
      <c r="F109" t="s">
        <v>13</v>
      </c>
      <c r="G109" t="s">
        <v>525</v>
      </c>
    </row>
    <row r="110" spans="1:7" x14ac:dyDescent="0.3">
      <c r="A110">
        <v>0</v>
      </c>
      <c r="B110" t="s">
        <v>312</v>
      </c>
      <c r="C110" t="s">
        <v>417</v>
      </c>
      <c r="D110" t="s">
        <v>2</v>
      </c>
      <c r="E110" t="s">
        <v>417</v>
      </c>
      <c r="F110" t="s">
        <v>13</v>
      </c>
      <c r="G110" t="s">
        <v>525</v>
      </c>
    </row>
    <row r="111" spans="1:7" x14ac:dyDescent="0.3">
      <c r="A111">
        <v>0</v>
      </c>
      <c r="B111" t="s">
        <v>312</v>
      </c>
      <c r="C111" t="s">
        <v>447</v>
      </c>
      <c r="D111" t="s">
        <v>2</v>
      </c>
      <c r="E111" t="s">
        <v>447</v>
      </c>
      <c r="F111" t="s">
        <v>13</v>
      </c>
      <c r="G111" t="s">
        <v>525</v>
      </c>
    </row>
    <row r="112" spans="1:7" x14ac:dyDescent="0.3">
      <c r="A112">
        <v>0</v>
      </c>
      <c r="B112" t="s">
        <v>319</v>
      </c>
      <c r="C112" t="s">
        <v>329</v>
      </c>
      <c r="D112" t="s">
        <v>2</v>
      </c>
      <c r="E112" t="s">
        <v>329</v>
      </c>
      <c r="F112" t="s">
        <v>13</v>
      </c>
      <c r="G112" t="s">
        <v>525</v>
      </c>
    </row>
    <row r="113" spans="1:7" x14ac:dyDescent="0.3">
      <c r="A113">
        <v>0</v>
      </c>
      <c r="B113" t="s">
        <v>312</v>
      </c>
      <c r="C113" t="s">
        <v>252</v>
      </c>
      <c r="D113" t="s">
        <v>2</v>
      </c>
      <c r="E113" t="s">
        <v>252</v>
      </c>
      <c r="F113" t="s">
        <v>13</v>
      </c>
      <c r="G113" t="s">
        <v>525</v>
      </c>
    </row>
    <row r="114" spans="1:7" x14ac:dyDescent="0.3">
      <c r="A114">
        <v>0</v>
      </c>
      <c r="B114" t="s">
        <v>312</v>
      </c>
      <c r="C114" t="s">
        <v>317</v>
      </c>
      <c r="D114" t="s">
        <v>2</v>
      </c>
      <c r="E114" t="s">
        <v>317</v>
      </c>
      <c r="F114" t="s">
        <v>13</v>
      </c>
      <c r="G114" t="s">
        <v>525</v>
      </c>
    </row>
    <row r="115" spans="1:7" x14ac:dyDescent="0.3">
      <c r="A115">
        <v>0</v>
      </c>
      <c r="B115" t="s">
        <v>312</v>
      </c>
      <c r="C115" t="s">
        <v>436</v>
      </c>
      <c r="D115" t="s">
        <v>2</v>
      </c>
      <c r="E115" t="s">
        <v>436</v>
      </c>
      <c r="F115" t="s">
        <v>13</v>
      </c>
      <c r="G115" t="s">
        <v>525</v>
      </c>
    </row>
    <row r="116" spans="1:7" x14ac:dyDescent="0.3">
      <c r="A116">
        <v>0</v>
      </c>
      <c r="B116" t="s">
        <v>319</v>
      </c>
      <c r="C116" t="s">
        <v>490</v>
      </c>
      <c r="D116" t="s">
        <v>2</v>
      </c>
      <c r="E116" t="s">
        <v>490</v>
      </c>
      <c r="F116" t="s">
        <v>13</v>
      </c>
      <c r="G116" t="s">
        <v>525</v>
      </c>
    </row>
    <row r="117" spans="1:7" x14ac:dyDescent="0.3">
      <c r="A117">
        <v>0</v>
      </c>
      <c r="B117" t="s">
        <v>312</v>
      </c>
      <c r="C117" t="s">
        <v>391</v>
      </c>
      <c r="D117" t="s">
        <v>2</v>
      </c>
      <c r="E117" t="s">
        <v>391</v>
      </c>
      <c r="F117" t="s">
        <v>13</v>
      </c>
      <c r="G117" t="s">
        <v>525</v>
      </c>
    </row>
    <row r="118" spans="1:7" x14ac:dyDescent="0.3">
      <c r="A118">
        <v>0</v>
      </c>
      <c r="B118" t="s">
        <v>312</v>
      </c>
      <c r="C118" t="s">
        <v>235</v>
      </c>
      <c r="D118" t="s">
        <v>2</v>
      </c>
      <c r="E118" t="s">
        <v>235</v>
      </c>
      <c r="F118" t="s">
        <v>13</v>
      </c>
      <c r="G118" t="s">
        <v>525</v>
      </c>
    </row>
    <row r="119" spans="1:7" x14ac:dyDescent="0.3">
      <c r="A119">
        <v>0</v>
      </c>
      <c r="B119" t="s">
        <v>312</v>
      </c>
      <c r="C119" t="s">
        <v>493</v>
      </c>
      <c r="D119" t="s">
        <v>2</v>
      </c>
      <c r="E119" t="s">
        <v>493</v>
      </c>
      <c r="F119" t="s">
        <v>13</v>
      </c>
      <c r="G119" t="s">
        <v>525</v>
      </c>
    </row>
    <row r="120" spans="1:7" x14ac:dyDescent="0.3">
      <c r="A120">
        <v>0</v>
      </c>
      <c r="B120" t="s">
        <v>312</v>
      </c>
      <c r="C120" t="s">
        <v>335</v>
      </c>
      <c r="D120" t="s">
        <v>2</v>
      </c>
      <c r="E120" t="s">
        <v>335</v>
      </c>
      <c r="F120" t="s">
        <v>13</v>
      </c>
      <c r="G120" t="s">
        <v>525</v>
      </c>
    </row>
    <row r="121" spans="1:7" x14ac:dyDescent="0.3">
      <c r="A121">
        <v>0</v>
      </c>
      <c r="B121" t="s">
        <v>312</v>
      </c>
      <c r="C121" t="s">
        <v>354</v>
      </c>
      <c r="D121" t="s">
        <v>2</v>
      </c>
      <c r="E121" t="s">
        <v>354</v>
      </c>
      <c r="F121" t="s">
        <v>13</v>
      </c>
      <c r="G121" t="s">
        <v>525</v>
      </c>
    </row>
    <row r="122" spans="1:7" x14ac:dyDescent="0.3">
      <c r="A122">
        <v>0</v>
      </c>
      <c r="B122" t="s">
        <v>319</v>
      </c>
      <c r="C122" t="s">
        <v>360</v>
      </c>
      <c r="D122" t="s">
        <v>2</v>
      </c>
      <c r="E122" t="s">
        <v>360</v>
      </c>
      <c r="F122" t="s">
        <v>13</v>
      </c>
      <c r="G122" t="s">
        <v>525</v>
      </c>
    </row>
    <row r="123" spans="1:7" x14ac:dyDescent="0.3">
      <c r="A123">
        <v>0</v>
      </c>
      <c r="B123" t="s">
        <v>314</v>
      </c>
      <c r="C123" t="s">
        <v>356</v>
      </c>
      <c r="D123" t="s">
        <v>2</v>
      </c>
      <c r="E123" t="s">
        <v>356</v>
      </c>
      <c r="F123" t="s">
        <v>13</v>
      </c>
      <c r="G123" t="s">
        <v>525</v>
      </c>
    </row>
    <row r="124" spans="1:7" x14ac:dyDescent="0.3">
      <c r="A124">
        <v>0</v>
      </c>
      <c r="B124" t="s">
        <v>312</v>
      </c>
      <c r="C124" t="s">
        <v>405</v>
      </c>
      <c r="D124" t="s">
        <v>2</v>
      </c>
      <c r="E124" t="s">
        <v>405</v>
      </c>
      <c r="F124" t="s">
        <v>13</v>
      </c>
      <c r="G124" t="s">
        <v>525</v>
      </c>
    </row>
    <row r="125" spans="1:7" x14ac:dyDescent="0.3">
      <c r="A125">
        <v>0</v>
      </c>
      <c r="B125" t="s">
        <v>312</v>
      </c>
      <c r="C125" t="s">
        <v>471</v>
      </c>
      <c r="D125" t="s">
        <v>2</v>
      </c>
      <c r="E125" t="s">
        <v>471</v>
      </c>
      <c r="F125" t="s">
        <v>13</v>
      </c>
      <c r="G125" t="s">
        <v>525</v>
      </c>
    </row>
    <row r="126" spans="1:7" x14ac:dyDescent="0.3">
      <c r="A126">
        <v>0</v>
      </c>
      <c r="B126" t="s">
        <v>319</v>
      </c>
      <c r="C126" t="s">
        <v>421</v>
      </c>
      <c r="D126" t="s">
        <v>2</v>
      </c>
      <c r="E126" t="s">
        <v>421</v>
      </c>
      <c r="F126" t="s">
        <v>13</v>
      </c>
      <c r="G126" t="s">
        <v>525</v>
      </c>
    </row>
    <row r="127" spans="1:7" x14ac:dyDescent="0.3">
      <c r="A127">
        <v>0</v>
      </c>
      <c r="B127" t="s">
        <v>312</v>
      </c>
      <c r="C127" t="s">
        <v>321</v>
      </c>
      <c r="D127" t="s">
        <v>2</v>
      </c>
      <c r="E127" t="s">
        <v>321</v>
      </c>
      <c r="F127" t="s">
        <v>13</v>
      </c>
      <c r="G127" t="s">
        <v>525</v>
      </c>
    </row>
    <row r="128" spans="1:7" x14ac:dyDescent="0.3">
      <c r="A128">
        <v>0</v>
      </c>
      <c r="B128" t="s">
        <v>105</v>
      </c>
      <c r="C128" t="s">
        <v>113</v>
      </c>
      <c r="D128" t="s">
        <v>2</v>
      </c>
      <c r="E128" t="s">
        <v>113</v>
      </c>
      <c r="F128" t="s">
        <v>13</v>
      </c>
      <c r="G128" t="s">
        <v>525</v>
      </c>
    </row>
    <row r="129" spans="1:7" x14ac:dyDescent="0.3">
      <c r="A129">
        <v>0</v>
      </c>
      <c r="B129" t="s">
        <v>312</v>
      </c>
      <c r="C129" t="s">
        <v>348</v>
      </c>
      <c r="D129" t="s">
        <v>2</v>
      </c>
      <c r="E129" t="s">
        <v>348</v>
      </c>
      <c r="F129" t="s">
        <v>13</v>
      </c>
      <c r="G129" t="s">
        <v>525</v>
      </c>
    </row>
    <row r="130" spans="1:7" x14ac:dyDescent="0.3">
      <c r="A130">
        <v>0</v>
      </c>
      <c r="B130" t="s">
        <v>105</v>
      </c>
      <c r="C130" t="s">
        <v>469</v>
      </c>
      <c r="D130" t="s">
        <v>2</v>
      </c>
      <c r="E130" t="s">
        <v>469</v>
      </c>
      <c r="F130" t="s">
        <v>13</v>
      </c>
      <c r="G130" t="s">
        <v>525</v>
      </c>
    </row>
    <row r="131" spans="1:7" x14ac:dyDescent="0.3">
      <c r="A131">
        <v>0</v>
      </c>
      <c r="B131" t="s">
        <v>314</v>
      </c>
      <c r="C131" t="s">
        <v>481</v>
      </c>
      <c r="D131" t="s">
        <v>2</v>
      </c>
      <c r="E131" t="s">
        <v>481</v>
      </c>
      <c r="F131" t="s">
        <v>13</v>
      </c>
      <c r="G131" t="s">
        <v>525</v>
      </c>
    </row>
    <row r="132" spans="1:7" x14ac:dyDescent="0.3">
      <c r="A132">
        <v>0</v>
      </c>
      <c r="B132" t="s">
        <v>312</v>
      </c>
      <c r="C132" t="s">
        <v>398</v>
      </c>
      <c r="D132" t="s">
        <v>2</v>
      </c>
      <c r="E132" t="s">
        <v>398</v>
      </c>
      <c r="F132" t="s">
        <v>13</v>
      </c>
      <c r="G132" t="s">
        <v>525</v>
      </c>
    </row>
    <row r="133" spans="1:7" x14ac:dyDescent="0.3">
      <c r="A133">
        <v>0</v>
      </c>
      <c r="B133" t="s">
        <v>314</v>
      </c>
      <c r="C133" t="s">
        <v>342</v>
      </c>
      <c r="D133" t="s">
        <v>2</v>
      </c>
      <c r="E133" t="s">
        <v>342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322</v>
      </c>
      <c r="D134" t="s">
        <v>2</v>
      </c>
      <c r="E134" t="s">
        <v>322</v>
      </c>
      <c r="F134" t="s">
        <v>13</v>
      </c>
      <c r="G134" t="s">
        <v>525</v>
      </c>
    </row>
    <row r="135" spans="1:7" x14ac:dyDescent="0.3">
      <c r="A135">
        <v>0</v>
      </c>
      <c r="B135" t="s">
        <v>314</v>
      </c>
      <c r="C135" t="s">
        <v>409</v>
      </c>
      <c r="D135" t="s">
        <v>2</v>
      </c>
      <c r="E135" t="s">
        <v>409</v>
      </c>
      <c r="F135" t="s">
        <v>13</v>
      </c>
      <c r="G135" t="s">
        <v>525</v>
      </c>
    </row>
    <row r="136" spans="1:7" x14ac:dyDescent="0.3">
      <c r="A136">
        <v>0</v>
      </c>
      <c r="B136" t="s">
        <v>314</v>
      </c>
      <c r="C136" t="s">
        <v>480</v>
      </c>
      <c r="D136" t="s">
        <v>2</v>
      </c>
      <c r="E136" t="s">
        <v>480</v>
      </c>
      <c r="F136" t="s">
        <v>13</v>
      </c>
      <c r="G136" t="s">
        <v>525</v>
      </c>
    </row>
    <row r="137" spans="1:7" x14ac:dyDescent="0.3">
      <c r="A137">
        <v>0</v>
      </c>
      <c r="B137" t="s">
        <v>105</v>
      </c>
      <c r="C137" t="s">
        <v>121</v>
      </c>
      <c r="D137" t="s">
        <v>2</v>
      </c>
      <c r="E137" t="s">
        <v>121</v>
      </c>
      <c r="F137" t="s">
        <v>13</v>
      </c>
      <c r="G137" t="s">
        <v>525</v>
      </c>
    </row>
    <row r="138" spans="1:7" x14ac:dyDescent="0.3">
      <c r="A138">
        <v>0</v>
      </c>
      <c r="B138" t="s">
        <v>312</v>
      </c>
      <c r="C138" t="s">
        <v>359</v>
      </c>
      <c r="D138" t="s">
        <v>2</v>
      </c>
      <c r="E138" t="s">
        <v>359</v>
      </c>
      <c r="F138" t="s">
        <v>13</v>
      </c>
      <c r="G138" t="s">
        <v>525</v>
      </c>
    </row>
    <row r="139" spans="1:7" x14ac:dyDescent="0.3">
      <c r="A139">
        <v>0</v>
      </c>
      <c r="B139" t="s">
        <v>319</v>
      </c>
      <c r="C139" t="s">
        <v>468</v>
      </c>
      <c r="D139" t="s">
        <v>2</v>
      </c>
      <c r="E139" t="s">
        <v>468</v>
      </c>
      <c r="F139" t="s">
        <v>13</v>
      </c>
      <c r="G139" t="s">
        <v>525</v>
      </c>
    </row>
    <row r="140" spans="1:7" x14ac:dyDescent="0.3">
      <c r="A140">
        <v>0</v>
      </c>
      <c r="B140" t="s">
        <v>319</v>
      </c>
      <c r="C140" t="s">
        <v>458</v>
      </c>
      <c r="D140" t="s">
        <v>2</v>
      </c>
      <c r="E140" t="s">
        <v>458</v>
      </c>
      <c r="F140" t="s">
        <v>13</v>
      </c>
      <c r="G140" t="s">
        <v>525</v>
      </c>
    </row>
    <row r="141" spans="1:7" x14ac:dyDescent="0.3">
      <c r="A141">
        <v>0</v>
      </c>
      <c r="B141" t="s">
        <v>312</v>
      </c>
      <c r="C141" t="s">
        <v>370</v>
      </c>
      <c r="D141" t="s">
        <v>2</v>
      </c>
      <c r="E141" t="s">
        <v>370</v>
      </c>
      <c r="F141" t="s">
        <v>13</v>
      </c>
      <c r="G141" t="s">
        <v>525</v>
      </c>
    </row>
    <row r="142" spans="1:7" x14ac:dyDescent="0.3">
      <c r="A142">
        <v>0</v>
      </c>
      <c r="B142" t="s">
        <v>57</v>
      </c>
      <c r="C142" t="s">
        <v>114</v>
      </c>
      <c r="D142" t="s">
        <v>2</v>
      </c>
      <c r="E142" t="s">
        <v>114</v>
      </c>
      <c r="F142" t="s">
        <v>13</v>
      </c>
      <c r="G142" t="s">
        <v>525</v>
      </c>
    </row>
    <row r="143" spans="1:7" x14ac:dyDescent="0.3">
      <c r="A143">
        <v>0</v>
      </c>
      <c r="B143" t="s">
        <v>319</v>
      </c>
      <c r="C143" t="s">
        <v>404</v>
      </c>
      <c r="D143" t="s">
        <v>2</v>
      </c>
      <c r="E143" t="s">
        <v>404</v>
      </c>
      <c r="F143" t="s">
        <v>13</v>
      </c>
      <c r="G143" t="s">
        <v>525</v>
      </c>
    </row>
    <row r="144" spans="1:7" x14ac:dyDescent="0.3">
      <c r="A144">
        <v>0</v>
      </c>
      <c r="B144" t="s">
        <v>312</v>
      </c>
      <c r="C144" t="s">
        <v>369</v>
      </c>
      <c r="D144" t="s">
        <v>2</v>
      </c>
      <c r="E144" t="s">
        <v>369</v>
      </c>
      <c r="F144" t="s">
        <v>13</v>
      </c>
      <c r="G144" t="s">
        <v>525</v>
      </c>
    </row>
    <row r="145" spans="1:7" x14ac:dyDescent="0.3">
      <c r="A145">
        <v>0</v>
      </c>
      <c r="B145" t="s">
        <v>57</v>
      </c>
      <c r="C145" t="s">
        <v>122</v>
      </c>
      <c r="D145" t="s">
        <v>2</v>
      </c>
      <c r="E145" t="s">
        <v>122</v>
      </c>
      <c r="F145" t="s">
        <v>13</v>
      </c>
      <c r="G145" t="s">
        <v>525</v>
      </c>
    </row>
    <row r="146" spans="1:7" x14ac:dyDescent="0.3">
      <c r="A146">
        <v>0</v>
      </c>
      <c r="B146" t="s">
        <v>319</v>
      </c>
      <c r="C146" t="s">
        <v>390</v>
      </c>
      <c r="D146" t="s">
        <v>2</v>
      </c>
      <c r="E146" t="s">
        <v>390</v>
      </c>
      <c r="F146" t="s">
        <v>13</v>
      </c>
      <c r="G146" t="s">
        <v>525</v>
      </c>
    </row>
    <row r="147" spans="1:7" x14ac:dyDescent="0.3">
      <c r="A147">
        <v>0</v>
      </c>
      <c r="B147" t="s">
        <v>312</v>
      </c>
      <c r="C147" t="s">
        <v>492</v>
      </c>
      <c r="D147" t="s">
        <v>2</v>
      </c>
      <c r="E147" t="s">
        <v>492</v>
      </c>
      <c r="F147" t="s">
        <v>13</v>
      </c>
      <c r="G147" t="s">
        <v>525</v>
      </c>
    </row>
    <row r="148" spans="1:7" x14ac:dyDescent="0.3">
      <c r="A148">
        <v>0</v>
      </c>
      <c r="B148" t="s">
        <v>312</v>
      </c>
      <c r="C148" t="s">
        <v>345</v>
      </c>
      <c r="D148" t="s">
        <v>2</v>
      </c>
      <c r="E148" t="s">
        <v>345</v>
      </c>
      <c r="F148" t="s">
        <v>13</v>
      </c>
      <c r="G148" t="s">
        <v>525</v>
      </c>
    </row>
    <row r="149" spans="1:7" x14ac:dyDescent="0.3">
      <c r="A149">
        <v>0</v>
      </c>
      <c r="B149" t="s">
        <v>314</v>
      </c>
      <c r="C149" t="s">
        <v>374</v>
      </c>
      <c r="D149" t="s">
        <v>2</v>
      </c>
      <c r="E149" t="s">
        <v>374</v>
      </c>
      <c r="F149" t="s">
        <v>13</v>
      </c>
      <c r="G149" t="s">
        <v>525</v>
      </c>
    </row>
    <row r="150" spans="1:7" x14ac:dyDescent="0.3">
      <c r="A150">
        <v>0</v>
      </c>
      <c r="B150" t="s">
        <v>105</v>
      </c>
      <c r="C150" t="s">
        <v>124</v>
      </c>
      <c r="D150" t="s">
        <v>2</v>
      </c>
      <c r="E150" t="s">
        <v>124</v>
      </c>
      <c r="F150" t="s">
        <v>13</v>
      </c>
      <c r="G150" t="s">
        <v>525</v>
      </c>
    </row>
    <row r="151" spans="1:7" x14ac:dyDescent="0.3">
      <c r="A151">
        <v>0</v>
      </c>
      <c r="B151" t="s">
        <v>312</v>
      </c>
      <c r="C151" t="s">
        <v>440</v>
      </c>
      <c r="D151" t="s">
        <v>2</v>
      </c>
      <c r="E151" t="s">
        <v>440</v>
      </c>
      <c r="F151" t="s">
        <v>13</v>
      </c>
      <c r="G151" t="s">
        <v>525</v>
      </c>
    </row>
    <row r="152" spans="1:7" x14ac:dyDescent="0.3">
      <c r="A152">
        <v>0</v>
      </c>
      <c r="B152" t="s">
        <v>312</v>
      </c>
      <c r="C152" t="s">
        <v>316</v>
      </c>
      <c r="D152" t="s">
        <v>2</v>
      </c>
      <c r="E152" t="s">
        <v>316</v>
      </c>
      <c r="F152" t="s">
        <v>13</v>
      </c>
      <c r="G152" t="s">
        <v>525</v>
      </c>
    </row>
    <row r="153" spans="1:7" x14ac:dyDescent="0.3">
      <c r="A153">
        <v>0</v>
      </c>
      <c r="B153" t="s">
        <v>312</v>
      </c>
      <c r="C153" t="s">
        <v>427</v>
      </c>
      <c r="D153" t="s">
        <v>2</v>
      </c>
      <c r="E153" t="s">
        <v>427</v>
      </c>
      <c r="F153" t="s">
        <v>13</v>
      </c>
      <c r="G153" t="s">
        <v>525</v>
      </c>
    </row>
    <row r="154" spans="1:7" x14ac:dyDescent="0.3">
      <c r="A154">
        <v>0</v>
      </c>
      <c r="B154" t="s">
        <v>312</v>
      </c>
      <c r="C154" t="s">
        <v>332</v>
      </c>
      <c r="D154" t="s">
        <v>2</v>
      </c>
      <c r="E154" t="s">
        <v>332</v>
      </c>
      <c r="F154" t="s">
        <v>13</v>
      </c>
      <c r="G154" t="s">
        <v>525</v>
      </c>
    </row>
    <row r="155" spans="1:7" x14ac:dyDescent="0.3">
      <c r="A155">
        <v>0</v>
      </c>
      <c r="B155" t="s">
        <v>312</v>
      </c>
      <c r="C155" t="s">
        <v>336</v>
      </c>
      <c r="D155" t="s">
        <v>2</v>
      </c>
      <c r="E155" t="s">
        <v>336</v>
      </c>
      <c r="F155" t="s">
        <v>13</v>
      </c>
      <c r="G155" t="s">
        <v>525</v>
      </c>
    </row>
    <row r="156" spans="1:7" x14ac:dyDescent="0.3">
      <c r="A156">
        <v>0</v>
      </c>
      <c r="B156" t="s">
        <v>314</v>
      </c>
      <c r="C156" t="s">
        <v>393</v>
      </c>
      <c r="D156" t="s">
        <v>2</v>
      </c>
      <c r="E156" t="s">
        <v>393</v>
      </c>
      <c r="F156" t="s">
        <v>13</v>
      </c>
      <c r="G156" t="s">
        <v>525</v>
      </c>
    </row>
    <row r="157" spans="1:7" x14ac:dyDescent="0.3">
      <c r="A157">
        <v>0</v>
      </c>
      <c r="B157" t="s">
        <v>312</v>
      </c>
      <c r="C157" t="s">
        <v>339</v>
      </c>
      <c r="D157" t="s">
        <v>2</v>
      </c>
      <c r="E157" t="s">
        <v>339</v>
      </c>
      <c r="F157" t="s">
        <v>13</v>
      </c>
      <c r="G157" t="s">
        <v>525</v>
      </c>
    </row>
    <row r="158" spans="1:7" x14ac:dyDescent="0.3">
      <c r="A158">
        <v>0</v>
      </c>
      <c r="B158" t="s">
        <v>312</v>
      </c>
      <c r="C158" t="s">
        <v>400</v>
      </c>
      <c r="D158" t="s">
        <v>2</v>
      </c>
      <c r="E158" t="s">
        <v>400</v>
      </c>
      <c r="F158" t="s">
        <v>13</v>
      </c>
      <c r="G158" t="s">
        <v>525</v>
      </c>
    </row>
    <row r="159" spans="1:7" x14ac:dyDescent="0.3">
      <c r="A159">
        <v>0</v>
      </c>
      <c r="B159" t="s">
        <v>312</v>
      </c>
      <c r="C159" t="s">
        <v>380</v>
      </c>
      <c r="D159" t="s">
        <v>2</v>
      </c>
      <c r="E159" t="s">
        <v>380</v>
      </c>
      <c r="F159" t="s">
        <v>13</v>
      </c>
      <c r="G159" t="s">
        <v>525</v>
      </c>
    </row>
    <row r="160" spans="1:7" x14ac:dyDescent="0.3">
      <c r="A160">
        <v>0</v>
      </c>
      <c r="B160" t="s">
        <v>312</v>
      </c>
      <c r="C160" t="s">
        <v>442</v>
      </c>
      <c r="D160" t="s">
        <v>2</v>
      </c>
      <c r="E160" t="s">
        <v>442</v>
      </c>
      <c r="F160" t="s">
        <v>13</v>
      </c>
      <c r="G160" t="s">
        <v>525</v>
      </c>
    </row>
    <row r="161" spans="1:7" x14ac:dyDescent="0.3">
      <c r="A161">
        <v>0</v>
      </c>
      <c r="B161" t="s">
        <v>314</v>
      </c>
      <c r="C161" t="s">
        <v>349</v>
      </c>
      <c r="D161" t="s">
        <v>2</v>
      </c>
      <c r="E161" t="s">
        <v>349</v>
      </c>
      <c r="F161" t="s">
        <v>13</v>
      </c>
      <c r="G161" t="s">
        <v>525</v>
      </c>
    </row>
    <row r="162" spans="1:7" x14ac:dyDescent="0.3">
      <c r="A162">
        <v>0</v>
      </c>
      <c r="B162" t="s">
        <v>57</v>
      </c>
      <c r="C162" t="s">
        <v>470</v>
      </c>
      <c r="D162" t="s">
        <v>2</v>
      </c>
      <c r="E162" t="s">
        <v>470</v>
      </c>
      <c r="F162" t="s">
        <v>13</v>
      </c>
      <c r="G162" t="s">
        <v>525</v>
      </c>
    </row>
    <row r="163" spans="1:7" x14ac:dyDescent="0.3">
      <c r="A163">
        <v>0</v>
      </c>
      <c r="B163" t="s">
        <v>319</v>
      </c>
      <c r="C163" t="s">
        <v>463</v>
      </c>
      <c r="D163" t="s">
        <v>2</v>
      </c>
      <c r="E163" t="s">
        <v>463</v>
      </c>
      <c r="F163" t="s">
        <v>13</v>
      </c>
      <c r="G163" t="s">
        <v>525</v>
      </c>
    </row>
    <row r="164" spans="1:7" x14ac:dyDescent="0.3">
      <c r="A164">
        <v>0</v>
      </c>
      <c r="B164" t="s">
        <v>314</v>
      </c>
      <c r="C164" t="s">
        <v>343</v>
      </c>
      <c r="D164" t="s">
        <v>2</v>
      </c>
      <c r="E164" t="s">
        <v>343</v>
      </c>
      <c r="F164" t="s">
        <v>13</v>
      </c>
      <c r="G164" t="s">
        <v>525</v>
      </c>
    </row>
    <row r="165" spans="1:7" x14ac:dyDescent="0.3">
      <c r="A165">
        <v>0</v>
      </c>
      <c r="B165" t="s">
        <v>312</v>
      </c>
      <c r="C165" t="s">
        <v>371</v>
      </c>
      <c r="D165" t="s">
        <v>2</v>
      </c>
      <c r="E165" t="s">
        <v>371</v>
      </c>
      <c r="F165" t="s">
        <v>13</v>
      </c>
      <c r="G165" t="s">
        <v>525</v>
      </c>
    </row>
    <row r="166" spans="1:7" x14ac:dyDescent="0.3">
      <c r="A166">
        <v>0</v>
      </c>
      <c r="B166" t="s">
        <v>312</v>
      </c>
      <c r="C166" t="s">
        <v>366</v>
      </c>
      <c r="D166" t="s">
        <v>2</v>
      </c>
      <c r="E166" t="s">
        <v>366</v>
      </c>
      <c r="F166" t="s">
        <v>13</v>
      </c>
      <c r="G166" t="s">
        <v>525</v>
      </c>
    </row>
    <row r="167" spans="1:7" x14ac:dyDescent="0.3">
      <c r="A167">
        <v>0</v>
      </c>
      <c r="B167" t="s">
        <v>312</v>
      </c>
      <c r="C167" t="s">
        <v>384</v>
      </c>
      <c r="D167" t="s">
        <v>2</v>
      </c>
      <c r="E167" t="s">
        <v>384</v>
      </c>
      <c r="F167" t="s">
        <v>13</v>
      </c>
      <c r="G167" t="s">
        <v>525</v>
      </c>
    </row>
    <row r="168" spans="1:7" x14ac:dyDescent="0.3">
      <c r="A168">
        <v>0</v>
      </c>
      <c r="B168" t="s">
        <v>319</v>
      </c>
      <c r="C168" t="s">
        <v>464</v>
      </c>
      <c r="D168" t="s">
        <v>2</v>
      </c>
      <c r="E168" t="s">
        <v>464</v>
      </c>
      <c r="F168" t="s">
        <v>13</v>
      </c>
      <c r="G168" t="s">
        <v>525</v>
      </c>
    </row>
    <row r="169" spans="1:7" x14ac:dyDescent="0.3">
      <c r="A169">
        <v>0</v>
      </c>
      <c r="B169" t="s">
        <v>312</v>
      </c>
      <c r="C169" t="s">
        <v>323</v>
      </c>
      <c r="D169" t="s">
        <v>2</v>
      </c>
      <c r="E169" t="s">
        <v>323</v>
      </c>
      <c r="F169" t="s">
        <v>13</v>
      </c>
      <c r="G169" t="s">
        <v>525</v>
      </c>
    </row>
    <row r="170" spans="1:7" x14ac:dyDescent="0.3">
      <c r="A170">
        <v>0</v>
      </c>
      <c r="B170" t="s">
        <v>314</v>
      </c>
      <c r="C170" t="s">
        <v>414</v>
      </c>
      <c r="D170" t="s">
        <v>2</v>
      </c>
      <c r="E170" t="s">
        <v>414</v>
      </c>
      <c r="F170" t="s">
        <v>13</v>
      </c>
      <c r="G170" t="s">
        <v>525</v>
      </c>
    </row>
    <row r="171" spans="1:7" x14ac:dyDescent="0.3">
      <c r="A171">
        <v>0</v>
      </c>
      <c r="B171" t="s">
        <v>312</v>
      </c>
      <c r="C171" t="s">
        <v>261</v>
      </c>
      <c r="D171" t="s">
        <v>2</v>
      </c>
      <c r="E171" t="s">
        <v>261</v>
      </c>
      <c r="F171" t="s">
        <v>13</v>
      </c>
      <c r="G171" t="s">
        <v>525</v>
      </c>
    </row>
    <row r="172" spans="1:7" x14ac:dyDescent="0.3">
      <c r="A172">
        <v>0</v>
      </c>
      <c r="B172" t="s">
        <v>319</v>
      </c>
      <c r="C172" t="s">
        <v>364</v>
      </c>
      <c r="D172" t="s">
        <v>2</v>
      </c>
      <c r="E172" t="s">
        <v>364</v>
      </c>
      <c r="F172" t="s">
        <v>13</v>
      </c>
      <c r="G172" t="s">
        <v>525</v>
      </c>
    </row>
    <row r="173" spans="1:7" x14ac:dyDescent="0.3">
      <c r="A173">
        <v>0</v>
      </c>
      <c r="B173" t="s">
        <v>312</v>
      </c>
      <c r="C173" t="s">
        <v>373</v>
      </c>
      <c r="D173" t="s">
        <v>2</v>
      </c>
      <c r="E173" t="s">
        <v>373</v>
      </c>
      <c r="F173" t="s">
        <v>13</v>
      </c>
      <c r="G173" t="s">
        <v>525</v>
      </c>
    </row>
    <row r="174" spans="1:7" x14ac:dyDescent="0.3">
      <c r="A174">
        <v>0</v>
      </c>
      <c r="B174" t="s">
        <v>312</v>
      </c>
      <c r="C174" t="s">
        <v>482</v>
      </c>
      <c r="D174" t="s">
        <v>2</v>
      </c>
      <c r="E174" t="s">
        <v>482</v>
      </c>
      <c r="F174" t="s">
        <v>13</v>
      </c>
      <c r="G174" t="s">
        <v>525</v>
      </c>
    </row>
    <row r="175" spans="1:7" x14ac:dyDescent="0.3">
      <c r="A175">
        <v>0</v>
      </c>
      <c r="B175" t="s">
        <v>312</v>
      </c>
      <c r="C175" t="s">
        <v>412</v>
      </c>
      <c r="D175" t="s">
        <v>2</v>
      </c>
      <c r="E175" t="s">
        <v>412</v>
      </c>
      <c r="F175" t="s">
        <v>13</v>
      </c>
      <c r="G175" t="s">
        <v>525</v>
      </c>
    </row>
    <row r="176" spans="1:7" x14ac:dyDescent="0.3">
      <c r="A176">
        <v>0</v>
      </c>
      <c r="B176" t="s">
        <v>312</v>
      </c>
      <c r="C176" t="s">
        <v>434</v>
      </c>
      <c r="D176" t="s">
        <v>2</v>
      </c>
      <c r="E176" t="s">
        <v>434</v>
      </c>
      <c r="F176" t="s">
        <v>13</v>
      </c>
      <c r="G176" t="s">
        <v>525</v>
      </c>
    </row>
    <row r="177" spans="1:7" x14ac:dyDescent="0.3">
      <c r="A177">
        <v>0</v>
      </c>
      <c r="B177" t="s">
        <v>314</v>
      </c>
      <c r="C177" t="s">
        <v>443</v>
      </c>
      <c r="D177" t="s">
        <v>2</v>
      </c>
      <c r="E177" t="s">
        <v>443</v>
      </c>
      <c r="F177" t="s">
        <v>13</v>
      </c>
      <c r="G177" t="s">
        <v>525</v>
      </c>
    </row>
    <row r="178" spans="1:7" x14ac:dyDescent="0.3">
      <c r="A178">
        <v>0</v>
      </c>
      <c r="B178" t="s">
        <v>319</v>
      </c>
      <c r="C178" t="s">
        <v>430</v>
      </c>
      <c r="D178" t="s">
        <v>2</v>
      </c>
      <c r="E178" t="s">
        <v>430</v>
      </c>
      <c r="F178" t="s">
        <v>13</v>
      </c>
      <c r="G178" t="s">
        <v>525</v>
      </c>
    </row>
    <row r="179" spans="1:7" x14ac:dyDescent="0.3">
      <c r="A179">
        <v>0</v>
      </c>
      <c r="B179" t="s">
        <v>314</v>
      </c>
      <c r="C179" t="s">
        <v>408</v>
      </c>
      <c r="D179" t="s">
        <v>2</v>
      </c>
      <c r="E179" t="s">
        <v>408</v>
      </c>
      <c r="F179" t="s">
        <v>13</v>
      </c>
      <c r="G179" t="s">
        <v>525</v>
      </c>
    </row>
    <row r="180" spans="1:7" x14ac:dyDescent="0.3">
      <c r="A180">
        <v>0</v>
      </c>
      <c r="B180" t="s">
        <v>312</v>
      </c>
      <c r="C180" t="s">
        <v>138</v>
      </c>
      <c r="D180" t="s">
        <v>2</v>
      </c>
      <c r="E180" t="s">
        <v>138</v>
      </c>
      <c r="F180" t="s">
        <v>13</v>
      </c>
      <c r="G180" t="s">
        <v>525</v>
      </c>
    </row>
    <row r="181" spans="1:7" x14ac:dyDescent="0.3">
      <c r="A181">
        <v>0</v>
      </c>
      <c r="B181" t="s">
        <v>312</v>
      </c>
      <c r="C181" t="s">
        <v>275</v>
      </c>
      <c r="D181" t="s">
        <v>2</v>
      </c>
      <c r="E181" t="s">
        <v>275</v>
      </c>
      <c r="F181" t="s">
        <v>13</v>
      </c>
      <c r="G181" t="s">
        <v>525</v>
      </c>
    </row>
    <row r="182" spans="1:7" x14ac:dyDescent="0.3">
      <c r="A182">
        <v>0</v>
      </c>
      <c r="B182" t="s">
        <v>312</v>
      </c>
      <c r="C182" t="s">
        <v>337</v>
      </c>
      <c r="D182" t="s">
        <v>2</v>
      </c>
      <c r="E182" t="s">
        <v>337</v>
      </c>
      <c r="F182" t="s">
        <v>13</v>
      </c>
      <c r="G182" t="s">
        <v>525</v>
      </c>
    </row>
    <row r="183" spans="1:7" x14ac:dyDescent="0.3">
      <c r="A183">
        <v>0</v>
      </c>
      <c r="B183" t="s">
        <v>312</v>
      </c>
      <c r="C183" t="s">
        <v>331</v>
      </c>
      <c r="D183" t="s">
        <v>2</v>
      </c>
      <c r="E183" t="s">
        <v>331</v>
      </c>
      <c r="F183" t="s">
        <v>13</v>
      </c>
      <c r="G183" t="s">
        <v>525</v>
      </c>
    </row>
    <row r="184" spans="1:7" x14ac:dyDescent="0.3">
      <c r="A184">
        <v>0</v>
      </c>
      <c r="B184" t="s">
        <v>312</v>
      </c>
      <c r="C184" t="s">
        <v>452</v>
      </c>
      <c r="D184" t="s">
        <v>2</v>
      </c>
      <c r="E184" t="s">
        <v>452</v>
      </c>
      <c r="F184" t="s">
        <v>13</v>
      </c>
      <c r="G184" t="s">
        <v>525</v>
      </c>
    </row>
    <row r="185" spans="1:7" x14ac:dyDescent="0.3">
      <c r="A185">
        <v>0</v>
      </c>
      <c r="B185" t="s">
        <v>319</v>
      </c>
      <c r="C185" t="s">
        <v>477</v>
      </c>
      <c r="D185" t="s">
        <v>2</v>
      </c>
      <c r="E185" t="s">
        <v>477</v>
      </c>
      <c r="F185" t="s">
        <v>13</v>
      </c>
      <c r="G185" t="s">
        <v>525</v>
      </c>
    </row>
    <row r="186" spans="1:7" x14ac:dyDescent="0.3">
      <c r="A186">
        <v>0</v>
      </c>
      <c r="B186" t="s">
        <v>312</v>
      </c>
      <c r="C186" t="s">
        <v>446</v>
      </c>
      <c r="D186" t="s">
        <v>2</v>
      </c>
      <c r="E186" t="s">
        <v>446</v>
      </c>
      <c r="F186" t="s">
        <v>13</v>
      </c>
      <c r="G186" t="s">
        <v>525</v>
      </c>
    </row>
    <row r="187" spans="1:7" x14ac:dyDescent="0.3">
      <c r="A187">
        <v>0</v>
      </c>
      <c r="B187" t="s">
        <v>319</v>
      </c>
      <c r="C187" t="s">
        <v>491</v>
      </c>
      <c r="D187" t="s">
        <v>2</v>
      </c>
      <c r="E187" t="s">
        <v>491</v>
      </c>
      <c r="F187" t="s">
        <v>13</v>
      </c>
      <c r="G187" t="s">
        <v>525</v>
      </c>
    </row>
    <row r="188" spans="1:7" x14ac:dyDescent="0.3">
      <c r="A188">
        <v>0</v>
      </c>
      <c r="B188" t="s">
        <v>312</v>
      </c>
      <c r="C188" t="s">
        <v>326</v>
      </c>
      <c r="D188" t="s">
        <v>2</v>
      </c>
      <c r="E188" t="s">
        <v>326</v>
      </c>
      <c r="F188" t="s">
        <v>13</v>
      </c>
      <c r="G188" t="s">
        <v>525</v>
      </c>
    </row>
    <row r="189" spans="1:7" x14ac:dyDescent="0.3">
      <c r="A189">
        <v>0</v>
      </c>
      <c r="B189" t="s">
        <v>319</v>
      </c>
      <c r="C189" t="s">
        <v>415</v>
      </c>
      <c r="D189" t="s">
        <v>2</v>
      </c>
      <c r="E189" t="s">
        <v>415</v>
      </c>
      <c r="F189" t="s">
        <v>13</v>
      </c>
      <c r="G189" t="s">
        <v>525</v>
      </c>
    </row>
    <row r="190" spans="1:7" x14ac:dyDescent="0.3">
      <c r="A190">
        <v>0</v>
      </c>
      <c r="B190" t="s">
        <v>314</v>
      </c>
      <c r="C190" t="s">
        <v>451</v>
      </c>
      <c r="D190" t="s">
        <v>2</v>
      </c>
      <c r="E190" t="s">
        <v>451</v>
      </c>
      <c r="F190" t="s">
        <v>13</v>
      </c>
      <c r="G190" t="s">
        <v>525</v>
      </c>
    </row>
    <row r="191" spans="1:7" x14ac:dyDescent="0.3">
      <c r="A191">
        <v>0</v>
      </c>
      <c r="B191" t="s">
        <v>314</v>
      </c>
      <c r="C191" t="s">
        <v>448</v>
      </c>
      <c r="D191" t="s">
        <v>2</v>
      </c>
      <c r="E191" t="s">
        <v>448</v>
      </c>
      <c r="F191" t="s">
        <v>13</v>
      </c>
      <c r="G191" t="s">
        <v>525</v>
      </c>
    </row>
    <row r="192" spans="1:7" x14ac:dyDescent="0.3">
      <c r="A192">
        <v>0</v>
      </c>
      <c r="B192" t="s">
        <v>312</v>
      </c>
      <c r="C192" t="s">
        <v>423</v>
      </c>
      <c r="D192" t="s">
        <v>2</v>
      </c>
      <c r="E192" t="s">
        <v>423</v>
      </c>
      <c r="F192" t="s">
        <v>13</v>
      </c>
      <c r="G192" t="s">
        <v>525</v>
      </c>
    </row>
    <row r="193" spans="1:7" x14ac:dyDescent="0.3">
      <c r="A193">
        <v>0</v>
      </c>
      <c r="B193" t="s">
        <v>319</v>
      </c>
      <c r="C193" t="s">
        <v>361</v>
      </c>
      <c r="D193" t="s">
        <v>2</v>
      </c>
      <c r="E193" t="s">
        <v>361</v>
      </c>
      <c r="F193" t="s">
        <v>13</v>
      </c>
      <c r="G193" t="s">
        <v>525</v>
      </c>
    </row>
    <row r="194" spans="1:7" x14ac:dyDescent="0.3">
      <c r="A194">
        <v>0</v>
      </c>
      <c r="B194" t="s">
        <v>314</v>
      </c>
      <c r="C194" t="s">
        <v>467</v>
      </c>
      <c r="D194" t="s">
        <v>2</v>
      </c>
      <c r="E194" t="s">
        <v>467</v>
      </c>
      <c r="F194" t="s">
        <v>13</v>
      </c>
      <c r="G194" t="s">
        <v>525</v>
      </c>
    </row>
    <row r="195" spans="1:7" x14ac:dyDescent="0.3">
      <c r="A195">
        <v>0</v>
      </c>
      <c r="B195" t="s">
        <v>319</v>
      </c>
      <c r="C195" t="s">
        <v>420</v>
      </c>
      <c r="D195" t="s">
        <v>2</v>
      </c>
      <c r="E195" t="s">
        <v>420</v>
      </c>
      <c r="F195" t="s">
        <v>13</v>
      </c>
      <c r="G195" t="s">
        <v>525</v>
      </c>
    </row>
    <row r="196" spans="1:7" x14ac:dyDescent="0.3">
      <c r="A196">
        <v>0</v>
      </c>
      <c r="B196" t="s">
        <v>314</v>
      </c>
      <c r="C196" t="s">
        <v>487</v>
      </c>
      <c r="D196" t="s">
        <v>2</v>
      </c>
      <c r="E196" t="s">
        <v>487</v>
      </c>
      <c r="F196" t="s">
        <v>13</v>
      </c>
      <c r="G196" t="s">
        <v>525</v>
      </c>
    </row>
    <row r="197" spans="1:7" x14ac:dyDescent="0.3">
      <c r="A197">
        <v>0</v>
      </c>
      <c r="B197" t="s">
        <v>312</v>
      </c>
      <c r="C197" t="s">
        <v>149</v>
      </c>
      <c r="D197" t="s">
        <v>2</v>
      </c>
      <c r="E197" t="s">
        <v>149</v>
      </c>
      <c r="F197" t="s">
        <v>13</v>
      </c>
      <c r="G197" t="s">
        <v>525</v>
      </c>
    </row>
    <row r="198" spans="1:7" x14ac:dyDescent="0.3">
      <c r="A198">
        <v>0</v>
      </c>
      <c r="B198" t="s">
        <v>314</v>
      </c>
      <c r="C198" t="s">
        <v>377</v>
      </c>
      <c r="D198" t="s">
        <v>2</v>
      </c>
      <c r="E198" t="s">
        <v>377</v>
      </c>
      <c r="F198" t="s">
        <v>13</v>
      </c>
      <c r="G198" t="s">
        <v>525</v>
      </c>
    </row>
    <row r="199" spans="1:7" x14ac:dyDescent="0.3">
      <c r="A199">
        <v>0</v>
      </c>
      <c r="B199" t="s">
        <v>312</v>
      </c>
      <c r="C199" t="s">
        <v>403</v>
      </c>
      <c r="D199" t="s">
        <v>2</v>
      </c>
      <c r="E199" t="s">
        <v>403</v>
      </c>
      <c r="F199" t="s">
        <v>13</v>
      </c>
      <c r="G199" t="s">
        <v>525</v>
      </c>
    </row>
    <row r="200" spans="1:7" x14ac:dyDescent="0.3">
      <c r="A200">
        <v>0</v>
      </c>
      <c r="B200" t="s">
        <v>312</v>
      </c>
      <c r="C200" t="s">
        <v>387</v>
      </c>
      <c r="D200" t="s">
        <v>2</v>
      </c>
      <c r="E200" t="s">
        <v>387</v>
      </c>
      <c r="F200" t="s">
        <v>13</v>
      </c>
      <c r="G200" t="s">
        <v>525</v>
      </c>
    </row>
    <row r="201" spans="1:7" x14ac:dyDescent="0.3">
      <c r="A201">
        <v>0</v>
      </c>
      <c r="B201" t="s">
        <v>312</v>
      </c>
      <c r="C201" t="s">
        <v>431</v>
      </c>
      <c r="D201" t="s">
        <v>2</v>
      </c>
      <c r="E201" t="s">
        <v>431</v>
      </c>
      <c r="F201" t="s">
        <v>13</v>
      </c>
      <c r="G201" t="s">
        <v>525</v>
      </c>
    </row>
    <row r="202" spans="1:7" x14ac:dyDescent="0.3">
      <c r="A202">
        <v>0</v>
      </c>
      <c r="B202" t="s">
        <v>319</v>
      </c>
      <c r="C202" t="s">
        <v>459</v>
      </c>
      <c r="D202" t="s">
        <v>2</v>
      </c>
      <c r="E202" t="s">
        <v>459</v>
      </c>
      <c r="F202" t="s">
        <v>13</v>
      </c>
      <c r="G202" t="s">
        <v>525</v>
      </c>
    </row>
    <row r="203" spans="1:7" x14ac:dyDescent="0.3">
      <c r="A203">
        <v>0</v>
      </c>
      <c r="B203" t="s">
        <v>314</v>
      </c>
      <c r="C203" t="s">
        <v>376</v>
      </c>
      <c r="D203" t="s">
        <v>2</v>
      </c>
      <c r="E203" t="s">
        <v>376</v>
      </c>
      <c r="F203" t="s">
        <v>13</v>
      </c>
      <c r="G203" t="s">
        <v>525</v>
      </c>
    </row>
    <row r="204" spans="1:7" x14ac:dyDescent="0.3">
      <c r="A204">
        <v>0</v>
      </c>
      <c r="B204" t="s">
        <v>312</v>
      </c>
      <c r="C204" t="s">
        <v>379</v>
      </c>
      <c r="D204" t="s">
        <v>2</v>
      </c>
      <c r="E204" t="s">
        <v>379</v>
      </c>
      <c r="F204" t="s">
        <v>13</v>
      </c>
      <c r="G204" t="s">
        <v>525</v>
      </c>
    </row>
    <row r="205" spans="1:7" x14ac:dyDescent="0.3">
      <c r="A205">
        <v>0</v>
      </c>
      <c r="B205" t="s">
        <v>314</v>
      </c>
      <c r="C205" t="s">
        <v>445</v>
      </c>
      <c r="D205" t="s">
        <v>2</v>
      </c>
      <c r="E205" t="s">
        <v>445</v>
      </c>
      <c r="F205" t="s">
        <v>13</v>
      </c>
      <c r="G205" t="s">
        <v>525</v>
      </c>
    </row>
    <row r="206" spans="1:7" x14ac:dyDescent="0.3">
      <c r="A206">
        <v>0</v>
      </c>
      <c r="B206" t="s">
        <v>319</v>
      </c>
      <c r="C206" t="s">
        <v>460</v>
      </c>
      <c r="D206" t="s">
        <v>2</v>
      </c>
      <c r="E206" t="s">
        <v>460</v>
      </c>
      <c r="F206" t="s">
        <v>13</v>
      </c>
      <c r="G206" t="s">
        <v>525</v>
      </c>
    </row>
    <row r="207" spans="1:7" x14ac:dyDescent="0.3">
      <c r="A207">
        <v>0</v>
      </c>
      <c r="B207" t="s">
        <v>314</v>
      </c>
      <c r="C207" t="s">
        <v>450</v>
      </c>
      <c r="D207" t="s">
        <v>2</v>
      </c>
      <c r="E207" t="s">
        <v>450</v>
      </c>
      <c r="F207" t="s">
        <v>13</v>
      </c>
      <c r="G207" t="s">
        <v>525</v>
      </c>
    </row>
    <row r="208" spans="1:7" x14ac:dyDescent="0.3">
      <c r="A208">
        <v>0</v>
      </c>
      <c r="B208" t="s">
        <v>312</v>
      </c>
      <c r="C208" t="s">
        <v>473</v>
      </c>
      <c r="D208" t="s">
        <v>2</v>
      </c>
      <c r="E208" t="s">
        <v>473</v>
      </c>
      <c r="F208" t="s">
        <v>13</v>
      </c>
      <c r="G208" t="s">
        <v>525</v>
      </c>
    </row>
    <row r="209" spans="1:7" x14ac:dyDescent="0.3">
      <c r="A209">
        <v>0</v>
      </c>
      <c r="B209" t="s">
        <v>314</v>
      </c>
      <c r="C209" t="s">
        <v>313</v>
      </c>
      <c r="D209" t="s">
        <v>2</v>
      </c>
      <c r="E209" t="s">
        <v>313</v>
      </c>
      <c r="F209" t="s">
        <v>13</v>
      </c>
      <c r="G209" t="s">
        <v>525</v>
      </c>
    </row>
    <row r="210" spans="1:7" x14ac:dyDescent="0.3">
      <c r="A210">
        <v>0</v>
      </c>
      <c r="B210" t="s">
        <v>312</v>
      </c>
      <c r="C210" t="s">
        <v>472</v>
      </c>
      <c r="D210" t="s">
        <v>2</v>
      </c>
      <c r="E210" t="s">
        <v>472</v>
      </c>
      <c r="F210" t="s">
        <v>13</v>
      </c>
      <c r="G210" t="s">
        <v>525</v>
      </c>
    </row>
    <row r="211" spans="1:7" x14ac:dyDescent="0.3">
      <c r="A211">
        <v>0</v>
      </c>
      <c r="B211" t="s">
        <v>312</v>
      </c>
      <c r="C211" t="s">
        <v>402</v>
      </c>
      <c r="D211" t="s">
        <v>2</v>
      </c>
      <c r="E211" t="s">
        <v>402</v>
      </c>
      <c r="F211" t="s">
        <v>13</v>
      </c>
      <c r="G211" t="s">
        <v>525</v>
      </c>
    </row>
    <row r="212" spans="1:7" x14ac:dyDescent="0.3">
      <c r="A212">
        <v>0</v>
      </c>
      <c r="B212" t="s">
        <v>314</v>
      </c>
      <c r="C212" t="s">
        <v>455</v>
      </c>
      <c r="D212" t="s">
        <v>2</v>
      </c>
      <c r="E212" t="s">
        <v>455</v>
      </c>
      <c r="F212" t="s">
        <v>13</v>
      </c>
      <c r="G212" t="s">
        <v>525</v>
      </c>
    </row>
    <row r="213" spans="1:7" x14ac:dyDescent="0.3">
      <c r="A213">
        <v>0</v>
      </c>
      <c r="B213" t="s">
        <v>312</v>
      </c>
      <c r="C213" t="s">
        <v>411</v>
      </c>
      <c r="D213" t="s">
        <v>2</v>
      </c>
      <c r="E213" t="s">
        <v>411</v>
      </c>
      <c r="F213" t="s">
        <v>13</v>
      </c>
      <c r="G213" t="s">
        <v>525</v>
      </c>
    </row>
    <row r="214" spans="1:7" x14ac:dyDescent="0.3">
      <c r="A214">
        <v>0</v>
      </c>
      <c r="B214" t="s">
        <v>312</v>
      </c>
      <c r="C214" t="s">
        <v>488</v>
      </c>
      <c r="D214" t="s">
        <v>2</v>
      </c>
      <c r="E214" t="s">
        <v>488</v>
      </c>
      <c r="F214" t="s">
        <v>13</v>
      </c>
      <c r="G214" t="s">
        <v>525</v>
      </c>
    </row>
    <row r="215" spans="1:7" x14ac:dyDescent="0.3">
      <c r="A215">
        <v>0</v>
      </c>
      <c r="B215" t="s">
        <v>319</v>
      </c>
      <c r="C215" t="s">
        <v>462</v>
      </c>
      <c r="D215" t="s">
        <v>2</v>
      </c>
      <c r="E215" t="s">
        <v>462</v>
      </c>
      <c r="F215" t="s">
        <v>13</v>
      </c>
      <c r="G215" t="s">
        <v>525</v>
      </c>
    </row>
    <row r="216" spans="1:7" x14ac:dyDescent="0.3">
      <c r="A216">
        <v>0</v>
      </c>
      <c r="B216" t="s">
        <v>312</v>
      </c>
      <c r="C216" t="s">
        <v>246</v>
      </c>
      <c r="D216" t="s">
        <v>2</v>
      </c>
      <c r="E216" t="s">
        <v>246</v>
      </c>
      <c r="F216" t="s">
        <v>13</v>
      </c>
      <c r="G216" t="s">
        <v>525</v>
      </c>
    </row>
    <row r="217" spans="1:7" x14ac:dyDescent="0.3">
      <c r="A217">
        <v>0</v>
      </c>
      <c r="B217" t="s">
        <v>312</v>
      </c>
      <c r="C217" t="s">
        <v>357</v>
      </c>
      <c r="D217" t="s">
        <v>2</v>
      </c>
      <c r="E217" t="s">
        <v>357</v>
      </c>
      <c r="F217" t="s">
        <v>13</v>
      </c>
      <c r="G217" t="s">
        <v>525</v>
      </c>
    </row>
    <row r="218" spans="1:7" x14ac:dyDescent="0.3">
      <c r="A218">
        <v>0</v>
      </c>
      <c r="B218" t="s">
        <v>314</v>
      </c>
      <c r="C218" t="s">
        <v>341</v>
      </c>
      <c r="D218" t="s">
        <v>2</v>
      </c>
      <c r="E218" t="s">
        <v>341</v>
      </c>
      <c r="F218" t="s">
        <v>13</v>
      </c>
      <c r="G218" t="s">
        <v>525</v>
      </c>
    </row>
    <row r="219" spans="1:7" x14ac:dyDescent="0.3">
      <c r="A219">
        <v>0</v>
      </c>
      <c r="B219" t="s">
        <v>319</v>
      </c>
      <c r="C219" t="s">
        <v>466</v>
      </c>
      <c r="D219" t="s">
        <v>2</v>
      </c>
      <c r="E219" t="s">
        <v>466</v>
      </c>
      <c r="F219" t="s">
        <v>13</v>
      </c>
      <c r="G219" t="s">
        <v>525</v>
      </c>
    </row>
    <row r="220" spans="1:7" x14ac:dyDescent="0.3">
      <c r="A220">
        <v>0</v>
      </c>
      <c r="B220" t="s">
        <v>319</v>
      </c>
      <c r="C220" t="s">
        <v>362</v>
      </c>
      <c r="D220" t="s">
        <v>2</v>
      </c>
      <c r="E220" t="s">
        <v>362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433</v>
      </c>
      <c r="D221" t="s">
        <v>2</v>
      </c>
      <c r="E221" t="s">
        <v>433</v>
      </c>
      <c r="F221" t="s">
        <v>13</v>
      </c>
      <c r="G221" t="s">
        <v>525</v>
      </c>
    </row>
    <row r="222" spans="1:7" x14ac:dyDescent="0.3">
      <c r="A222">
        <v>0</v>
      </c>
      <c r="B222" t="s">
        <v>312</v>
      </c>
      <c r="C222" t="s">
        <v>397</v>
      </c>
      <c r="D222" t="s">
        <v>2</v>
      </c>
      <c r="E222" t="s">
        <v>397</v>
      </c>
      <c r="F222" t="s">
        <v>13</v>
      </c>
      <c r="G222" t="s">
        <v>525</v>
      </c>
    </row>
    <row r="223" spans="1:7" x14ac:dyDescent="0.3">
      <c r="A223">
        <v>0</v>
      </c>
      <c r="B223" t="s">
        <v>319</v>
      </c>
      <c r="C223" t="s">
        <v>378</v>
      </c>
      <c r="D223" t="s">
        <v>2</v>
      </c>
      <c r="E223" t="s">
        <v>378</v>
      </c>
      <c r="F223" t="s">
        <v>13</v>
      </c>
      <c r="G223" t="s">
        <v>525</v>
      </c>
    </row>
    <row r="224" spans="1:7" x14ac:dyDescent="0.3">
      <c r="A224">
        <v>0</v>
      </c>
      <c r="B224" t="s">
        <v>105</v>
      </c>
      <c r="C224" t="s">
        <v>117</v>
      </c>
      <c r="D224" t="s">
        <v>2</v>
      </c>
      <c r="E224" t="s">
        <v>117</v>
      </c>
      <c r="F224" t="s">
        <v>13</v>
      </c>
      <c r="G224" t="s">
        <v>525</v>
      </c>
    </row>
    <row r="225" spans="1:7" x14ac:dyDescent="0.3">
      <c r="A225">
        <v>0</v>
      </c>
      <c r="B225" t="s">
        <v>312</v>
      </c>
      <c r="C225" t="s">
        <v>476</v>
      </c>
      <c r="D225" t="s">
        <v>2</v>
      </c>
      <c r="E225" t="s">
        <v>476</v>
      </c>
      <c r="F225" t="s">
        <v>13</v>
      </c>
      <c r="G225" t="s">
        <v>525</v>
      </c>
    </row>
    <row r="226" spans="1:7" x14ac:dyDescent="0.3">
      <c r="A226">
        <v>0</v>
      </c>
      <c r="B226" t="s">
        <v>319</v>
      </c>
      <c r="C226" t="s">
        <v>478</v>
      </c>
      <c r="D226" t="s">
        <v>2</v>
      </c>
      <c r="E226" t="s">
        <v>478</v>
      </c>
      <c r="F226" t="s">
        <v>13</v>
      </c>
      <c r="G226" t="s">
        <v>525</v>
      </c>
    </row>
    <row r="227" spans="1:7" x14ac:dyDescent="0.3">
      <c r="A227">
        <v>0</v>
      </c>
      <c r="B227" t="s">
        <v>312</v>
      </c>
      <c r="C227" t="s">
        <v>367</v>
      </c>
      <c r="D227" t="s">
        <v>2</v>
      </c>
      <c r="E227" t="s">
        <v>367</v>
      </c>
      <c r="F227" t="s">
        <v>13</v>
      </c>
      <c r="G227" t="s">
        <v>525</v>
      </c>
    </row>
    <row r="228" spans="1:7" x14ac:dyDescent="0.3">
      <c r="A228">
        <v>0</v>
      </c>
      <c r="B228" t="s">
        <v>312</v>
      </c>
      <c r="C228" t="s">
        <v>346</v>
      </c>
      <c r="D228" t="s">
        <v>2</v>
      </c>
      <c r="E228" t="s">
        <v>346</v>
      </c>
      <c r="F228" t="s">
        <v>13</v>
      </c>
      <c r="G228" t="s">
        <v>525</v>
      </c>
    </row>
    <row r="229" spans="1:7" x14ac:dyDescent="0.3">
      <c r="A229">
        <v>0</v>
      </c>
      <c r="B229" t="s">
        <v>105</v>
      </c>
      <c r="C229" t="s">
        <v>119</v>
      </c>
      <c r="D229" t="s">
        <v>2</v>
      </c>
      <c r="E229" t="s">
        <v>119</v>
      </c>
      <c r="F229" t="s">
        <v>13</v>
      </c>
      <c r="G229" t="s">
        <v>525</v>
      </c>
    </row>
    <row r="230" spans="1:7" x14ac:dyDescent="0.3">
      <c r="A230">
        <v>0</v>
      </c>
      <c r="B230" t="s">
        <v>312</v>
      </c>
      <c r="C230" t="s">
        <v>385</v>
      </c>
      <c r="D230" t="s">
        <v>2</v>
      </c>
      <c r="E230" t="s">
        <v>385</v>
      </c>
      <c r="F230" t="s">
        <v>13</v>
      </c>
      <c r="G230" t="s">
        <v>525</v>
      </c>
    </row>
    <row r="231" spans="1:7" x14ac:dyDescent="0.3">
      <c r="A231">
        <v>0</v>
      </c>
      <c r="B231" t="s">
        <v>57</v>
      </c>
      <c r="C231" t="s">
        <v>120</v>
      </c>
      <c r="D231" t="s">
        <v>2</v>
      </c>
      <c r="E231" t="s">
        <v>120</v>
      </c>
      <c r="F231" t="s">
        <v>13</v>
      </c>
      <c r="G231" t="s">
        <v>525</v>
      </c>
    </row>
    <row r="232" spans="1:7" x14ac:dyDescent="0.3">
      <c r="A232">
        <v>0</v>
      </c>
      <c r="B232" t="s">
        <v>312</v>
      </c>
      <c r="C232" t="s">
        <v>324</v>
      </c>
      <c r="D232" t="s">
        <v>2</v>
      </c>
      <c r="E232" t="s">
        <v>324</v>
      </c>
      <c r="F232" t="s">
        <v>13</v>
      </c>
      <c r="G232" t="s">
        <v>525</v>
      </c>
    </row>
    <row r="233" spans="1:7" x14ac:dyDescent="0.3">
      <c r="A233">
        <v>0</v>
      </c>
      <c r="B233" t="s">
        <v>312</v>
      </c>
      <c r="C233" t="s">
        <v>327</v>
      </c>
      <c r="D233" t="s">
        <v>2</v>
      </c>
      <c r="E233" t="s">
        <v>327</v>
      </c>
      <c r="F233" t="s">
        <v>13</v>
      </c>
      <c r="G233" t="s">
        <v>525</v>
      </c>
    </row>
    <row r="234" spans="1:7" x14ac:dyDescent="0.3">
      <c r="A234">
        <v>0</v>
      </c>
      <c r="B234" t="s">
        <v>314</v>
      </c>
      <c r="C234" t="s">
        <v>441</v>
      </c>
      <c r="D234" t="s">
        <v>2</v>
      </c>
      <c r="E234" t="s">
        <v>441</v>
      </c>
      <c r="F234" t="s">
        <v>13</v>
      </c>
      <c r="G234" t="s">
        <v>525</v>
      </c>
    </row>
    <row r="235" spans="1:7" x14ac:dyDescent="0.3">
      <c r="A235">
        <v>0</v>
      </c>
      <c r="B235" t="s">
        <v>105</v>
      </c>
      <c r="C235" t="s">
        <v>115</v>
      </c>
      <c r="D235" t="s">
        <v>2</v>
      </c>
      <c r="E235" t="s">
        <v>115</v>
      </c>
      <c r="F235" t="s">
        <v>13</v>
      </c>
      <c r="G235" t="s">
        <v>525</v>
      </c>
    </row>
    <row r="236" spans="1:7" x14ac:dyDescent="0.3">
      <c r="A236">
        <v>0</v>
      </c>
      <c r="B236" t="s">
        <v>312</v>
      </c>
      <c r="C236" t="s">
        <v>484</v>
      </c>
      <c r="D236" t="s">
        <v>2</v>
      </c>
      <c r="E236" t="s">
        <v>484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311</v>
      </c>
      <c r="D237" t="s">
        <v>2</v>
      </c>
      <c r="E237" t="s">
        <v>311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365</v>
      </c>
      <c r="D238" t="s">
        <v>2</v>
      </c>
      <c r="E238" t="s">
        <v>365</v>
      </c>
      <c r="F238" t="s">
        <v>13</v>
      </c>
      <c r="G238" t="s">
        <v>525</v>
      </c>
    </row>
    <row r="239" spans="1:7" x14ac:dyDescent="0.3">
      <c r="A239">
        <v>0</v>
      </c>
      <c r="B239" t="s">
        <v>314</v>
      </c>
      <c r="C239" t="s">
        <v>350</v>
      </c>
      <c r="D239" t="s">
        <v>2</v>
      </c>
      <c r="E239" t="s">
        <v>350</v>
      </c>
      <c r="F239" t="s">
        <v>13</v>
      </c>
      <c r="G239" t="s">
        <v>525</v>
      </c>
    </row>
    <row r="240" spans="1:7" x14ac:dyDescent="0.3">
      <c r="A240">
        <v>0</v>
      </c>
      <c r="B240" t="s">
        <v>105</v>
      </c>
      <c r="C240" t="s">
        <v>123</v>
      </c>
      <c r="D240" t="s">
        <v>2</v>
      </c>
      <c r="E240" t="s">
        <v>123</v>
      </c>
      <c r="F240" t="s">
        <v>13</v>
      </c>
      <c r="G240" t="s">
        <v>525</v>
      </c>
    </row>
    <row r="241" spans="1:7" x14ac:dyDescent="0.3">
      <c r="A241">
        <v>0</v>
      </c>
      <c r="B241" t="s">
        <v>312</v>
      </c>
      <c r="C241" t="s">
        <v>396</v>
      </c>
      <c r="D241" t="s">
        <v>2</v>
      </c>
      <c r="E241" t="s">
        <v>396</v>
      </c>
      <c r="F241" t="s">
        <v>13</v>
      </c>
      <c r="G241" t="s">
        <v>525</v>
      </c>
    </row>
    <row r="242" spans="1:7" x14ac:dyDescent="0.3">
      <c r="A242">
        <v>0</v>
      </c>
      <c r="B242" t="s">
        <v>312</v>
      </c>
      <c r="C242" t="s">
        <v>428</v>
      </c>
      <c r="D242" t="s">
        <v>2</v>
      </c>
      <c r="E242" t="s">
        <v>428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383</v>
      </c>
      <c r="D243" t="s">
        <v>2</v>
      </c>
      <c r="E243" t="s">
        <v>383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426</v>
      </c>
      <c r="D244" t="s">
        <v>2</v>
      </c>
      <c r="E244" t="s">
        <v>426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t="s">
        <v>437</v>
      </c>
      <c r="D245" t="s">
        <v>2</v>
      </c>
      <c r="E245" t="s">
        <v>437</v>
      </c>
      <c r="F245" t="s">
        <v>13</v>
      </c>
      <c r="G245" t="s">
        <v>525</v>
      </c>
    </row>
    <row r="246" spans="1:7" x14ac:dyDescent="0.3">
      <c r="A246">
        <v>0</v>
      </c>
      <c r="B246" t="s">
        <v>312</v>
      </c>
      <c r="C246" t="s">
        <v>454</v>
      </c>
      <c r="D246" t="s">
        <v>2</v>
      </c>
      <c r="E246" t="s">
        <v>454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425</v>
      </c>
      <c r="D247" t="s">
        <v>2</v>
      </c>
      <c r="E247" t="s">
        <v>425</v>
      </c>
      <c r="F247" t="s">
        <v>13</v>
      </c>
      <c r="G247" t="s">
        <v>525</v>
      </c>
    </row>
    <row r="248" spans="1:7" x14ac:dyDescent="0.3">
      <c r="A248">
        <v>0</v>
      </c>
      <c r="B248" t="s">
        <v>312</v>
      </c>
      <c r="C248" t="s">
        <v>344</v>
      </c>
      <c r="D248" t="s">
        <v>2</v>
      </c>
      <c r="E248" t="s">
        <v>344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407</v>
      </c>
      <c r="D249" t="s">
        <v>2</v>
      </c>
      <c r="E249" t="s">
        <v>407</v>
      </c>
      <c r="F249" t="s">
        <v>13</v>
      </c>
      <c r="G249" t="s">
        <v>525</v>
      </c>
    </row>
    <row r="250" spans="1:7" x14ac:dyDescent="0.3">
      <c r="A250">
        <v>0</v>
      </c>
      <c r="B250" t="s">
        <v>314</v>
      </c>
      <c r="C250" t="s">
        <v>413</v>
      </c>
      <c r="D250" t="s">
        <v>2</v>
      </c>
      <c r="E250" t="s">
        <v>413</v>
      </c>
      <c r="F250" t="s">
        <v>13</v>
      </c>
      <c r="G250" t="s">
        <v>525</v>
      </c>
    </row>
    <row r="251" spans="1:7" x14ac:dyDescent="0.3">
      <c r="A251">
        <v>0</v>
      </c>
      <c r="B251" t="s">
        <v>312</v>
      </c>
      <c r="C251" t="s">
        <v>392</v>
      </c>
      <c r="D251" t="s">
        <v>2</v>
      </c>
      <c r="E251" t="s">
        <v>392</v>
      </c>
      <c r="F251" t="s">
        <v>13</v>
      </c>
      <c r="G251" t="s">
        <v>525</v>
      </c>
    </row>
    <row r="252" spans="1:7" x14ac:dyDescent="0.3">
      <c r="A252">
        <v>0</v>
      </c>
      <c r="B252" t="s">
        <v>319</v>
      </c>
      <c r="C252" t="s">
        <v>422</v>
      </c>
      <c r="D252" t="s">
        <v>2</v>
      </c>
      <c r="E252" t="s">
        <v>422</v>
      </c>
      <c r="F252" t="s">
        <v>13</v>
      </c>
      <c r="G252" t="s">
        <v>525</v>
      </c>
    </row>
    <row r="253" spans="1:7" x14ac:dyDescent="0.3">
      <c r="A253">
        <v>0</v>
      </c>
      <c r="B253" t="s">
        <v>314</v>
      </c>
      <c r="C253" t="s">
        <v>495</v>
      </c>
      <c r="D253" t="s">
        <v>494</v>
      </c>
      <c r="E253" t="s">
        <v>495</v>
      </c>
      <c r="F253" t="s">
        <v>13</v>
      </c>
      <c r="G253" t="s">
        <v>525</v>
      </c>
    </row>
    <row r="254" spans="1:7" x14ac:dyDescent="0.3">
      <c r="A254">
        <v>0</v>
      </c>
      <c r="B254" t="s">
        <v>314</v>
      </c>
      <c r="C254" t="s">
        <v>497</v>
      </c>
      <c r="D254" t="s">
        <v>494</v>
      </c>
      <c r="E254" t="s">
        <v>497</v>
      </c>
      <c r="F254" t="s">
        <v>13</v>
      </c>
      <c r="G254" t="s">
        <v>525</v>
      </c>
    </row>
    <row r="255" spans="1:7" x14ac:dyDescent="0.3">
      <c r="A255">
        <v>0</v>
      </c>
      <c r="B255" t="s">
        <v>314</v>
      </c>
      <c r="C255" t="s">
        <v>496</v>
      </c>
      <c r="D255" t="s">
        <v>494</v>
      </c>
      <c r="E255" t="s">
        <v>496</v>
      </c>
      <c r="F255" t="s">
        <v>13</v>
      </c>
      <c r="G255" t="s">
        <v>525</v>
      </c>
    </row>
    <row r="256" spans="1:7" x14ac:dyDescent="0.3">
      <c r="A256">
        <v>0</v>
      </c>
      <c r="B256" t="s">
        <v>312</v>
      </c>
      <c r="C256" t="s">
        <v>513</v>
      </c>
      <c r="D256" t="s">
        <v>498</v>
      </c>
      <c r="E256" t="s">
        <v>513</v>
      </c>
      <c r="F256" t="s">
        <v>13</v>
      </c>
      <c r="G256" t="s">
        <v>525</v>
      </c>
    </row>
    <row r="257" spans="1:7" x14ac:dyDescent="0.3">
      <c r="A257">
        <v>0</v>
      </c>
      <c r="B257" t="s">
        <v>312</v>
      </c>
      <c r="C257" t="s">
        <v>515</v>
      </c>
      <c r="D257" t="s">
        <v>498</v>
      </c>
      <c r="E257" t="s">
        <v>515</v>
      </c>
      <c r="F257" t="s">
        <v>13</v>
      </c>
      <c r="G257" t="s">
        <v>525</v>
      </c>
    </row>
    <row r="258" spans="1:7" x14ac:dyDescent="0.3">
      <c r="A258">
        <v>0</v>
      </c>
      <c r="B258" t="s">
        <v>312</v>
      </c>
      <c r="C258" t="s">
        <v>509</v>
      </c>
      <c r="D258" t="s">
        <v>498</v>
      </c>
      <c r="E258" t="s">
        <v>509</v>
      </c>
      <c r="F258" t="s">
        <v>13</v>
      </c>
      <c r="G258" t="s">
        <v>525</v>
      </c>
    </row>
    <row r="259" spans="1:7" x14ac:dyDescent="0.3">
      <c r="A259">
        <v>0</v>
      </c>
      <c r="B259" t="s">
        <v>312</v>
      </c>
      <c r="C259" t="s">
        <v>502</v>
      </c>
      <c r="D259" t="s">
        <v>498</v>
      </c>
      <c r="E259" t="s">
        <v>502</v>
      </c>
      <c r="F259" t="s">
        <v>13</v>
      </c>
      <c r="G259" t="s">
        <v>525</v>
      </c>
    </row>
    <row r="260" spans="1:7" x14ac:dyDescent="0.3">
      <c r="A260">
        <v>0</v>
      </c>
      <c r="B260" t="s">
        <v>312</v>
      </c>
      <c r="C260" t="s">
        <v>500</v>
      </c>
      <c r="D260" t="s">
        <v>498</v>
      </c>
      <c r="E260" t="s">
        <v>500</v>
      </c>
      <c r="F260" t="s">
        <v>13</v>
      </c>
      <c r="G260" t="s">
        <v>525</v>
      </c>
    </row>
    <row r="261" spans="1:7" x14ac:dyDescent="0.3">
      <c r="A261">
        <v>0</v>
      </c>
      <c r="B261" t="s">
        <v>507</v>
      </c>
      <c r="C261" t="s">
        <v>506</v>
      </c>
      <c r="D261" t="s">
        <v>498</v>
      </c>
      <c r="E261" t="s">
        <v>506</v>
      </c>
      <c r="F261" t="s">
        <v>13</v>
      </c>
      <c r="G261" t="s">
        <v>525</v>
      </c>
    </row>
    <row r="262" spans="1:7" x14ac:dyDescent="0.3">
      <c r="A262">
        <v>0</v>
      </c>
      <c r="B262" t="s">
        <v>312</v>
      </c>
      <c r="C262" t="s">
        <v>514</v>
      </c>
      <c r="D262" t="s">
        <v>498</v>
      </c>
      <c r="E262" t="s">
        <v>514</v>
      </c>
      <c r="F262" t="s">
        <v>13</v>
      </c>
      <c r="G262" t="s">
        <v>525</v>
      </c>
    </row>
    <row r="263" spans="1:7" x14ac:dyDescent="0.3">
      <c r="A263">
        <v>0</v>
      </c>
      <c r="B263" t="s">
        <v>312</v>
      </c>
      <c r="C263" t="s">
        <v>499</v>
      </c>
      <c r="D263" t="s">
        <v>498</v>
      </c>
      <c r="E263" t="s">
        <v>499</v>
      </c>
      <c r="F263" t="s">
        <v>13</v>
      </c>
      <c r="G263" t="s">
        <v>525</v>
      </c>
    </row>
    <row r="264" spans="1:7" x14ac:dyDescent="0.3">
      <c r="A264">
        <v>0</v>
      </c>
      <c r="B264" t="s">
        <v>312</v>
      </c>
      <c r="C264" t="s">
        <v>508</v>
      </c>
      <c r="D264" t="s">
        <v>498</v>
      </c>
      <c r="E264" t="s">
        <v>508</v>
      </c>
      <c r="F264" t="s">
        <v>13</v>
      </c>
      <c r="G264" t="s">
        <v>525</v>
      </c>
    </row>
    <row r="265" spans="1:7" x14ac:dyDescent="0.3">
      <c r="A265">
        <v>0</v>
      </c>
      <c r="B265" t="s">
        <v>312</v>
      </c>
      <c r="C265" t="s">
        <v>519</v>
      </c>
      <c r="D265" t="s">
        <v>498</v>
      </c>
      <c r="E265" t="s">
        <v>519</v>
      </c>
      <c r="F265" t="s">
        <v>13</v>
      </c>
      <c r="G265" t="s">
        <v>525</v>
      </c>
    </row>
    <row r="266" spans="1:7" x14ac:dyDescent="0.3">
      <c r="A266">
        <v>0</v>
      </c>
      <c r="B266" t="s">
        <v>312</v>
      </c>
      <c r="C266" t="s">
        <v>510</v>
      </c>
      <c r="D266" t="s">
        <v>498</v>
      </c>
      <c r="E266" t="s">
        <v>510</v>
      </c>
      <c r="F266" t="s">
        <v>13</v>
      </c>
      <c r="G266" t="s">
        <v>525</v>
      </c>
    </row>
    <row r="267" spans="1:7" x14ac:dyDescent="0.3">
      <c r="A267">
        <v>0</v>
      </c>
      <c r="B267" t="s">
        <v>312</v>
      </c>
      <c r="C267" t="s">
        <v>521</v>
      </c>
      <c r="D267" t="s">
        <v>498</v>
      </c>
      <c r="E267" t="s">
        <v>521</v>
      </c>
      <c r="F267" t="s">
        <v>13</v>
      </c>
      <c r="G267" t="s">
        <v>525</v>
      </c>
    </row>
    <row r="268" spans="1:7" x14ac:dyDescent="0.3">
      <c r="A268">
        <v>0</v>
      </c>
      <c r="B268" t="s">
        <v>312</v>
      </c>
      <c r="C268" t="s">
        <v>501</v>
      </c>
      <c r="D268" t="s">
        <v>498</v>
      </c>
      <c r="E268" t="s">
        <v>501</v>
      </c>
      <c r="F268" t="s">
        <v>13</v>
      </c>
      <c r="G268" t="s">
        <v>525</v>
      </c>
    </row>
    <row r="269" spans="1:7" x14ac:dyDescent="0.3">
      <c r="A269">
        <v>0</v>
      </c>
      <c r="B269" t="s">
        <v>312</v>
      </c>
      <c r="C269" t="s">
        <v>504</v>
      </c>
      <c r="D269" t="s">
        <v>498</v>
      </c>
      <c r="E269" t="s">
        <v>504</v>
      </c>
      <c r="F269" t="s">
        <v>13</v>
      </c>
      <c r="G269" t="s">
        <v>525</v>
      </c>
    </row>
    <row r="270" spans="1:7" x14ac:dyDescent="0.3">
      <c r="A270">
        <v>0</v>
      </c>
      <c r="B270" t="s">
        <v>312</v>
      </c>
      <c r="C270" t="s">
        <v>520</v>
      </c>
      <c r="D270" t="s">
        <v>498</v>
      </c>
      <c r="E270" t="s">
        <v>520</v>
      </c>
      <c r="F270" t="s">
        <v>13</v>
      </c>
      <c r="G270" t="s">
        <v>525</v>
      </c>
    </row>
    <row r="271" spans="1:7" x14ac:dyDescent="0.3">
      <c r="A271">
        <v>0</v>
      </c>
      <c r="B271" t="s">
        <v>312</v>
      </c>
      <c r="C271" t="s">
        <v>523</v>
      </c>
      <c r="D271" t="s">
        <v>498</v>
      </c>
      <c r="E271" t="s">
        <v>523</v>
      </c>
      <c r="F271" t="s">
        <v>13</v>
      </c>
      <c r="G271" t="s">
        <v>525</v>
      </c>
    </row>
    <row r="272" spans="1:7" x14ac:dyDescent="0.3">
      <c r="A272">
        <v>0</v>
      </c>
      <c r="B272" t="s">
        <v>312</v>
      </c>
      <c r="C272" t="s">
        <v>503</v>
      </c>
      <c r="D272" t="s">
        <v>498</v>
      </c>
      <c r="E272" t="s">
        <v>503</v>
      </c>
      <c r="F272" t="s">
        <v>13</v>
      </c>
      <c r="G272" t="s">
        <v>525</v>
      </c>
    </row>
    <row r="273" spans="1:7" x14ac:dyDescent="0.3">
      <c r="A273">
        <v>0</v>
      </c>
      <c r="B273" t="s">
        <v>312</v>
      </c>
      <c r="C273" t="s">
        <v>512</v>
      </c>
      <c r="D273" t="s">
        <v>498</v>
      </c>
      <c r="E273" t="s">
        <v>512</v>
      </c>
      <c r="F273" t="s">
        <v>13</v>
      </c>
      <c r="G273" t="s">
        <v>525</v>
      </c>
    </row>
    <row r="274" spans="1:7" x14ac:dyDescent="0.3">
      <c r="A274">
        <v>0</v>
      </c>
      <c r="B274" t="s">
        <v>312</v>
      </c>
      <c r="C274" t="s">
        <v>505</v>
      </c>
      <c r="D274" t="s">
        <v>498</v>
      </c>
      <c r="E274" t="s">
        <v>505</v>
      </c>
      <c r="F274" t="s">
        <v>13</v>
      </c>
      <c r="G274" t="s">
        <v>525</v>
      </c>
    </row>
    <row r="275" spans="1:7" x14ac:dyDescent="0.3">
      <c r="A275">
        <v>0</v>
      </c>
      <c r="B275" t="s">
        <v>312</v>
      </c>
      <c r="C275" t="s">
        <v>518</v>
      </c>
      <c r="D275" t="s">
        <v>498</v>
      </c>
      <c r="E275" t="s">
        <v>518</v>
      </c>
      <c r="F275" t="s">
        <v>13</v>
      </c>
      <c r="G275" t="s">
        <v>525</v>
      </c>
    </row>
    <row r="276" spans="1:7" x14ac:dyDescent="0.3">
      <c r="A276">
        <v>0</v>
      </c>
      <c r="B276" t="s">
        <v>312</v>
      </c>
      <c r="C276" t="s">
        <v>522</v>
      </c>
      <c r="D276" t="s">
        <v>498</v>
      </c>
      <c r="E276" t="s">
        <v>522</v>
      </c>
      <c r="F276" t="s">
        <v>13</v>
      </c>
      <c r="G276" t="s">
        <v>525</v>
      </c>
    </row>
    <row r="277" spans="1:7" x14ac:dyDescent="0.3">
      <c r="A277">
        <v>0</v>
      </c>
      <c r="B277" t="s">
        <v>312</v>
      </c>
      <c r="C277" t="s">
        <v>516</v>
      </c>
      <c r="D277" t="s">
        <v>498</v>
      </c>
      <c r="E277" t="s">
        <v>516</v>
      </c>
      <c r="F277" t="s">
        <v>13</v>
      </c>
      <c r="G277" t="s">
        <v>525</v>
      </c>
    </row>
    <row r="278" spans="1:7" x14ac:dyDescent="0.3">
      <c r="A278">
        <v>0</v>
      </c>
      <c r="B278" t="s">
        <v>312</v>
      </c>
      <c r="C278" t="s">
        <v>517</v>
      </c>
      <c r="D278" t="s">
        <v>498</v>
      </c>
      <c r="E278" t="s">
        <v>517</v>
      </c>
      <c r="F278" t="s">
        <v>13</v>
      </c>
      <c r="G278" t="s">
        <v>525</v>
      </c>
    </row>
    <row r="279" spans="1:7" x14ac:dyDescent="0.3">
      <c r="A279">
        <v>0</v>
      </c>
      <c r="B279" t="s">
        <v>16</v>
      </c>
      <c r="C279" s="2" t="s">
        <v>22</v>
      </c>
      <c r="D279" t="s">
        <v>2</v>
      </c>
      <c r="E279" s="2" t="s">
        <v>22</v>
      </c>
      <c r="F279" t="s">
        <v>13</v>
      </c>
      <c r="G279" t="s">
        <v>525</v>
      </c>
    </row>
    <row r="280" spans="1:7" x14ac:dyDescent="0.3">
      <c r="A280">
        <v>0</v>
      </c>
      <c r="B280" t="s">
        <v>16</v>
      </c>
      <c r="C280" s="2" t="s">
        <v>49</v>
      </c>
      <c r="D280" t="s">
        <v>2</v>
      </c>
      <c r="E280" s="2" t="s">
        <v>49</v>
      </c>
      <c r="F280" t="s">
        <v>13</v>
      </c>
      <c r="G280" t="s">
        <v>525</v>
      </c>
    </row>
    <row r="281" spans="1:7" x14ac:dyDescent="0.3">
      <c r="A281">
        <v>0</v>
      </c>
      <c r="B281" t="s">
        <v>312</v>
      </c>
      <c r="C281" s="2" t="s">
        <v>55</v>
      </c>
      <c r="D281" t="s">
        <v>2</v>
      </c>
      <c r="E281" s="2" t="s">
        <v>55</v>
      </c>
      <c r="F281" t="s">
        <v>13</v>
      </c>
      <c r="G281" t="s">
        <v>525</v>
      </c>
    </row>
    <row r="282" spans="1:7" x14ac:dyDescent="0.3">
      <c r="A282">
        <v>0</v>
      </c>
      <c r="B282" t="s">
        <v>312</v>
      </c>
      <c r="C282" t="s">
        <v>59</v>
      </c>
      <c r="D282" t="s">
        <v>2</v>
      </c>
      <c r="E282" t="s">
        <v>59</v>
      </c>
      <c r="F282" t="s">
        <v>13</v>
      </c>
      <c r="G282" t="s">
        <v>525</v>
      </c>
    </row>
    <row r="283" spans="1:7" x14ac:dyDescent="0.3">
      <c r="A283">
        <v>0</v>
      </c>
      <c r="B283" t="s">
        <v>16</v>
      </c>
      <c r="C283" s="2" t="s">
        <v>61</v>
      </c>
      <c r="D283" t="s">
        <v>2</v>
      </c>
      <c r="E283" s="2" t="s">
        <v>61</v>
      </c>
      <c r="F283" t="s">
        <v>13</v>
      </c>
      <c r="G283" t="s">
        <v>525</v>
      </c>
    </row>
    <row r="284" spans="1:7" x14ac:dyDescent="0.3">
      <c r="A284">
        <v>0</v>
      </c>
      <c r="B284" t="s">
        <v>312</v>
      </c>
      <c r="C284" s="2" t="s">
        <v>67</v>
      </c>
      <c r="D284" t="s">
        <v>2</v>
      </c>
      <c r="E284" s="2" t="s">
        <v>67</v>
      </c>
      <c r="F284" t="s">
        <v>13</v>
      </c>
      <c r="G284" t="s">
        <v>525</v>
      </c>
    </row>
    <row r="285" spans="1:7" x14ac:dyDescent="0.3">
      <c r="A285">
        <v>0</v>
      </c>
      <c r="B285" t="s">
        <v>312</v>
      </c>
      <c r="C285" t="s">
        <v>73</v>
      </c>
      <c r="D285" t="s">
        <v>2</v>
      </c>
      <c r="E285" t="s">
        <v>73</v>
      </c>
      <c r="F285" t="s">
        <v>13</v>
      </c>
      <c r="G285" t="s">
        <v>525</v>
      </c>
    </row>
    <row r="286" spans="1:7" x14ac:dyDescent="0.3">
      <c r="A286">
        <v>0</v>
      </c>
      <c r="B286" t="s">
        <v>312</v>
      </c>
      <c r="C286" t="s">
        <v>79</v>
      </c>
      <c r="D286" t="s">
        <v>2</v>
      </c>
      <c r="E286" t="s">
        <v>79</v>
      </c>
      <c r="F286" t="s">
        <v>13</v>
      </c>
      <c r="G286" t="s">
        <v>525</v>
      </c>
    </row>
    <row r="287" spans="1:7" x14ac:dyDescent="0.3">
      <c r="A287">
        <v>0</v>
      </c>
      <c r="B287" t="s">
        <v>312</v>
      </c>
      <c r="C287" t="s">
        <v>82</v>
      </c>
      <c r="D287" t="s">
        <v>2</v>
      </c>
      <c r="E287" t="s">
        <v>82</v>
      </c>
      <c r="F287" t="s">
        <v>13</v>
      </c>
      <c r="G287" t="s">
        <v>525</v>
      </c>
    </row>
    <row r="288" spans="1:7" x14ac:dyDescent="0.3">
      <c r="A288">
        <v>0</v>
      </c>
      <c r="B288" t="s">
        <v>312</v>
      </c>
      <c r="C288" t="s">
        <v>85</v>
      </c>
      <c r="D288" t="s">
        <v>2</v>
      </c>
      <c r="E288" t="s">
        <v>85</v>
      </c>
      <c r="F288" t="s">
        <v>13</v>
      </c>
      <c r="G288" t="s">
        <v>525</v>
      </c>
    </row>
    <row r="289" spans="1:7" x14ac:dyDescent="0.3">
      <c r="A289">
        <v>0</v>
      </c>
      <c r="B289" t="s">
        <v>312</v>
      </c>
      <c r="C289" t="s">
        <v>88</v>
      </c>
      <c r="D289" t="s">
        <v>2</v>
      </c>
      <c r="E289" t="s">
        <v>88</v>
      </c>
      <c r="F289" t="s">
        <v>13</v>
      </c>
      <c r="G289" t="s">
        <v>525</v>
      </c>
    </row>
    <row r="290" spans="1:7" x14ac:dyDescent="0.3">
      <c r="A290">
        <v>0</v>
      </c>
      <c r="B290" t="s">
        <v>312</v>
      </c>
      <c r="C290" t="s">
        <v>91</v>
      </c>
      <c r="D290" t="s">
        <v>2</v>
      </c>
      <c r="E290" t="s">
        <v>91</v>
      </c>
      <c r="F290" t="s">
        <v>13</v>
      </c>
      <c r="G290" t="s">
        <v>525</v>
      </c>
    </row>
    <row r="291" spans="1:7" x14ac:dyDescent="0.3">
      <c r="A291">
        <v>0</v>
      </c>
      <c r="B291" t="s">
        <v>312</v>
      </c>
      <c r="C291" t="s">
        <v>94</v>
      </c>
      <c r="D291" t="s">
        <v>2</v>
      </c>
      <c r="E291" t="s">
        <v>94</v>
      </c>
      <c r="F291" t="s">
        <v>13</v>
      </c>
      <c r="G291" t="s">
        <v>525</v>
      </c>
    </row>
    <row r="292" spans="1:7" x14ac:dyDescent="0.3">
      <c r="A292">
        <v>0</v>
      </c>
      <c r="B292" t="s">
        <v>312</v>
      </c>
      <c r="C292" t="s">
        <v>97</v>
      </c>
      <c r="D292" t="s">
        <v>2</v>
      </c>
      <c r="E292" t="s">
        <v>97</v>
      </c>
      <c r="F292" t="s">
        <v>13</v>
      </c>
      <c r="G292" t="s">
        <v>525</v>
      </c>
    </row>
    <row r="293" spans="1:7" x14ac:dyDescent="0.3">
      <c r="A293">
        <v>0</v>
      </c>
      <c r="B293" t="s">
        <v>312</v>
      </c>
      <c r="C293" t="s">
        <v>100</v>
      </c>
      <c r="D293" t="s">
        <v>2</v>
      </c>
      <c r="E293" t="s">
        <v>100</v>
      </c>
      <c r="F293" t="s">
        <v>13</v>
      </c>
      <c r="G293" t="s">
        <v>525</v>
      </c>
    </row>
  </sheetData>
  <pageMargins left="0.75" right="0.75" top="1" bottom="1" header="0.5" footer="0.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93"/>
  <sheetViews>
    <sheetView topLeftCell="A35" workbookViewId="0">
      <selection activeCell="E48" sqref="E48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1.03</v>
      </c>
      <c r="B2" t="s">
        <v>16</v>
      </c>
      <c r="C2" t="s">
        <v>659</v>
      </c>
      <c r="D2" t="s">
        <v>2</v>
      </c>
      <c r="E2" t="s">
        <v>61</v>
      </c>
      <c r="F2" s="4" t="s">
        <v>13</v>
      </c>
      <c r="G2" t="s">
        <v>525</v>
      </c>
      <c r="H2" t="s">
        <v>626</v>
      </c>
    </row>
    <row r="3" spans="1:9" x14ac:dyDescent="0.3">
      <c r="A3">
        <v>3.3730158730158736E-3</v>
      </c>
      <c r="B3" t="s">
        <v>57</v>
      </c>
      <c r="C3" t="s">
        <v>660</v>
      </c>
      <c r="D3" t="s">
        <v>2</v>
      </c>
      <c r="E3" s="2" t="s">
        <v>55</v>
      </c>
      <c r="F3" s="4" t="s">
        <v>13</v>
      </c>
      <c r="G3" t="s">
        <v>525</v>
      </c>
      <c r="H3" t="s">
        <v>626</v>
      </c>
    </row>
    <row r="4" spans="1:9" x14ac:dyDescent="0.3">
      <c r="A4">
        <v>1.1111111111111111E-3</v>
      </c>
      <c r="B4" t="s">
        <v>57</v>
      </c>
      <c r="C4" t="s">
        <v>661</v>
      </c>
      <c r="D4" t="s">
        <v>2</v>
      </c>
      <c r="E4" s="2" t="s">
        <v>55</v>
      </c>
      <c r="F4" s="4" t="s">
        <v>13</v>
      </c>
      <c r="G4" t="s">
        <v>525</v>
      </c>
      <c r="H4" t="s">
        <v>626</v>
      </c>
    </row>
    <row r="5" spans="1:9" x14ac:dyDescent="0.3">
      <c r="A5">
        <v>5.541365096733708E-2</v>
      </c>
      <c r="B5" t="s">
        <v>57</v>
      </c>
      <c r="C5" t="s">
        <v>662</v>
      </c>
      <c r="D5" t="s">
        <v>2</v>
      </c>
      <c r="E5" s="2" t="s">
        <v>55</v>
      </c>
      <c r="F5" s="4" t="s">
        <v>13</v>
      </c>
      <c r="G5" t="s">
        <v>525</v>
      </c>
      <c r="H5" t="s">
        <v>626</v>
      </c>
    </row>
    <row r="6" spans="1:9" x14ac:dyDescent="0.3">
      <c r="A6">
        <v>2.1901709401709404E-2</v>
      </c>
      <c r="B6" t="s">
        <v>57</v>
      </c>
      <c r="C6" t="s">
        <v>663</v>
      </c>
      <c r="D6" t="s">
        <v>2</v>
      </c>
      <c r="E6" s="2" t="s">
        <v>246</v>
      </c>
      <c r="F6" t="s">
        <v>13</v>
      </c>
      <c r="G6" t="s">
        <v>525</v>
      </c>
      <c r="H6" t="s">
        <v>626</v>
      </c>
    </row>
    <row r="7" spans="1:9" x14ac:dyDescent="0.3">
      <c r="A7">
        <v>1.3313609467455622E-2</v>
      </c>
      <c r="B7" t="s">
        <v>57</v>
      </c>
      <c r="C7" t="s">
        <v>664</v>
      </c>
      <c r="D7" t="s">
        <v>2</v>
      </c>
      <c r="E7" t="s">
        <v>149</v>
      </c>
      <c r="F7" t="s">
        <v>13</v>
      </c>
      <c r="G7" t="s">
        <v>525</v>
      </c>
      <c r="H7" t="s">
        <v>626</v>
      </c>
    </row>
    <row r="8" spans="1:9" x14ac:dyDescent="0.3">
      <c r="A8">
        <v>0.17710387902695593</v>
      </c>
      <c r="B8" t="s">
        <v>57</v>
      </c>
      <c r="C8" t="s">
        <v>643</v>
      </c>
      <c r="D8" t="s">
        <v>2</v>
      </c>
      <c r="E8" t="s">
        <v>149</v>
      </c>
      <c r="F8" t="s">
        <v>13</v>
      </c>
      <c r="G8" t="s">
        <v>525</v>
      </c>
      <c r="H8" t="s">
        <v>626</v>
      </c>
    </row>
    <row r="9" spans="1:9" x14ac:dyDescent="0.3">
      <c r="A9">
        <v>6.2869822485207101E-4</v>
      </c>
      <c r="B9" t="s">
        <v>57</v>
      </c>
      <c r="C9" t="s">
        <v>665</v>
      </c>
      <c r="D9" t="s">
        <v>2</v>
      </c>
      <c r="E9" t="s">
        <v>149</v>
      </c>
      <c r="F9" t="s">
        <v>13</v>
      </c>
      <c r="G9" t="s">
        <v>525</v>
      </c>
      <c r="H9" t="s">
        <v>626</v>
      </c>
    </row>
    <row r="10" spans="1:9" x14ac:dyDescent="0.3">
      <c r="A10">
        <v>6.4513477975016429E-4</v>
      </c>
      <c r="B10" t="s">
        <v>57</v>
      </c>
      <c r="C10" t="s">
        <v>641</v>
      </c>
      <c r="D10" t="s">
        <v>2</v>
      </c>
      <c r="E10" t="s">
        <v>85</v>
      </c>
      <c r="F10" s="4" t="s">
        <v>13</v>
      </c>
      <c r="G10" t="s">
        <v>525</v>
      </c>
      <c r="H10" t="s">
        <v>626</v>
      </c>
    </row>
    <row r="11" spans="1:9" x14ac:dyDescent="0.3">
      <c r="A11">
        <v>0.604043392504931</v>
      </c>
      <c r="B11" t="s">
        <v>57</v>
      </c>
      <c r="C11" t="s">
        <v>666</v>
      </c>
      <c r="D11" t="s">
        <v>2</v>
      </c>
      <c r="E11" t="s">
        <v>149</v>
      </c>
      <c r="F11" t="s">
        <v>13</v>
      </c>
      <c r="G11" t="s">
        <v>525</v>
      </c>
      <c r="H11" t="s">
        <v>626</v>
      </c>
    </row>
    <row r="12" spans="1:9" x14ac:dyDescent="0.3">
      <c r="A12">
        <v>1.5080539119000657E-2</v>
      </c>
      <c r="B12" t="s">
        <v>57</v>
      </c>
      <c r="C12" t="s">
        <v>667</v>
      </c>
      <c r="D12" t="s">
        <v>2</v>
      </c>
      <c r="E12" s="2" t="s">
        <v>332</v>
      </c>
      <c r="F12" t="s">
        <v>13</v>
      </c>
      <c r="G12" t="s">
        <v>525</v>
      </c>
      <c r="H12" t="s">
        <v>626</v>
      </c>
    </row>
    <row r="13" spans="1:9" x14ac:dyDescent="0.3">
      <c r="A13">
        <v>3.1188362919132145E-5</v>
      </c>
      <c r="B13" t="s">
        <v>57</v>
      </c>
      <c r="C13" t="s">
        <v>668</v>
      </c>
      <c r="D13" t="s">
        <v>2</v>
      </c>
      <c r="E13" t="s">
        <v>149</v>
      </c>
      <c r="F13" t="s">
        <v>13</v>
      </c>
      <c r="G13" t="s">
        <v>525</v>
      </c>
      <c r="H13" t="s">
        <v>626</v>
      </c>
    </row>
    <row r="14" spans="1:9" x14ac:dyDescent="0.3">
      <c r="A14">
        <v>1.1505588428665352</v>
      </c>
      <c r="B14" t="s">
        <v>57</v>
      </c>
      <c r="C14" t="s">
        <v>669</v>
      </c>
      <c r="D14" t="s">
        <v>2</v>
      </c>
      <c r="E14" t="s">
        <v>149</v>
      </c>
      <c r="F14" t="s">
        <v>13</v>
      </c>
      <c r="G14" t="s">
        <v>525</v>
      </c>
      <c r="H14" t="s">
        <v>626</v>
      </c>
    </row>
    <row r="15" spans="1:9" x14ac:dyDescent="0.3">
      <c r="A15">
        <v>2.9092702169625246E-3</v>
      </c>
      <c r="B15" t="s">
        <v>57</v>
      </c>
      <c r="C15" t="s">
        <v>670</v>
      </c>
      <c r="D15" t="s">
        <v>2</v>
      </c>
      <c r="E15" t="s">
        <v>59</v>
      </c>
      <c r="F15" s="4" t="s">
        <v>13</v>
      </c>
      <c r="G15" t="s">
        <v>525</v>
      </c>
      <c r="H15" t="s">
        <v>626</v>
      </c>
    </row>
    <row r="16" spans="1:9" x14ac:dyDescent="0.3">
      <c r="A16">
        <f>170.940170940171*2.31803430690774E-09</f>
        <v>3.9624518066798988E-7</v>
      </c>
      <c r="B16" t="s">
        <v>314</v>
      </c>
      <c r="C16" t="s">
        <v>640</v>
      </c>
      <c r="D16" t="s">
        <v>2</v>
      </c>
      <c r="E16" s="2" t="s">
        <v>341</v>
      </c>
      <c r="F16" t="s">
        <v>13</v>
      </c>
      <c r="G16" t="s">
        <v>525</v>
      </c>
      <c r="H16" t="s">
        <v>626</v>
      </c>
    </row>
    <row r="17" spans="1:8" x14ac:dyDescent="0.3">
      <c r="A17">
        <v>17.746571249998329</v>
      </c>
      <c r="B17" t="s">
        <v>542</v>
      </c>
      <c r="C17" t="s">
        <v>648</v>
      </c>
      <c r="D17" t="s">
        <v>2</v>
      </c>
      <c r="E17" t="s">
        <v>111</v>
      </c>
      <c r="F17" t="s">
        <v>13</v>
      </c>
      <c r="G17" t="s">
        <v>525</v>
      </c>
      <c r="H17" t="s">
        <v>626</v>
      </c>
    </row>
    <row r="18" spans="1:8" x14ac:dyDescent="0.3">
      <c r="A18">
        <f>0.0608152531229454/48</f>
        <v>1.2669844400613624E-3</v>
      </c>
      <c r="B18" t="s">
        <v>57</v>
      </c>
      <c r="C18" t="s">
        <v>671</v>
      </c>
      <c r="D18" t="s">
        <v>2</v>
      </c>
      <c r="E18" t="s">
        <v>398</v>
      </c>
      <c r="F18" t="s">
        <v>13</v>
      </c>
      <c r="G18" t="s">
        <v>525</v>
      </c>
      <c r="H18" t="s">
        <v>626</v>
      </c>
    </row>
    <row r="19" spans="1:8" x14ac:dyDescent="0.3">
      <c r="A19">
        <f>$A$2*'[1]Wafer prod EU'!I16</f>
        <v>1.1451071684727103E-6</v>
      </c>
      <c r="B19" t="s">
        <v>314</v>
      </c>
      <c r="C19" t="s">
        <v>620</v>
      </c>
      <c r="D19" t="s">
        <v>2</v>
      </c>
      <c r="E19" s="2" t="s">
        <v>455</v>
      </c>
      <c r="F19" t="s">
        <v>13</v>
      </c>
      <c r="G19" t="s">
        <v>525</v>
      </c>
      <c r="H19" t="s">
        <v>621</v>
      </c>
    </row>
    <row r="20" spans="1:8" x14ac:dyDescent="0.3">
      <c r="A20">
        <f>$A$2*'[1]Wafer prod EU'!I17</f>
        <v>7.4657817565464523E-6</v>
      </c>
      <c r="B20" s="2" t="s">
        <v>314</v>
      </c>
      <c r="C20" t="s">
        <v>622</v>
      </c>
      <c r="D20" t="s">
        <v>2</v>
      </c>
      <c r="E20" s="2" t="s">
        <v>409</v>
      </c>
      <c r="F20" t="s">
        <v>13</v>
      </c>
      <c r="G20" t="s">
        <v>525</v>
      </c>
      <c r="H20" t="s">
        <v>621</v>
      </c>
    </row>
    <row r="21" spans="1:8" x14ac:dyDescent="0.3">
      <c r="A21">
        <f>$A$2*'[1]Wafer prod EU'!I18</f>
        <v>4.6907642095502955E-8</v>
      </c>
      <c r="B21" s="2" t="s">
        <v>314</v>
      </c>
      <c r="C21" t="s">
        <v>623</v>
      </c>
      <c r="D21" t="s">
        <v>2</v>
      </c>
      <c r="E21" s="2" t="s">
        <v>443</v>
      </c>
      <c r="F21" t="s">
        <v>13</v>
      </c>
      <c r="G21" t="s">
        <v>525</v>
      </c>
      <c r="H21" t="s">
        <v>621</v>
      </c>
    </row>
    <row r="22" spans="1:8" x14ac:dyDescent="0.3">
      <c r="A22">
        <v>2.3298816568047302E-3</v>
      </c>
      <c r="B22" s="2" t="s">
        <v>319</v>
      </c>
      <c r="C22" t="s">
        <v>672</v>
      </c>
      <c r="D22" t="s">
        <v>2</v>
      </c>
      <c r="E22" s="2" t="s">
        <v>375</v>
      </c>
      <c r="F22" t="s">
        <v>13</v>
      </c>
      <c r="G22" t="s">
        <v>525</v>
      </c>
      <c r="H22" t="s">
        <v>626</v>
      </c>
    </row>
    <row r="23" spans="1:8" x14ac:dyDescent="0.3">
      <c r="A23">
        <v>1.72172912557528E-4</v>
      </c>
      <c r="B23" s="2" t="s">
        <v>319</v>
      </c>
      <c r="C23" t="s">
        <v>673</v>
      </c>
      <c r="D23" t="s">
        <v>2</v>
      </c>
      <c r="E23" s="2" t="s">
        <v>404</v>
      </c>
      <c r="F23" t="s">
        <v>13</v>
      </c>
      <c r="G23" t="s">
        <v>525</v>
      </c>
      <c r="H23" t="s">
        <v>626</v>
      </c>
    </row>
    <row r="24" spans="1:8" x14ac:dyDescent="0.3">
      <c r="A24">
        <v>3.2786920226533085E-7</v>
      </c>
      <c r="B24" t="s">
        <v>314</v>
      </c>
      <c r="C24" t="s">
        <v>654</v>
      </c>
      <c r="D24" t="s">
        <v>2</v>
      </c>
      <c r="E24" s="2" t="s">
        <v>449</v>
      </c>
      <c r="F24" t="s">
        <v>13</v>
      </c>
      <c r="G24" t="s">
        <v>525</v>
      </c>
      <c r="H24" t="s">
        <v>655</v>
      </c>
    </row>
    <row r="25" spans="1:8" x14ac:dyDescent="0.3">
      <c r="A25">
        <v>1.8032806124593192E-6</v>
      </c>
      <c r="B25" t="s">
        <v>314</v>
      </c>
      <c r="C25" t="s">
        <v>656</v>
      </c>
      <c r="D25" t="s">
        <v>2</v>
      </c>
      <c r="E25" s="2" t="s">
        <v>487</v>
      </c>
      <c r="F25" t="s">
        <v>13</v>
      </c>
      <c r="G25" t="s">
        <v>525</v>
      </c>
      <c r="H25" t="s">
        <v>655</v>
      </c>
    </row>
    <row r="26" spans="1:8" x14ac:dyDescent="0.3">
      <c r="A26">
        <v>8.5245992588985998E-7</v>
      </c>
      <c r="B26" t="s">
        <v>314</v>
      </c>
      <c r="C26" t="s">
        <v>495</v>
      </c>
      <c r="D26" t="s">
        <v>494</v>
      </c>
      <c r="E26" t="s">
        <v>495</v>
      </c>
      <c r="F26" t="s">
        <v>13</v>
      </c>
      <c r="G26" t="s">
        <v>525</v>
      </c>
      <c r="H26" t="s">
        <v>655</v>
      </c>
    </row>
    <row r="27" spans="1:8" x14ac:dyDescent="0.3">
      <c r="A27">
        <v>3.4098397035594399E-6</v>
      </c>
      <c r="B27" t="s">
        <v>314</v>
      </c>
      <c r="C27" t="s">
        <v>496</v>
      </c>
      <c r="D27" t="s">
        <v>494</v>
      </c>
      <c r="E27" s="2" t="s">
        <v>496</v>
      </c>
      <c r="F27" t="s">
        <v>13</v>
      </c>
      <c r="G27" t="s">
        <v>525</v>
      </c>
      <c r="H27" t="s">
        <v>655</v>
      </c>
    </row>
    <row r="28" spans="1:8" x14ac:dyDescent="0.3">
      <c r="A28">
        <v>2.3442647961971142E-6</v>
      </c>
      <c r="B28" t="s">
        <v>314</v>
      </c>
      <c r="C28" t="s">
        <v>497</v>
      </c>
      <c r="D28" t="s">
        <v>494</v>
      </c>
      <c r="E28" s="2" t="s">
        <v>497</v>
      </c>
      <c r="F28" t="s">
        <v>13</v>
      </c>
      <c r="G28" t="s">
        <v>525</v>
      </c>
      <c r="H28" t="s">
        <v>655</v>
      </c>
    </row>
    <row r="29" spans="1:8" x14ac:dyDescent="0.3">
      <c r="A29">
        <v>2.0686005676624811E-7</v>
      </c>
      <c r="B29" t="s">
        <v>507</v>
      </c>
      <c r="C29" t="s">
        <v>506</v>
      </c>
      <c r="D29" t="s">
        <v>498</v>
      </c>
      <c r="E29" s="2" t="s">
        <v>506</v>
      </c>
      <c r="F29" t="s">
        <v>13</v>
      </c>
      <c r="G29" t="s">
        <v>525</v>
      </c>
      <c r="H29" t="s">
        <v>655</v>
      </c>
    </row>
    <row r="30" spans="1:8" x14ac:dyDescent="0.3">
      <c r="A30">
        <v>7.725180802103879E-6</v>
      </c>
      <c r="B30" t="s">
        <v>57</v>
      </c>
      <c r="C30" t="s">
        <v>674</v>
      </c>
      <c r="D30" t="s">
        <v>498</v>
      </c>
      <c r="E30" t="s">
        <v>522</v>
      </c>
      <c r="F30" t="s">
        <v>13</v>
      </c>
      <c r="G30" t="s">
        <v>525</v>
      </c>
      <c r="H30" t="s">
        <v>626</v>
      </c>
    </row>
    <row r="31" spans="1:8" x14ac:dyDescent="0.3">
      <c r="A31">
        <v>1.3806706114398421E-4</v>
      </c>
      <c r="B31" t="s">
        <v>57</v>
      </c>
      <c r="C31" t="s">
        <v>85</v>
      </c>
      <c r="D31" t="s">
        <v>498</v>
      </c>
      <c r="E31" s="2" t="s">
        <v>516</v>
      </c>
      <c r="F31" t="s">
        <v>13</v>
      </c>
      <c r="G31" t="s">
        <v>525</v>
      </c>
      <c r="H31" t="s">
        <v>626</v>
      </c>
    </row>
    <row r="32" spans="1:8" x14ac:dyDescent="0.3">
      <c r="A32">
        <v>7.725180802103879E-6</v>
      </c>
      <c r="B32" t="s">
        <v>57</v>
      </c>
      <c r="C32" t="s">
        <v>675</v>
      </c>
      <c r="D32" t="s">
        <v>498</v>
      </c>
      <c r="E32" t="s">
        <v>520</v>
      </c>
      <c r="F32" t="s">
        <v>13</v>
      </c>
      <c r="G32" t="s">
        <v>525</v>
      </c>
      <c r="H32" t="s">
        <v>626</v>
      </c>
    </row>
    <row r="33" spans="1:8" x14ac:dyDescent="0.3">
      <c r="A33">
        <v>3.1681459566074953E-8</v>
      </c>
      <c r="B33" t="s">
        <v>57</v>
      </c>
      <c r="C33" t="s">
        <v>676</v>
      </c>
      <c r="D33" t="s">
        <v>498</v>
      </c>
      <c r="E33" t="s">
        <v>516</v>
      </c>
      <c r="F33" t="s">
        <v>13</v>
      </c>
      <c r="G33" t="s">
        <v>525</v>
      </c>
      <c r="H33" t="s">
        <v>626</v>
      </c>
    </row>
    <row r="34" spans="1:8" x14ac:dyDescent="0.3">
      <c r="A34">
        <v>7.725180802103879E-6</v>
      </c>
      <c r="B34" t="s">
        <v>57</v>
      </c>
      <c r="C34" t="s">
        <v>677</v>
      </c>
      <c r="D34" t="s">
        <v>498</v>
      </c>
      <c r="E34" t="s">
        <v>516</v>
      </c>
      <c r="F34" t="s">
        <v>13</v>
      </c>
      <c r="G34" t="s">
        <v>525</v>
      </c>
      <c r="H34" t="s">
        <v>626</v>
      </c>
    </row>
    <row r="35" spans="1:8" x14ac:dyDescent="0.3">
      <c r="A35">
        <v>7.725180802103879E-6</v>
      </c>
      <c r="B35" t="s">
        <v>57</v>
      </c>
      <c r="C35" t="s">
        <v>678</v>
      </c>
      <c r="D35" t="s">
        <v>498</v>
      </c>
      <c r="E35" t="s">
        <v>516</v>
      </c>
      <c r="F35" t="s">
        <v>13</v>
      </c>
      <c r="G35" t="s">
        <v>525</v>
      </c>
      <c r="H35" t="s">
        <v>626</v>
      </c>
    </row>
    <row r="36" spans="1:8" x14ac:dyDescent="0.3">
      <c r="A36">
        <v>3.7310979618671928E-5</v>
      </c>
      <c r="B36" t="s">
        <v>57</v>
      </c>
      <c r="C36" t="s">
        <v>679</v>
      </c>
      <c r="D36" t="s">
        <v>498</v>
      </c>
      <c r="E36" t="s">
        <v>512</v>
      </c>
      <c r="F36" t="s">
        <v>13</v>
      </c>
      <c r="G36" t="s">
        <v>525</v>
      </c>
      <c r="H36" t="s">
        <v>626</v>
      </c>
    </row>
    <row r="37" spans="1:8" x14ac:dyDescent="0.3">
      <c r="A37">
        <v>0.1668310322156476</v>
      </c>
      <c r="B37" t="s">
        <v>57</v>
      </c>
      <c r="C37" t="s">
        <v>680</v>
      </c>
      <c r="D37" t="s">
        <v>498</v>
      </c>
      <c r="E37" t="s">
        <v>502</v>
      </c>
      <c r="F37" t="s">
        <v>13</v>
      </c>
      <c r="G37" t="s">
        <v>525</v>
      </c>
      <c r="H37" t="s">
        <v>626</v>
      </c>
    </row>
    <row r="38" spans="1:8" x14ac:dyDescent="0.3">
      <c r="A38">
        <v>4.602235371466141E-5</v>
      </c>
      <c r="B38" t="s">
        <v>57</v>
      </c>
      <c r="C38" t="s">
        <v>681</v>
      </c>
      <c r="D38" t="s">
        <v>498</v>
      </c>
      <c r="E38" t="s">
        <v>516</v>
      </c>
      <c r="F38" t="s">
        <v>13</v>
      </c>
      <c r="G38" t="s">
        <v>525</v>
      </c>
      <c r="H38" t="s">
        <v>626</v>
      </c>
    </row>
    <row r="39" spans="1:8" x14ac:dyDescent="0.3">
      <c r="A39">
        <v>1.1012491781722551E-2</v>
      </c>
      <c r="B39" t="s">
        <v>57</v>
      </c>
      <c r="C39" t="s">
        <v>112</v>
      </c>
      <c r="D39" t="s">
        <v>498</v>
      </c>
      <c r="E39" t="s">
        <v>516</v>
      </c>
      <c r="F39" t="s">
        <v>13</v>
      </c>
      <c r="G39" t="s">
        <v>525</v>
      </c>
      <c r="H39" t="s">
        <v>626</v>
      </c>
    </row>
    <row r="40" spans="1:8" x14ac:dyDescent="0.3">
      <c r="A40">
        <v>1.4710716633793556E-2</v>
      </c>
      <c r="B40" t="s">
        <v>57</v>
      </c>
      <c r="C40" t="s">
        <v>682</v>
      </c>
      <c r="D40" t="s">
        <v>498</v>
      </c>
      <c r="E40" t="s">
        <v>516</v>
      </c>
      <c r="F40" t="s">
        <v>13</v>
      </c>
      <c r="G40" t="s">
        <v>525</v>
      </c>
      <c r="H40" t="s">
        <v>626</v>
      </c>
    </row>
    <row r="41" spans="1:8" x14ac:dyDescent="0.3">
      <c r="A41">
        <v>6.3280736357659438E-4</v>
      </c>
      <c r="B41" t="s">
        <v>57</v>
      </c>
      <c r="C41" t="s">
        <v>683</v>
      </c>
      <c r="D41" t="s">
        <v>498</v>
      </c>
      <c r="E41" t="s">
        <v>516</v>
      </c>
      <c r="F41" t="s">
        <v>13</v>
      </c>
      <c r="G41" t="s">
        <v>525</v>
      </c>
      <c r="H41" t="s">
        <v>626</v>
      </c>
    </row>
    <row r="42" spans="1:8" x14ac:dyDescent="0.3">
      <c r="A42">
        <v>3.1188362919132145E-5</v>
      </c>
      <c r="B42" t="s">
        <v>57</v>
      </c>
      <c r="C42" t="s">
        <v>684</v>
      </c>
      <c r="D42" t="s">
        <v>498</v>
      </c>
      <c r="E42" t="s">
        <v>508</v>
      </c>
      <c r="F42" t="s">
        <v>13</v>
      </c>
      <c r="G42" t="s">
        <v>525</v>
      </c>
      <c r="H42" t="s">
        <v>626</v>
      </c>
    </row>
    <row r="43" spans="1:8" x14ac:dyDescent="0.3">
      <c r="A43">
        <v>3.3284023668639053E-4</v>
      </c>
      <c r="B43" t="s">
        <v>57</v>
      </c>
      <c r="C43" t="s">
        <v>676</v>
      </c>
      <c r="D43" t="s">
        <v>498</v>
      </c>
      <c r="E43" t="s">
        <v>516</v>
      </c>
      <c r="F43" t="s">
        <v>13</v>
      </c>
      <c r="G43" t="s">
        <v>525</v>
      </c>
      <c r="H43" t="s">
        <v>626</v>
      </c>
    </row>
    <row r="44" spans="1:8" x14ac:dyDescent="0.3">
      <c r="A44">
        <v>2.6298487836949372E-3</v>
      </c>
      <c r="B44" t="s">
        <v>57</v>
      </c>
      <c r="C44" t="s">
        <v>676</v>
      </c>
      <c r="D44" t="s">
        <v>498</v>
      </c>
      <c r="E44" t="s">
        <v>516</v>
      </c>
      <c r="F44" t="s">
        <v>13</v>
      </c>
      <c r="G44" t="s">
        <v>525</v>
      </c>
      <c r="H44" t="s">
        <v>626</v>
      </c>
    </row>
    <row r="45" spans="1:8" x14ac:dyDescent="0.3">
      <c r="A45">
        <v>1.2615055884286653E-2</v>
      </c>
      <c r="B45" t="s">
        <v>57</v>
      </c>
      <c r="C45" t="s">
        <v>657</v>
      </c>
      <c r="D45" t="s">
        <v>498</v>
      </c>
      <c r="E45" t="s">
        <v>513</v>
      </c>
      <c r="F45" t="s">
        <v>13</v>
      </c>
      <c r="G45" t="s">
        <v>525</v>
      </c>
      <c r="H45" t="s">
        <v>626</v>
      </c>
    </row>
    <row r="46" spans="1:8" x14ac:dyDescent="0.3">
      <c r="A46">
        <v>3.4117357001972382E-3</v>
      </c>
      <c r="B46" t="s">
        <v>57</v>
      </c>
      <c r="C46" t="s">
        <v>535</v>
      </c>
      <c r="D46" t="s">
        <v>498</v>
      </c>
      <c r="E46" t="s">
        <v>502</v>
      </c>
      <c r="F46" t="s">
        <v>13</v>
      </c>
      <c r="G46" t="s">
        <v>525</v>
      </c>
      <c r="H46" t="s">
        <v>658</v>
      </c>
    </row>
    <row r="47" spans="1:8" x14ac:dyDescent="0.3">
      <c r="A47">
        <v>3.0407626561472713E-7</v>
      </c>
      <c r="B47" t="s">
        <v>57</v>
      </c>
      <c r="C47" t="s">
        <v>500</v>
      </c>
      <c r="D47" t="s">
        <v>498</v>
      </c>
      <c r="E47" t="s">
        <v>500</v>
      </c>
      <c r="F47" t="s">
        <v>13</v>
      </c>
      <c r="G47" t="s">
        <v>525</v>
      </c>
      <c r="H47" t="s">
        <v>658</v>
      </c>
    </row>
    <row r="48" spans="1:8" x14ac:dyDescent="0.3">
      <c r="A48">
        <v>6.081525312294543E-9</v>
      </c>
      <c r="B48" t="s">
        <v>57</v>
      </c>
      <c r="C48" t="s">
        <v>511</v>
      </c>
      <c r="D48" t="s">
        <v>498</v>
      </c>
      <c r="E48" t="s">
        <v>511</v>
      </c>
      <c r="F48" t="s">
        <v>13</v>
      </c>
      <c r="G48" t="s">
        <v>525</v>
      </c>
      <c r="H48" t="s">
        <v>658</v>
      </c>
    </row>
    <row r="49" spans="1:7" x14ac:dyDescent="0.3">
      <c r="A49">
        <v>0</v>
      </c>
      <c r="B49" t="s">
        <v>312</v>
      </c>
      <c r="C49" t="s">
        <v>483</v>
      </c>
      <c r="D49" t="s">
        <v>2</v>
      </c>
      <c r="E49" t="s">
        <v>483</v>
      </c>
      <c r="F49" t="s">
        <v>13</v>
      </c>
      <c r="G49" t="s">
        <v>525</v>
      </c>
    </row>
    <row r="50" spans="1:7" x14ac:dyDescent="0.3">
      <c r="A50">
        <v>0</v>
      </c>
      <c r="B50" t="s">
        <v>105</v>
      </c>
      <c r="C50" t="s">
        <v>125</v>
      </c>
      <c r="D50" t="s">
        <v>2</v>
      </c>
      <c r="E50" t="s">
        <v>125</v>
      </c>
      <c r="F50" t="s">
        <v>13</v>
      </c>
      <c r="G50" t="s">
        <v>525</v>
      </c>
    </row>
    <row r="51" spans="1:7" x14ac:dyDescent="0.3">
      <c r="A51">
        <v>0</v>
      </c>
      <c r="B51" t="s">
        <v>319</v>
      </c>
      <c r="C51" t="s">
        <v>461</v>
      </c>
      <c r="D51" t="s">
        <v>2</v>
      </c>
      <c r="E51" t="s">
        <v>461</v>
      </c>
      <c r="F51" t="s">
        <v>13</v>
      </c>
      <c r="G51" t="s">
        <v>525</v>
      </c>
    </row>
    <row r="52" spans="1:7" x14ac:dyDescent="0.3">
      <c r="A52">
        <v>0</v>
      </c>
      <c r="B52" t="s">
        <v>314</v>
      </c>
      <c r="C52" t="s">
        <v>395</v>
      </c>
      <c r="D52" t="s">
        <v>2</v>
      </c>
      <c r="E52" t="s">
        <v>395</v>
      </c>
      <c r="F52" t="s">
        <v>13</v>
      </c>
      <c r="G52" t="s">
        <v>525</v>
      </c>
    </row>
    <row r="53" spans="1:7" x14ac:dyDescent="0.3">
      <c r="A53">
        <v>0</v>
      </c>
      <c r="B53" t="s">
        <v>312</v>
      </c>
      <c r="C53" t="s">
        <v>399</v>
      </c>
      <c r="D53" t="s">
        <v>2</v>
      </c>
      <c r="E53" t="s">
        <v>399</v>
      </c>
      <c r="F53" t="s">
        <v>13</v>
      </c>
      <c r="G53" t="s">
        <v>525</v>
      </c>
    </row>
    <row r="54" spans="1:7" x14ac:dyDescent="0.3">
      <c r="A54">
        <v>0</v>
      </c>
      <c r="B54" t="s">
        <v>314</v>
      </c>
      <c r="C54" t="s">
        <v>432</v>
      </c>
      <c r="D54" t="s">
        <v>2</v>
      </c>
      <c r="E54" t="s">
        <v>432</v>
      </c>
      <c r="F54" t="s">
        <v>13</v>
      </c>
      <c r="G54" t="s">
        <v>525</v>
      </c>
    </row>
    <row r="55" spans="1:7" x14ac:dyDescent="0.3">
      <c r="A55">
        <v>0</v>
      </c>
      <c r="B55" t="s">
        <v>312</v>
      </c>
      <c r="C55" t="s">
        <v>325</v>
      </c>
      <c r="D55" t="s">
        <v>2</v>
      </c>
      <c r="E55" t="s">
        <v>325</v>
      </c>
      <c r="F55" t="s">
        <v>13</v>
      </c>
      <c r="G55" t="s">
        <v>525</v>
      </c>
    </row>
    <row r="56" spans="1:7" x14ac:dyDescent="0.3">
      <c r="A56">
        <v>0</v>
      </c>
      <c r="B56" t="s">
        <v>314</v>
      </c>
      <c r="C56" t="s">
        <v>372</v>
      </c>
      <c r="D56" t="s">
        <v>2</v>
      </c>
      <c r="E56" t="s">
        <v>372</v>
      </c>
      <c r="F56" t="s">
        <v>13</v>
      </c>
      <c r="G56" t="s">
        <v>525</v>
      </c>
    </row>
    <row r="57" spans="1:7" x14ac:dyDescent="0.3">
      <c r="A57">
        <v>0</v>
      </c>
      <c r="B57" t="s">
        <v>314</v>
      </c>
      <c r="C57" t="s">
        <v>260</v>
      </c>
      <c r="D57" t="s">
        <v>2</v>
      </c>
      <c r="E57" t="s">
        <v>260</v>
      </c>
      <c r="F57" t="s">
        <v>13</v>
      </c>
      <c r="G57" t="s">
        <v>525</v>
      </c>
    </row>
    <row r="58" spans="1:7" x14ac:dyDescent="0.3">
      <c r="A58">
        <v>0</v>
      </c>
      <c r="B58" t="s">
        <v>312</v>
      </c>
      <c r="C58" t="s">
        <v>330</v>
      </c>
      <c r="D58" t="s">
        <v>2</v>
      </c>
      <c r="E58" t="s">
        <v>330</v>
      </c>
      <c r="F58" t="s">
        <v>13</v>
      </c>
      <c r="G58" t="s">
        <v>525</v>
      </c>
    </row>
    <row r="59" spans="1:7" x14ac:dyDescent="0.3">
      <c r="A59">
        <v>0</v>
      </c>
      <c r="B59" t="s">
        <v>105</v>
      </c>
      <c r="C59" t="s">
        <v>401</v>
      </c>
      <c r="D59" t="s">
        <v>2</v>
      </c>
      <c r="E59" t="s">
        <v>401</v>
      </c>
      <c r="F59" t="s">
        <v>13</v>
      </c>
      <c r="G59" t="s">
        <v>525</v>
      </c>
    </row>
    <row r="60" spans="1:7" x14ac:dyDescent="0.3">
      <c r="A60">
        <v>0</v>
      </c>
      <c r="B60" t="s">
        <v>312</v>
      </c>
      <c r="C60" t="s">
        <v>416</v>
      </c>
      <c r="D60" t="s">
        <v>2</v>
      </c>
      <c r="E60" t="s">
        <v>416</v>
      </c>
      <c r="F60" t="s">
        <v>13</v>
      </c>
      <c r="G60" t="s">
        <v>525</v>
      </c>
    </row>
    <row r="61" spans="1:7" x14ac:dyDescent="0.3">
      <c r="A61">
        <v>0</v>
      </c>
      <c r="B61" t="s">
        <v>319</v>
      </c>
      <c r="C61" t="s">
        <v>375</v>
      </c>
      <c r="D61" t="s">
        <v>2</v>
      </c>
      <c r="E61" t="s">
        <v>375</v>
      </c>
      <c r="F61" t="s">
        <v>13</v>
      </c>
      <c r="G61" t="s">
        <v>525</v>
      </c>
    </row>
    <row r="62" spans="1:7" x14ac:dyDescent="0.3">
      <c r="A62">
        <v>0</v>
      </c>
      <c r="B62" t="s">
        <v>312</v>
      </c>
      <c r="C62" t="s">
        <v>333</v>
      </c>
      <c r="D62" t="s">
        <v>2</v>
      </c>
      <c r="E62" t="s">
        <v>333</v>
      </c>
      <c r="F62" t="s">
        <v>13</v>
      </c>
      <c r="G62" t="s">
        <v>525</v>
      </c>
    </row>
    <row r="63" spans="1:7" x14ac:dyDescent="0.3">
      <c r="A63">
        <v>0</v>
      </c>
      <c r="B63" t="s">
        <v>57</v>
      </c>
      <c r="C63" t="s">
        <v>118</v>
      </c>
      <c r="D63" t="s">
        <v>2</v>
      </c>
      <c r="E63" t="s">
        <v>118</v>
      </c>
      <c r="F63" t="s">
        <v>13</v>
      </c>
      <c r="G63" t="s">
        <v>525</v>
      </c>
    </row>
    <row r="64" spans="1:7" x14ac:dyDescent="0.3">
      <c r="A64">
        <v>0</v>
      </c>
      <c r="B64" t="s">
        <v>312</v>
      </c>
      <c r="C64" t="s">
        <v>406</v>
      </c>
      <c r="D64" t="s">
        <v>2</v>
      </c>
      <c r="E64" t="s">
        <v>406</v>
      </c>
      <c r="F64" t="s">
        <v>13</v>
      </c>
      <c r="G64" t="s">
        <v>525</v>
      </c>
    </row>
    <row r="65" spans="1:7" x14ac:dyDescent="0.3">
      <c r="A65">
        <v>0</v>
      </c>
      <c r="B65" t="s">
        <v>312</v>
      </c>
      <c r="C65" t="s">
        <v>315</v>
      </c>
      <c r="D65" t="s">
        <v>2</v>
      </c>
      <c r="E65" t="s">
        <v>315</v>
      </c>
      <c r="F65" t="s">
        <v>13</v>
      </c>
      <c r="G65" t="s">
        <v>525</v>
      </c>
    </row>
    <row r="66" spans="1:7" x14ac:dyDescent="0.3">
      <c r="A66">
        <v>0</v>
      </c>
      <c r="B66" t="s">
        <v>312</v>
      </c>
      <c r="C66" t="s">
        <v>358</v>
      </c>
      <c r="D66" t="s">
        <v>2</v>
      </c>
      <c r="E66" t="s">
        <v>358</v>
      </c>
      <c r="F66" t="s">
        <v>13</v>
      </c>
      <c r="G66" t="s">
        <v>525</v>
      </c>
    </row>
    <row r="67" spans="1:7" x14ac:dyDescent="0.3">
      <c r="A67">
        <v>0</v>
      </c>
      <c r="B67" t="s">
        <v>314</v>
      </c>
      <c r="C67" t="s">
        <v>444</v>
      </c>
      <c r="D67" t="s">
        <v>2</v>
      </c>
      <c r="E67" t="s">
        <v>444</v>
      </c>
      <c r="F67" t="s">
        <v>13</v>
      </c>
      <c r="G67" t="s">
        <v>525</v>
      </c>
    </row>
    <row r="68" spans="1:7" x14ac:dyDescent="0.3">
      <c r="A68">
        <v>0</v>
      </c>
      <c r="B68" t="s">
        <v>312</v>
      </c>
      <c r="C68" t="s">
        <v>439</v>
      </c>
      <c r="D68" t="s">
        <v>2</v>
      </c>
      <c r="E68" t="s">
        <v>439</v>
      </c>
      <c r="F68" t="s">
        <v>13</v>
      </c>
      <c r="G68" t="s">
        <v>525</v>
      </c>
    </row>
    <row r="69" spans="1:7" x14ac:dyDescent="0.3">
      <c r="A69">
        <v>0</v>
      </c>
      <c r="B69" t="s">
        <v>312</v>
      </c>
      <c r="C69" t="s">
        <v>381</v>
      </c>
      <c r="D69" t="s">
        <v>2</v>
      </c>
      <c r="E69" t="s">
        <v>381</v>
      </c>
      <c r="F69" t="s">
        <v>13</v>
      </c>
      <c r="G69" t="s">
        <v>525</v>
      </c>
    </row>
    <row r="70" spans="1:7" x14ac:dyDescent="0.3">
      <c r="A70">
        <v>0</v>
      </c>
      <c r="B70" t="s">
        <v>312</v>
      </c>
      <c r="C70" t="s">
        <v>418</v>
      </c>
      <c r="D70" t="s">
        <v>2</v>
      </c>
      <c r="E70" t="s">
        <v>418</v>
      </c>
      <c r="F70" t="s">
        <v>13</v>
      </c>
      <c r="G70" t="s">
        <v>525</v>
      </c>
    </row>
    <row r="71" spans="1:7" x14ac:dyDescent="0.3">
      <c r="A71">
        <v>0</v>
      </c>
      <c r="B71" t="s">
        <v>314</v>
      </c>
      <c r="C71" t="s">
        <v>465</v>
      </c>
      <c r="D71" t="s">
        <v>2</v>
      </c>
      <c r="E71" t="s">
        <v>465</v>
      </c>
      <c r="F71" t="s">
        <v>13</v>
      </c>
      <c r="G71" t="s">
        <v>525</v>
      </c>
    </row>
    <row r="72" spans="1:7" x14ac:dyDescent="0.3">
      <c r="A72">
        <v>0</v>
      </c>
      <c r="B72" t="s">
        <v>105</v>
      </c>
      <c r="C72" t="s">
        <v>103</v>
      </c>
      <c r="D72" t="s">
        <v>2</v>
      </c>
      <c r="E72" t="s">
        <v>103</v>
      </c>
      <c r="F72" t="s">
        <v>13</v>
      </c>
      <c r="G72" t="s">
        <v>525</v>
      </c>
    </row>
    <row r="73" spans="1:7" x14ac:dyDescent="0.3">
      <c r="A73">
        <v>0</v>
      </c>
      <c r="B73" t="s">
        <v>312</v>
      </c>
      <c r="C73" t="s">
        <v>320</v>
      </c>
      <c r="D73" t="s">
        <v>2</v>
      </c>
      <c r="E73" t="s">
        <v>320</v>
      </c>
      <c r="F73" t="s">
        <v>13</v>
      </c>
      <c r="G73" t="s">
        <v>525</v>
      </c>
    </row>
    <row r="74" spans="1:7" x14ac:dyDescent="0.3">
      <c r="A74">
        <v>0</v>
      </c>
      <c r="B74" t="s">
        <v>312</v>
      </c>
      <c r="C74" t="s">
        <v>334</v>
      </c>
      <c r="D74" t="s">
        <v>2</v>
      </c>
      <c r="E74" t="s">
        <v>334</v>
      </c>
      <c r="F74" t="s">
        <v>13</v>
      </c>
      <c r="G74" t="s">
        <v>525</v>
      </c>
    </row>
    <row r="75" spans="1:7" x14ac:dyDescent="0.3">
      <c r="A75">
        <v>0</v>
      </c>
      <c r="B75" t="s">
        <v>312</v>
      </c>
      <c r="C75" t="s">
        <v>435</v>
      </c>
      <c r="D75" t="s">
        <v>2</v>
      </c>
      <c r="E75" t="s">
        <v>435</v>
      </c>
      <c r="F75" t="s">
        <v>13</v>
      </c>
      <c r="G75" t="s">
        <v>525</v>
      </c>
    </row>
    <row r="76" spans="1:7" x14ac:dyDescent="0.3">
      <c r="A76">
        <v>0</v>
      </c>
      <c r="B76" t="s">
        <v>319</v>
      </c>
      <c r="C76" t="s">
        <v>456</v>
      </c>
      <c r="D76" t="s">
        <v>2</v>
      </c>
      <c r="E76" t="s">
        <v>456</v>
      </c>
      <c r="F76" t="s">
        <v>13</v>
      </c>
      <c r="G76" t="s">
        <v>525</v>
      </c>
    </row>
    <row r="77" spans="1:7" x14ac:dyDescent="0.3">
      <c r="A77">
        <v>0</v>
      </c>
      <c r="B77" t="s">
        <v>312</v>
      </c>
      <c r="C77" t="s">
        <v>474</v>
      </c>
      <c r="D77" t="s">
        <v>2</v>
      </c>
      <c r="E77" t="s">
        <v>474</v>
      </c>
      <c r="F77" t="s">
        <v>13</v>
      </c>
      <c r="G77" t="s">
        <v>525</v>
      </c>
    </row>
    <row r="78" spans="1:7" x14ac:dyDescent="0.3">
      <c r="A78">
        <v>0</v>
      </c>
      <c r="B78" t="s">
        <v>319</v>
      </c>
      <c r="C78" t="s">
        <v>318</v>
      </c>
      <c r="D78" t="s">
        <v>2</v>
      </c>
      <c r="E78" t="s">
        <v>318</v>
      </c>
      <c r="F78" t="s">
        <v>13</v>
      </c>
      <c r="G78" t="s">
        <v>525</v>
      </c>
    </row>
    <row r="79" spans="1:7" x14ac:dyDescent="0.3">
      <c r="A79">
        <v>0</v>
      </c>
      <c r="B79" t="s">
        <v>314</v>
      </c>
      <c r="C79" t="s">
        <v>475</v>
      </c>
      <c r="D79" t="s">
        <v>2</v>
      </c>
      <c r="E79" t="s">
        <v>475</v>
      </c>
      <c r="F79" t="s">
        <v>13</v>
      </c>
      <c r="G79" t="s">
        <v>525</v>
      </c>
    </row>
    <row r="80" spans="1:7" x14ac:dyDescent="0.3">
      <c r="A80">
        <v>0</v>
      </c>
      <c r="B80" t="s">
        <v>314</v>
      </c>
      <c r="C80" t="s">
        <v>449</v>
      </c>
      <c r="D80" t="s">
        <v>2</v>
      </c>
      <c r="E80" t="s">
        <v>449</v>
      </c>
      <c r="F80" t="s">
        <v>13</v>
      </c>
      <c r="G80" t="s">
        <v>525</v>
      </c>
    </row>
    <row r="81" spans="1:7" x14ac:dyDescent="0.3">
      <c r="A81">
        <v>0</v>
      </c>
      <c r="B81" t="s">
        <v>314</v>
      </c>
      <c r="C81" t="s">
        <v>176</v>
      </c>
      <c r="D81" t="s">
        <v>2</v>
      </c>
      <c r="E81" t="s">
        <v>176</v>
      </c>
      <c r="F81" t="s">
        <v>13</v>
      </c>
      <c r="G81" t="s">
        <v>525</v>
      </c>
    </row>
    <row r="82" spans="1:7" x14ac:dyDescent="0.3">
      <c r="A82">
        <v>0</v>
      </c>
      <c r="B82" t="s">
        <v>312</v>
      </c>
      <c r="C82" t="s">
        <v>388</v>
      </c>
      <c r="D82" t="s">
        <v>2</v>
      </c>
      <c r="E82" t="s">
        <v>388</v>
      </c>
      <c r="F82" t="s">
        <v>13</v>
      </c>
      <c r="G82" t="s">
        <v>525</v>
      </c>
    </row>
    <row r="83" spans="1:7" x14ac:dyDescent="0.3">
      <c r="A83">
        <v>0</v>
      </c>
      <c r="B83" t="s">
        <v>319</v>
      </c>
      <c r="C83" t="s">
        <v>429</v>
      </c>
      <c r="D83" t="s">
        <v>2</v>
      </c>
      <c r="E83" t="s">
        <v>429</v>
      </c>
      <c r="F83" t="s">
        <v>13</v>
      </c>
      <c r="G83" t="s">
        <v>525</v>
      </c>
    </row>
    <row r="84" spans="1:7" x14ac:dyDescent="0.3">
      <c r="A84">
        <v>0</v>
      </c>
      <c r="B84" t="s">
        <v>312</v>
      </c>
      <c r="C84" t="s">
        <v>272</v>
      </c>
      <c r="D84" t="s">
        <v>2</v>
      </c>
      <c r="E84" t="s">
        <v>272</v>
      </c>
      <c r="F84" t="s">
        <v>13</v>
      </c>
      <c r="G84" t="s">
        <v>525</v>
      </c>
    </row>
    <row r="85" spans="1:7" x14ac:dyDescent="0.3">
      <c r="A85">
        <v>0</v>
      </c>
      <c r="B85" t="s">
        <v>312</v>
      </c>
      <c r="C85" t="s">
        <v>410</v>
      </c>
      <c r="D85" t="s">
        <v>2</v>
      </c>
      <c r="E85" t="s">
        <v>410</v>
      </c>
      <c r="F85" t="s">
        <v>13</v>
      </c>
      <c r="G85" t="s">
        <v>525</v>
      </c>
    </row>
    <row r="86" spans="1:7" x14ac:dyDescent="0.3">
      <c r="A86">
        <v>0</v>
      </c>
      <c r="B86" t="s">
        <v>319</v>
      </c>
      <c r="C86" t="s">
        <v>363</v>
      </c>
      <c r="D86" t="s">
        <v>2</v>
      </c>
      <c r="E86" t="s">
        <v>363</v>
      </c>
      <c r="F86" t="s">
        <v>13</v>
      </c>
      <c r="G86" t="s">
        <v>525</v>
      </c>
    </row>
    <row r="87" spans="1:7" x14ac:dyDescent="0.3">
      <c r="A87">
        <v>0</v>
      </c>
      <c r="B87" t="s">
        <v>312</v>
      </c>
      <c r="C87" t="s">
        <v>382</v>
      </c>
      <c r="D87" t="s">
        <v>2</v>
      </c>
      <c r="E87" t="s">
        <v>382</v>
      </c>
      <c r="F87" t="s">
        <v>13</v>
      </c>
      <c r="G87" t="s">
        <v>525</v>
      </c>
    </row>
    <row r="88" spans="1:7" x14ac:dyDescent="0.3">
      <c r="A88">
        <v>0</v>
      </c>
      <c r="B88" t="s">
        <v>312</v>
      </c>
      <c r="C88" t="s">
        <v>424</v>
      </c>
      <c r="D88" t="s">
        <v>2</v>
      </c>
      <c r="E88" t="s">
        <v>424</v>
      </c>
      <c r="F88" t="s">
        <v>13</v>
      </c>
      <c r="G88" t="s">
        <v>525</v>
      </c>
    </row>
    <row r="89" spans="1:7" x14ac:dyDescent="0.3">
      <c r="A89">
        <v>0</v>
      </c>
      <c r="B89" t="s">
        <v>314</v>
      </c>
      <c r="C89" t="s">
        <v>351</v>
      </c>
      <c r="D89" t="s">
        <v>2</v>
      </c>
      <c r="E89" t="s">
        <v>351</v>
      </c>
      <c r="F89" t="s">
        <v>13</v>
      </c>
      <c r="G89" t="s">
        <v>525</v>
      </c>
    </row>
    <row r="90" spans="1:7" x14ac:dyDescent="0.3">
      <c r="A90">
        <v>0</v>
      </c>
      <c r="B90" t="s">
        <v>312</v>
      </c>
      <c r="C90" t="s">
        <v>347</v>
      </c>
      <c r="D90" t="s">
        <v>2</v>
      </c>
      <c r="E90" t="s">
        <v>347</v>
      </c>
      <c r="F90" t="s">
        <v>13</v>
      </c>
      <c r="G90" t="s">
        <v>525</v>
      </c>
    </row>
    <row r="91" spans="1:7" x14ac:dyDescent="0.3">
      <c r="A91">
        <v>0</v>
      </c>
      <c r="B91" t="s">
        <v>314</v>
      </c>
      <c r="C91" t="s">
        <v>453</v>
      </c>
      <c r="D91" t="s">
        <v>2</v>
      </c>
      <c r="E91" t="s">
        <v>453</v>
      </c>
      <c r="F91" t="s">
        <v>13</v>
      </c>
      <c r="G91" t="s">
        <v>525</v>
      </c>
    </row>
    <row r="92" spans="1:7" x14ac:dyDescent="0.3">
      <c r="A92">
        <v>0</v>
      </c>
      <c r="B92" t="s">
        <v>319</v>
      </c>
      <c r="C92" t="s">
        <v>457</v>
      </c>
      <c r="D92" t="s">
        <v>2</v>
      </c>
      <c r="E92" t="s">
        <v>457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485</v>
      </c>
      <c r="D93" t="s">
        <v>2</v>
      </c>
      <c r="E93" t="s">
        <v>485</v>
      </c>
      <c r="F93" t="s">
        <v>13</v>
      </c>
      <c r="G93" t="s">
        <v>525</v>
      </c>
    </row>
    <row r="94" spans="1:7" x14ac:dyDescent="0.3">
      <c r="A94">
        <v>0</v>
      </c>
      <c r="B94" t="s">
        <v>312</v>
      </c>
      <c r="C94" t="s">
        <v>355</v>
      </c>
      <c r="D94" t="s">
        <v>2</v>
      </c>
      <c r="E94" t="s">
        <v>355</v>
      </c>
      <c r="F94" t="s">
        <v>13</v>
      </c>
      <c r="G94" t="s">
        <v>525</v>
      </c>
    </row>
    <row r="95" spans="1:7" x14ac:dyDescent="0.3">
      <c r="A95">
        <v>0</v>
      </c>
      <c r="B95" t="s">
        <v>312</v>
      </c>
      <c r="C95" t="s">
        <v>338</v>
      </c>
      <c r="D95" t="s">
        <v>2</v>
      </c>
      <c r="E95" t="s">
        <v>338</v>
      </c>
      <c r="F95" t="s">
        <v>13</v>
      </c>
      <c r="G95" t="s">
        <v>525</v>
      </c>
    </row>
    <row r="96" spans="1:7" x14ac:dyDescent="0.3">
      <c r="A96">
        <v>0</v>
      </c>
      <c r="B96" t="s">
        <v>312</v>
      </c>
      <c r="C96" t="s">
        <v>394</v>
      </c>
      <c r="D96" t="s">
        <v>2</v>
      </c>
      <c r="E96" t="s">
        <v>394</v>
      </c>
      <c r="F96" t="s">
        <v>13</v>
      </c>
      <c r="G96" t="s">
        <v>525</v>
      </c>
    </row>
    <row r="97" spans="1:7" x14ac:dyDescent="0.3">
      <c r="A97">
        <v>0</v>
      </c>
      <c r="B97" t="s">
        <v>312</v>
      </c>
      <c r="C97" t="s">
        <v>438</v>
      </c>
      <c r="D97" t="s">
        <v>2</v>
      </c>
      <c r="E97" t="s">
        <v>438</v>
      </c>
      <c r="F97" t="s">
        <v>13</v>
      </c>
      <c r="G97" t="s">
        <v>525</v>
      </c>
    </row>
    <row r="98" spans="1:7" x14ac:dyDescent="0.3">
      <c r="A98">
        <v>0</v>
      </c>
      <c r="B98" t="s">
        <v>312</v>
      </c>
      <c r="C98" t="s">
        <v>486</v>
      </c>
      <c r="D98" t="s">
        <v>2</v>
      </c>
      <c r="E98" t="s">
        <v>486</v>
      </c>
      <c r="F98" t="s">
        <v>13</v>
      </c>
      <c r="G98" t="s">
        <v>525</v>
      </c>
    </row>
    <row r="99" spans="1:7" x14ac:dyDescent="0.3">
      <c r="A99">
        <v>0</v>
      </c>
      <c r="B99" t="s">
        <v>319</v>
      </c>
      <c r="C99" t="s">
        <v>419</v>
      </c>
      <c r="D99" t="s">
        <v>2</v>
      </c>
      <c r="E99" t="s">
        <v>419</v>
      </c>
      <c r="F99" t="s">
        <v>13</v>
      </c>
      <c r="G99" t="s">
        <v>525</v>
      </c>
    </row>
    <row r="100" spans="1:7" x14ac:dyDescent="0.3">
      <c r="A100">
        <v>0</v>
      </c>
      <c r="B100" t="s">
        <v>57</v>
      </c>
      <c r="C100" t="s">
        <v>353</v>
      </c>
      <c r="D100" t="s">
        <v>2</v>
      </c>
      <c r="E100" t="s">
        <v>353</v>
      </c>
      <c r="F100" t="s">
        <v>13</v>
      </c>
      <c r="G100" t="s">
        <v>525</v>
      </c>
    </row>
    <row r="101" spans="1:7" x14ac:dyDescent="0.3">
      <c r="A101">
        <v>0</v>
      </c>
      <c r="B101" t="s">
        <v>319</v>
      </c>
      <c r="C101" t="s">
        <v>489</v>
      </c>
      <c r="D101" t="s">
        <v>2</v>
      </c>
      <c r="E101" t="s">
        <v>489</v>
      </c>
      <c r="F101" t="s">
        <v>13</v>
      </c>
      <c r="G101" t="s">
        <v>525</v>
      </c>
    </row>
    <row r="102" spans="1:7" x14ac:dyDescent="0.3">
      <c r="A102">
        <v>0</v>
      </c>
      <c r="B102" t="s">
        <v>312</v>
      </c>
      <c r="C102" t="s">
        <v>386</v>
      </c>
      <c r="D102" t="s">
        <v>2</v>
      </c>
      <c r="E102" t="s">
        <v>386</v>
      </c>
      <c r="F102" t="s">
        <v>13</v>
      </c>
      <c r="G102" t="s">
        <v>525</v>
      </c>
    </row>
    <row r="103" spans="1:7" x14ac:dyDescent="0.3">
      <c r="A103">
        <v>0</v>
      </c>
      <c r="B103" t="s">
        <v>319</v>
      </c>
      <c r="C103" t="s">
        <v>389</v>
      </c>
      <c r="D103" t="s">
        <v>2</v>
      </c>
      <c r="E103" t="s">
        <v>389</v>
      </c>
      <c r="F103" t="s">
        <v>13</v>
      </c>
      <c r="G103" t="s">
        <v>525</v>
      </c>
    </row>
    <row r="104" spans="1:7" x14ac:dyDescent="0.3">
      <c r="A104">
        <v>0</v>
      </c>
      <c r="B104" t="s">
        <v>312</v>
      </c>
      <c r="C104" t="s">
        <v>340</v>
      </c>
      <c r="D104" t="s">
        <v>2</v>
      </c>
      <c r="E104" t="s">
        <v>340</v>
      </c>
      <c r="F104" t="s">
        <v>13</v>
      </c>
      <c r="G104" t="s">
        <v>525</v>
      </c>
    </row>
    <row r="105" spans="1:7" x14ac:dyDescent="0.3">
      <c r="A105">
        <v>0</v>
      </c>
      <c r="B105" t="s">
        <v>312</v>
      </c>
      <c r="C105" t="s">
        <v>368</v>
      </c>
      <c r="D105" t="s">
        <v>2</v>
      </c>
      <c r="E105" t="s">
        <v>368</v>
      </c>
      <c r="F105" t="s">
        <v>13</v>
      </c>
      <c r="G105" t="s">
        <v>525</v>
      </c>
    </row>
    <row r="106" spans="1:7" x14ac:dyDescent="0.3">
      <c r="A106">
        <v>0</v>
      </c>
      <c r="B106" t="s">
        <v>312</v>
      </c>
      <c r="C106" t="s">
        <v>328</v>
      </c>
      <c r="D106" t="s">
        <v>2</v>
      </c>
      <c r="E106" t="s">
        <v>328</v>
      </c>
      <c r="F106" t="s">
        <v>13</v>
      </c>
      <c r="G106" t="s">
        <v>525</v>
      </c>
    </row>
    <row r="107" spans="1:7" x14ac:dyDescent="0.3">
      <c r="A107">
        <v>0</v>
      </c>
      <c r="B107" t="s">
        <v>312</v>
      </c>
      <c r="C107" t="s">
        <v>479</v>
      </c>
      <c r="D107" t="s">
        <v>2</v>
      </c>
      <c r="E107" t="s">
        <v>479</v>
      </c>
      <c r="F107" t="s">
        <v>13</v>
      </c>
      <c r="G107" t="s">
        <v>525</v>
      </c>
    </row>
    <row r="108" spans="1:7" x14ac:dyDescent="0.3">
      <c r="A108">
        <v>0</v>
      </c>
      <c r="B108" t="s">
        <v>57</v>
      </c>
      <c r="C108" t="s">
        <v>116</v>
      </c>
      <c r="D108" t="s">
        <v>2</v>
      </c>
      <c r="E108" t="s">
        <v>116</v>
      </c>
      <c r="F108" t="s">
        <v>13</v>
      </c>
      <c r="G108" t="s">
        <v>525</v>
      </c>
    </row>
    <row r="109" spans="1:7" x14ac:dyDescent="0.3">
      <c r="A109">
        <v>0</v>
      </c>
      <c r="B109" t="s">
        <v>312</v>
      </c>
      <c r="C109" t="s">
        <v>352</v>
      </c>
      <c r="D109" t="s">
        <v>2</v>
      </c>
      <c r="E109" t="s">
        <v>352</v>
      </c>
      <c r="F109" t="s">
        <v>13</v>
      </c>
      <c r="G109" t="s">
        <v>525</v>
      </c>
    </row>
    <row r="110" spans="1:7" x14ac:dyDescent="0.3">
      <c r="A110">
        <v>0</v>
      </c>
      <c r="B110" t="s">
        <v>312</v>
      </c>
      <c r="C110" t="s">
        <v>417</v>
      </c>
      <c r="D110" t="s">
        <v>2</v>
      </c>
      <c r="E110" t="s">
        <v>417</v>
      </c>
      <c r="F110" t="s">
        <v>13</v>
      </c>
      <c r="G110" t="s">
        <v>525</v>
      </c>
    </row>
    <row r="111" spans="1:7" x14ac:dyDescent="0.3">
      <c r="A111">
        <v>0</v>
      </c>
      <c r="B111" t="s">
        <v>312</v>
      </c>
      <c r="C111" t="s">
        <v>447</v>
      </c>
      <c r="D111" t="s">
        <v>2</v>
      </c>
      <c r="E111" t="s">
        <v>447</v>
      </c>
      <c r="F111" t="s">
        <v>13</v>
      </c>
      <c r="G111" t="s">
        <v>525</v>
      </c>
    </row>
    <row r="112" spans="1:7" x14ac:dyDescent="0.3">
      <c r="A112">
        <v>0</v>
      </c>
      <c r="B112" t="s">
        <v>319</v>
      </c>
      <c r="C112" t="s">
        <v>329</v>
      </c>
      <c r="D112" t="s">
        <v>2</v>
      </c>
      <c r="E112" t="s">
        <v>329</v>
      </c>
      <c r="F112" t="s">
        <v>13</v>
      </c>
      <c r="G112" t="s">
        <v>525</v>
      </c>
    </row>
    <row r="113" spans="1:7" x14ac:dyDescent="0.3">
      <c r="A113">
        <v>0</v>
      </c>
      <c r="B113" t="s">
        <v>312</v>
      </c>
      <c r="C113" t="s">
        <v>252</v>
      </c>
      <c r="D113" t="s">
        <v>2</v>
      </c>
      <c r="E113" t="s">
        <v>252</v>
      </c>
      <c r="F113" t="s">
        <v>13</v>
      </c>
      <c r="G113" t="s">
        <v>525</v>
      </c>
    </row>
    <row r="114" spans="1:7" x14ac:dyDescent="0.3">
      <c r="A114">
        <v>0</v>
      </c>
      <c r="B114" t="s">
        <v>312</v>
      </c>
      <c r="C114" t="s">
        <v>317</v>
      </c>
      <c r="D114" t="s">
        <v>2</v>
      </c>
      <c r="E114" t="s">
        <v>317</v>
      </c>
      <c r="F114" t="s">
        <v>13</v>
      </c>
      <c r="G114" t="s">
        <v>525</v>
      </c>
    </row>
    <row r="115" spans="1:7" x14ac:dyDescent="0.3">
      <c r="A115">
        <v>0</v>
      </c>
      <c r="B115" t="s">
        <v>312</v>
      </c>
      <c r="C115" t="s">
        <v>436</v>
      </c>
      <c r="D115" t="s">
        <v>2</v>
      </c>
      <c r="E115" t="s">
        <v>436</v>
      </c>
      <c r="F115" t="s">
        <v>13</v>
      </c>
      <c r="G115" t="s">
        <v>525</v>
      </c>
    </row>
    <row r="116" spans="1:7" x14ac:dyDescent="0.3">
      <c r="A116">
        <v>0</v>
      </c>
      <c r="B116" t="s">
        <v>319</v>
      </c>
      <c r="C116" t="s">
        <v>490</v>
      </c>
      <c r="D116" t="s">
        <v>2</v>
      </c>
      <c r="E116" t="s">
        <v>490</v>
      </c>
      <c r="F116" t="s">
        <v>13</v>
      </c>
      <c r="G116" t="s">
        <v>525</v>
      </c>
    </row>
    <row r="117" spans="1:7" x14ac:dyDescent="0.3">
      <c r="A117">
        <v>0</v>
      </c>
      <c r="B117" t="s">
        <v>312</v>
      </c>
      <c r="C117" t="s">
        <v>391</v>
      </c>
      <c r="D117" t="s">
        <v>2</v>
      </c>
      <c r="E117" t="s">
        <v>391</v>
      </c>
      <c r="F117" t="s">
        <v>13</v>
      </c>
      <c r="G117" t="s">
        <v>525</v>
      </c>
    </row>
    <row r="118" spans="1:7" x14ac:dyDescent="0.3">
      <c r="A118">
        <v>0</v>
      </c>
      <c r="B118" t="s">
        <v>312</v>
      </c>
      <c r="C118" t="s">
        <v>235</v>
      </c>
      <c r="D118" t="s">
        <v>2</v>
      </c>
      <c r="E118" t="s">
        <v>235</v>
      </c>
      <c r="F118" t="s">
        <v>13</v>
      </c>
      <c r="G118" t="s">
        <v>525</v>
      </c>
    </row>
    <row r="119" spans="1:7" x14ac:dyDescent="0.3">
      <c r="A119">
        <v>0</v>
      </c>
      <c r="B119" t="s">
        <v>312</v>
      </c>
      <c r="C119" t="s">
        <v>493</v>
      </c>
      <c r="D119" t="s">
        <v>2</v>
      </c>
      <c r="E119" t="s">
        <v>493</v>
      </c>
      <c r="F119" t="s">
        <v>13</v>
      </c>
      <c r="G119" t="s">
        <v>525</v>
      </c>
    </row>
    <row r="120" spans="1:7" x14ac:dyDescent="0.3">
      <c r="A120">
        <v>0</v>
      </c>
      <c r="B120" t="s">
        <v>312</v>
      </c>
      <c r="C120" t="s">
        <v>335</v>
      </c>
      <c r="D120" t="s">
        <v>2</v>
      </c>
      <c r="E120" t="s">
        <v>335</v>
      </c>
      <c r="F120" t="s">
        <v>13</v>
      </c>
      <c r="G120" t="s">
        <v>525</v>
      </c>
    </row>
    <row r="121" spans="1:7" x14ac:dyDescent="0.3">
      <c r="A121">
        <v>0</v>
      </c>
      <c r="B121" t="s">
        <v>312</v>
      </c>
      <c r="C121" t="s">
        <v>354</v>
      </c>
      <c r="D121" t="s">
        <v>2</v>
      </c>
      <c r="E121" t="s">
        <v>354</v>
      </c>
      <c r="F121" t="s">
        <v>13</v>
      </c>
      <c r="G121" t="s">
        <v>525</v>
      </c>
    </row>
    <row r="122" spans="1:7" x14ac:dyDescent="0.3">
      <c r="A122">
        <v>0</v>
      </c>
      <c r="B122" t="s">
        <v>319</v>
      </c>
      <c r="C122" t="s">
        <v>360</v>
      </c>
      <c r="D122" t="s">
        <v>2</v>
      </c>
      <c r="E122" t="s">
        <v>360</v>
      </c>
      <c r="F122" t="s">
        <v>13</v>
      </c>
      <c r="G122" t="s">
        <v>525</v>
      </c>
    </row>
    <row r="123" spans="1:7" x14ac:dyDescent="0.3">
      <c r="A123">
        <v>0</v>
      </c>
      <c r="B123" t="s">
        <v>314</v>
      </c>
      <c r="C123" t="s">
        <v>356</v>
      </c>
      <c r="D123" t="s">
        <v>2</v>
      </c>
      <c r="E123" t="s">
        <v>356</v>
      </c>
      <c r="F123" t="s">
        <v>13</v>
      </c>
      <c r="G123" t="s">
        <v>525</v>
      </c>
    </row>
    <row r="124" spans="1:7" x14ac:dyDescent="0.3">
      <c r="A124">
        <v>0</v>
      </c>
      <c r="B124" t="s">
        <v>312</v>
      </c>
      <c r="C124" t="s">
        <v>405</v>
      </c>
      <c r="D124" t="s">
        <v>2</v>
      </c>
      <c r="E124" t="s">
        <v>405</v>
      </c>
      <c r="F124" t="s">
        <v>13</v>
      </c>
      <c r="G124" t="s">
        <v>525</v>
      </c>
    </row>
    <row r="125" spans="1:7" x14ac:dyDescent="0.3">
      <c r="A125">
        <v>0</v>
      </c>
      <c r="B125" t="s">
        <v>312</v>
      </c>
      <c r="C125" t="s">
        <v>471</v>
      </c>
      <c r="D125" t="s">
        <v>2</v>
      </c>
      <c r="E125" t="s">
        <v>471</v>
      </c>
      <c r="F125" t="s">
        <v>13</v>
      </c>
      <c r="G125" t="s">
        <v>525</v>
      </c>
    </row>
    <row r="126" spans="1:7" x14ac:dyDescent="0.3">
      <c r="A126">
        <v>0</v>
      </c>
      <c r="B126" t="s">
        <v>319</v>
      </c>
      <c r="C126" t="s">
        <v>421</v>
      </c>
      <c r="D126" t="s">
        <v>2</v>
      </c>
      <c r="E126" t="s">
        <v>421</v>
      </c>
      <c r="F126" t="s">
        <v>13</v>
      </c>
      <c r="G126" t="s">
        <v>525</v>
      </c>
    </row>
    <row r="127" spans="1:7" x14ac:dyDescent="0.3">
      <c r="A127">
        <v>0</v>
      </c>
      <c r="B127" t="s">
        <v>312</v>
      </c>
      <c r="C127" t="s">
        <v>321</v>
      </c>
      <c r="D127" t="s">
        <v>2</v>
      </c>
      <c r="E127" t="s">
        <v>321</v>
      </c>
      <c r="F127" t="s">
        <v>13</v>
      </c>
      <c r="G127" t="s">
        <v>525</v>
      </c>
    </row>
    <row r="128" spans="1:7" x14ac:dyDescent="0.3">
      <c r="A128">
        <v>0</v>
      </c>
      <c r="B128" t="s">
        <v>105</v>
      </c>
      <c r="C128" t="s">
        <v>113</v>
      </c>
      <c r="D128" t="s">
        <v>2</v>
      </c>
      <c r="E128" t="s">
        <v>113</v>
      </c>
      <c r="F128" t="s">
        <v>13</v>
      </c>
      <c r="G128" t="s">
        <v>525</v>
      </c>
    </row>
    <row r="129" spans="1:7" x14ac:dyDescent="0.3">
      <c r="A129">
        <v>0</v>
      </c>
      <c r="B129" t="s">
        <v>312</v>
      </c>
      <c r="C129" t="s">
        <v>348</v>
      </c>
      <c r="D129" t="s">
        <v>2</v>
      </c>
      <c r="E129" t="s">
        <v>348</v>
      </c>
      <c r="F129" t="s">
        <v>13</v>
      </c>
      <c r="G129" t="s">
        <v>525</v>
      </c>
    </row>
    <row r="130" spans="1:7" x14ac:dyDescent="0.3">
      <c r="A130">
        <v>0</v>
      </c>
      <c r="B130" t="s">
        <v>105</v>
      </c>
      <c r="C130" t="s">
        <v>469</v>
      </c>
      <c r="D130" t="s">
        <v>2</v>
      </c>
      <c r="E130" t="s">
        <v>469</v>
      </c>
      <c r="F130" t="s">
        <v>13</v>
      </c>
      <c r="G130" t="s">
        <v>525</v>
      </c>
    </row>
    <row r="131" spans="1:7" x14ac:dyDescent="0.3">
      <c r="A131">
        <v>0</v>
      </c>
      <c r="B131" t="s">
        <v>314</v>
      </c>
      <c r="C131" t="s">
        <v>481</v>
      </c>
      <c r="D131" t="s">
        <v>2</v>
      </c>
      <c r="E131" t="s">
        <v>481</v>
      </c>
      <c r="F131" t="s">
        <v>13</v>
      </c>
      <c r="G131" t="s">
        <v>525</v>
      </c>
    </row>
    <row r="132" spans="1:7" x14ac:dyDescent="0.3">
      <c r="A132">
        <v>0</v>
      </c>
      <c r="B132" t="s">
        <v>312</v>
      </c>
      <c r="C132" t="s">
        <v>398</v>
      </c>
      <c r="D132" t="s">
        <v>2</v>
      </c>
      <c r="E132" t="s">
        <v>398</v>
      </c>
      <c r="F132" t="s">
        <v>13</v>
      </c>
      <c r="G132" t="s">
        <v>525</v>
      </c>
    </row>
    <row r="133" spans="1:7" x14ac:dyDescent="0.3">
      <c r="A133">
        <v>0</v>
      </c>
      <c r="B133" t="s">
        <v>314</v>
      </c>
      <c r="C133" t="s">
        <v>342</v>
      </c>
      <c r="D133" t="s">
        <v>2</v>
      </c>
      <c r="E133" t="s">
        <v>342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322</v>
      </c>
      <c r="D134" t="s">
        <v>2</v>
      </c>
      <c r="E134" t="s">
        <v>322</v>
      </c>
      <c r="F134" t="s">
        <v>13</v>
      </c>
      <c r="G134" t="s">
        <v>525</v>
      </c>
    </row>
    <row r="135" spans="1:7" x14ac:dyDescent="0.3">
      <c r="A135">
        <v>0</v>
      </c>
      <c r="B135" t="s">
        <v>314</v>
      </c>
      <c r="C135" t="s">
        <v>409</v>
      </c>
      <c r="D135" t="s">
        <v>2</v>
      </c>
      <c r="E135" t="s">
        <v>409</v>
      </c>
      <c r="F135" t="s">
        <v>13</v>
      </c>
      <c r="G135" t="s">
        <v>525</v>
      </c>
    </row>
    <row r="136" spans="1:7" x14ac:dyDescent="0.3">
      <c r="A136">
        <v>0</v>
      </c>
      <c r="B136" t="s">
        <v>314</v>
      </c>
      <c r="C136" t="s">
        <v>480</v>
      </c>
      <c r="D136" t="s">
        <v>2</v>
      </c>
      <c r="E136" t="s">
        <v>480</v>
      </c>
      <c r="F136" t="s">
        <v>13</v>
      </c>
      <c r="G136" t="s">
        <v>525</v>
      </c>
    </row>
    <row r="137" spans="1:7" x14ac:dyDescent="0.3">
      <c r="A137">
        <v>0</v>
      </c>
      <c r="B137" t="s">
        <v>105</v>
      </c>
      <c r="C137" t="s">
        <v>121</v>
      </c>
      <c r="D137" t="s">
        <v>2</v>
      </c>
      <c r="E137" t="s">
        <v>121</v>
      </c>
      <c r="F137" t="s">
        <v>13</v>
      </c>
      <c r="G137" t="s">
        <v>525</v>
      </c>
    </row>
    <row r="138" spans="1:7" x14ac:dyDescent="0.3">
      <c r="A138">
        <v>0</v>
      </c>
      <c r="B138" t="s">
        <v>312</v>
      </c>
      <c r="C138" t="s">
        <v>359</v>
      </c>
      <c r="D138" t="s">
        <v>2</v>
      </c>
      <c r="E138" t="s">
        <v>359</v>
      </c>
      <c r="F138" t="s">
        <v>13</v>
      </c>
      <c r="G138" t="s">
        <v>525</v>
      </c>
    </row>
    <row r="139" spans="1:7" x14ac:dyDescent="0.3">
      <c r="A139">
        <v>0</v>
      </c>
      <c r="B139" t="s">
        <v>319</v>
      </c>
      <c r="C139" t="s">
        <v>468</v>
      </c>
      <c r="D139" t="s">
        <v>2</v>
      </c>
      <c r="E139" t="s">
        <v>468</v>
      </c>
      <c r="F139" t="s">
        <v>13</v>
      </c>
      <c r="G139" t="s">
        <v>525</v>
      </c>
    </row>
    <row r="140" spans="1:7" x14ac:dyDescent="0.3">
      <c r="A140">
        <v>0</v>
      </c>
      <c r="B140" t="s">
        <v>319</v>
      </c>
      <c r="C140" t="s">
        <v>458</v>
      </c>
      <c r="D140" t="s">
        <v>2</v>
      </c>
      <c r="E140" t="s">
        <v>458</v>
      </c>
      <c r="F140" t="s">
        <v>13</v>
      </c>
      <c r="G140" t="s">
        <v>525</v>
      </c>
    </row>
    <row r="141" spans="1:7" x14ac:dyDescent="0.3">
      <c r="A141">
        <v>0</v>
      </c>
      <c r="B141" t="s">
        <v>312</v>
      </c>
      <c r="C141" t="s">
        <v>370</v>
      </c>
      <c r="D141" t="s">
        <v>2</v>
      </c>
      <c r="E141" t="s">
        <v>370</v>
      </c>
      <c r="F141" t="s">
        <v>13</v>
      </c>
      <c r="G141" t="s">
        <v>525</v>
      </c>
    </row>
    <row r="142" spans="1:7" x14ac:dyDescent="0.3">
      <c r="A142">
        <v>0</v>
      </c>
      <c r="B142" t="s">
        <v>57</v>
      </c>
      <c r="C142" t="s">
        <v>114</v>
      </c>
      <c r="D142" t="s">
        <v>2</v>
      </c>
      <c r="E142" t="s">
        <v>114</v>
      </c>
      <c r="F142" t="s">
        <v>13</v>
      </c>
      <c r="G142" t="s">
        <v>525</v>
      </c>
    </row>
    <row r="143" spans="1:7" x14ac:dyDescent="0.3">
      <c r="A143">
        <v>0</v>
      </c>
      <c r="B143" t="s">
        <v>319</v>
      </c>
      <c r="C143" t="s">
        <v>404</v>
      </c>
      <c r="D143" t="s">
        <v>2</v>
      </c>
      <c r="E143" t="s">
        <v>404</v>
      </c>
      <c r="F143" t="s">
        <v>13</v>
      </c>
      <c r="G143" t="s">
        <v>525</v>
      </c>
    </row>
    <row r="144" spans="1:7" x14ac:dyDescent="0.3">
      <c r="A144">
        <v>0</v>
      </c>
      <c r="B144" t="s">
        <v>312</v>
      </c>
      <c r="C144" t="s">
        <v>369</v>
      </c>
      <c r="D144" t="s">
        <v>2</v>
      </c>
      <c r="E144" t="s">
        <v>369</v>
      </c>
      <c r="F144" t="s">
        <v>13</v>
      </c>
      <c r="G144" t="s">
        <v>525</v>
      </c>
    </row>
    <row r="145" spans="1:7" x14ac:dyDescent="0.3">
      <c r="A145">
        <v>0</v>
      </c>
      <c r="B145" t="s">
        <v>57</v>
      </c>
      <c r="C145" t="s">
        <v>122</v>
      </c>
      <c r="D145" t="s">
        <v>2</v>
      </c>
      <c r="E145" t="s">
        <v>122</v>
      </c>
      <c r="F145" t="s">
        <v>13</v>
      </c>
      <c r="G145" t="s">
        <v>525</v>
      </c>
    </row>
    <row r="146" spans="1:7" x14ac:dyDescent="0.3">
      <c r="A146">
        <v>0</v>
      </c>
      <c r="B146" t="s">
        <v>319</v>
      </c>
      <c r="C146" t="s">
        <v>390</v>
      </c>
      <c r="D146" t="s">
        <v>2</v>
      </c>
      <c r="E146" t="s">
        <v>390</v>
      </c>
      <c r="F146" t="s">
        <v>13</v>
      </c>
      <c r="G146" t="s">
        <v>525</v>
      </c>
    </row>
    <row r="147" spans="1:7" x14ac:dyDescent="0.3">
      <c r="A147">
        <v>0</v>
      </c>
      <c r="B147" t="s">
        <v>312</v>
      </c>
      <c r="C147" t="s">
        <v>492</v>
      </c>
      <c r="D147" t="s">
        <v>2</v>
      </c>
      <c r="E147" t="s">
        <v>492</v>
      </c>
      <c r="F147" t="s">
        <v>13</v>
      </c>
      <c r="G147" t="s">
        <v>525</v>
      </c>
    </row>
    <row r="148" spans="1:7" x14ac:dyDescent="0.3">
      <c r="A148">
        <v>0</v>
      </c>
      <c r="B148" t="s">
        <v>312</v>
      </c>
      <c r="C148" t="s">
        <v>345</v>
      </c>
      <c r="D148" t="s">
        <v>2</v>
      </c>
      <c r="E148" t="s">
        <v>345</v>
      </c>
      <c r="F148" t="s">
        <v>13</v>
      </c>
      <c r="G148" t="s">
        <v>525</v>
      </c>
    </row>
    <row r="149" spans="1:7" x14ac:dyDescent="0.3">
      <c r="A149">
        <v>0</v>
      </c>
      <c r="B149" t="s">
        <v>314</v>
      </c>
      <c r="C149" t="s">
        <v>374</v>
      </c>
      <c r="D149" t="s">
        <v>2</v>
      </c>
      <c r="E149" t="s">
        <v>374</v>
      </c>
      <c r="F149" t="s">
        <v>13</v>
      </c>
      <c r="G149" t="s">
        <v>525</v>
      </c>
    </row>
    <row r="150" spans="1:7" x14ac:dyDescent="0.3">
      <c r="A150">
        <v>0</v>
      </c>
      <c r="B150" t="s">
        <v>105</v>
      </c>
      <c r="C150" t="s">
        <v>124</v>
      </c>
      <c r="D150" t="s">
        <v>2</v>
      </c>
      <c r="E150" t="s">
        <v>124</v>
      </c>
      <c r="F150" t="s">
        <v>13</v>
      </c>
      <c r="G150" t="s">
        <v>525</v>
      </c>
    </row>
    <row r="151" spans="1:7" x14ac:dyDescent="0.3">
      <c r="A151">
        <v>0</v>
      </c>
      <c r="B151" t="s">
        <v>312</v>
      </c>
      <c r="C151" t="s">
        <v>440</v>
      </c>
      <c r="D151" t="s">
        <v>2</v>
      </c>
      <c r="E151" t="s">
        <v>440</v>
      </c>
      <c r="F151" t="s">
        <v>13</v>
      </c>
      <c r="G151" t="s">
        <v>525</v>
      </c>
    </row>
    <row r="152" spans="1:7" x14ac:dyDescent="0.3">
      <c r="A152">
        <v>0</v>
      </c>
      <c r="B152" t="s">
        <v>312</v>
      </c>
      <c r="C152" t="s">
        <v>316</v>
      </c>
      <c r="D152" t="s">
        <v>2</v>
      </c>
      <c r="E152" t="s">
        <v>316</v>
      </c>
      <c r="F152" t="s">
        <v>13</v>
      </c>
      <c r="G152" t="s">
        <v>525</v>
      </c>
    </row>
    <row r="153" spans="1:7" x14ac:dyDescent="0.3">
      <c r="A153">
        <v>0</v>
      </c>
      <c r="B153" t="s">
        <v>312</v>
      </c>
      <c r="C153" t="s">
        <v>427</v>
      </c>
      <c r="D153" t="s">
        <v>2</v>
      </c>
      <c r="E153" t="s">
        <v>427</v>
      </c>
      <c r="F153" t="s">
        <v>13</v>
      </c>
      <c r="G153" t="s">
        <v>525</v>
      </c>
    </row>
    <row r="154" spans="1:7" x14ac:dyDescent="0.3">
      <c r="A154">
        <v>0</v>
      </c>
      <c r="B154" t="s">
        <v>312</v>
      </c>
      <c r="C154" t="s">
        <v>332</v>
      </c>
      <c r="D154" t="s">
        <v>2</v>
      </c>
      <c r="E154" t="s">
        <v>332</v>
      </c>
      <c r="F154" t="s">
        <v>13</v>
      </c>
      <c r="G154" t="s">
        <v>525</v>
      </c>
    </row>
    <row r="155" spans="1:7" x14ac:dyDescent="0.3">
      <c r="A155">
        <v>0</v>
      </c>
      <c r="B155" t="s">
        <v>312</v>
      </c>
      <c r="C155" t="s">
        <v>336</v>
      </c>
      <c r="D155" t="s">
        <v>2</v>
      </c>
      <c r="E155" t="s">
        <v>336</v>
      </c>
      <c r="F155" t="s">
        <v>13</v>
      </c>
      <c r="G155" t="s">
        <v>525</v>
      </c>
    </row>
    <row r="156" spans="1:7" x14ac:dyDescent="0.3">
      <c r="A156">
        <v>0</v>
      </c>
      <c r="B156" t="s">
        <v>314</v>
      </c>
      <c r="C156" t="s">
        <v>393</v>
      </c>
      <c r="D156" t="s">
        <v>2</v>
      </c>
      <c r="E156" t="s">
        <v>393</v>
      </c>
      <c r="F156" t="s">
        <v>13</v>
      </c>
      <c r="G156" t="s">
        <v>525</v>
      </c>
    </row>
    <row r="157" spans="1:7" x14ac:dyDescent="0.3">
      <c r="A157">
        <v>0</v>
      </c>
      <c r="B157" t="s">
        <v>312</v>
      </c>
      <c r="C157" t="s">
        <v>339</v>
      </c>
      <c r="D157" t="s">
        <v>2</v>
      </c>
      <c r="E157" t="s">
        <v>339</v>
      </c>
      <c r="F157" t="s">
        <v>13</v>
      </c>
      <c r="G157" t="s">
        <v>525</v>
      </c>
    </row>
    <row r="158" spans="1:7" x14ac:dyDescent="0.3">
      <c r="A158">
        <v>0</v>
      </c>
      <c r="B158" t="s">
        <v>312</v>
      </c>
      <c r="C158" t="s">
        <v>400</v>
      </c>
      <c r="D158" t="s">
        <v>2</v>
      </c>
      <c r="E158" t="s">
        <v>400</v>
      </c>
      <c r="F158" t="s">
        <v>13</v>
      </c>
      <c r="G158" t="s">
        <v>525</v>
      </c>
    </row>
    <row r="159" spans="1:7" x14ac:dyDescent="0.3">
      <c r="A159">
        <v>0</v>
      </c>
      <c r="B159" t="s">
        <v>312</v>
      </c>
      <c r="C159" t="s">
        <v>380</v>
      </c>
      <c r="D159" t="s">
        <v>2</v>
      </c>
      <c r="E159" t="s">
        <v>380</v>
      </c>
      <c r="F159" t="s">
        <v>13</v>
      </c>
      <c r="G159" t="s">
        <v>525</v>
      </c>
    </row>
    <row r="160" spans="1:7" x14ac:dyDescent="0.3">
      <c r="A160">
        <v>0</v>
      </c>
      <c r="B160" t="s">
        <v>312</v>
      </c>
      <c r="C160" t="s">
        <v>442</v>
      </c>
      <c r="D160" t="s">
        <v>2</v>
      </c>
      <c r="E160" t="s">
        <v>442</v>
      </c>
      <c r="F160" t="s">
        <v>13</v>
      </c>
      <c r="G160" t="s">
        <v>525</v>
      </c>
    </row>
    <row r="161" spans="1:7" x14ac:dyDescent="0.3">
      <c r="A161">
        <v>0</v>
      </c>
      <c r="B161" t="s">
        <v>314</v>
      </c>
      <c r="C161" t="s">
        <v>349</v>
      </c>
      <c r="D161" t="s">
        <v>2</v>
      </c>
      <c r="E161" t="s">
        <v>349</v>
      </c>
      <c r="F161" t="s">
        <v>13</v>
      </c>
      <c r="G161" t="s">
        <v>525</v>
      </c>
    </row>
    <row r="162" spans="1:7" x14ac:dyDescent="0.3">
      <c r="A162">
        <v>0</v>
      </c>
      <c r="B162" t="s">
        <v>57</v>
      </c>
      <c r="C162" t="s">
        <v>470</v>
      </c>
      <c r="D162" t="s">
        <v>2</v>
      </c>
      <c r="E162" t="s">
        <v>470</v>
      </c>
      <c r="F162" t="s">
        <v>13</v>
      </c>
      <c r="G162" t="s">
        <v>525</v>
      </c>
    </row>
    <row r="163" spans="1:7" x14ac:dyDescent="0.3">
      <c r="A163">
        <v>0</v>
      </c>
      <c r="B163" t="s">
        <v>319</v>
      </c>
      <c r="C163" t="s">
        <v>463</v>
      </c>
      <c r="D163" t="s">
        <v>2</v>
      </c>
      <c r="E163" t="s">
        <v>463</v>
      </c>
      <c r="F163" t="s">
        <v>13</v>
      </c>
      <c r="G163" t="s">
        <v>525</v>
      </c>
    </row>
    <row r="164" spans="1:7" x14ac:dyDescent="0.3">
      <c r="A164">
        <v>0</v>
      </c>
      <c r="B164" t="s">
        <v>314</v>
      </c>
      <c r="C164" t="s">
        <v>343</v>
      </c>
      <c r="D164" t="s">
        <v>2</v>
      </c>
      <c r="E164" t="s">
        <v>343</v>
      </c>
      <c r="F164" t="s">
        <v>13</v>
      </c>
      <c r="G164" t="s">
        <v>525</v>
      </c>
    </row>
    <row r="165" spans="1:7" x14ac:dyDescent="0.3">
      <c r="A165">
        <v>0</v>
      </c>
      <c r="B165" t="s">
        <v>312</v>
      </c>
      <c r="C165" t="s">
        <v>371</v>
      </c>
      <c r="D165" t="s">
        <v>2</v>
      </c>
      <c r="E165" t="s">
        <v>371</v>
      </c>
      <c r="F165" t="s">
        <v>13</v>
      </c>
      <c r="G165" t="s">
        <v>525</v>
      </c>
    </row>
    <row r="166" spans="1:7" x14ac:dyDescent="0.3">
      <c r="A166">
        <v>0</v>
      </c>
      <c r="B166" t="s">
        <v>312</v>
      </c>
      <c r="C166" t="s">
        <v>366</v>
      </c>
      <c r="D166" t="s">
        <v>2</v>
      </c>
      <c r="E166" t="s">
        <v>366</v>
      </c>
      <c r="F166" t="s">
        <v>13</v>
      </c>
      <c r="G166" t="s">
        <v>525</v>
      </c>
    </row>
    <row r="167" spans="1:7" x14ac:dyDescent="0.3">
      <c r="A167">
        <v>0</v>
      </c>
      <c r="B167" t="s">
        <v>312</v>
      </c>
      <c r="C167" t="s">
        <v>384</v>
      </c>
      <c r="D167" t="s">
        <v>2</v>
      </c>
      <c r="E167" t="s">
        <v>384</v>
      </c>
      <c r="F167" t="s">
        <v>13</v>
      </c>
      <c r="G167" t="s">
        <v>525</v>
      </c>
    </row>
    <row r="168" spans="1:7" x14ac:dyDescent="0.3">
      <c r="A168">
        <v>0</v>
      </c>
      <c r="B168" t="s">
        <v>319</v>
      </c>
      <c r="C168" t="s">
        <v>464</v>
      </c>
      <c r="D168" t="s">
        <v>2</v>
      </c>
      <c r="E168" t="s">
        <v>464</v>
      </c>
      <c r="F168" t="s">
        <v>13</v>
      </c>
      <c r="G168" t="s">
        <v>525</v>
      </c>
    </row>
    <row r="169" spans="1:7" x14ac:dyDescent="0.3">
      <c r="A169">
        <v>0</v>
      </c>
      <c r="B169" t="s">
        <v>312</v>
      </c>
      <c r="C169" t="s">
        <v>323</v>
      </c>
      <c r="D169" t="s">
        <v>2</v>
      </c>
      <c r="E169" t="s">
        <v>323</v>
      </c>
      <c r="F169" t="s">
        <v>13</v>
      </c>
      <c r="G169" t="s">
        <v>525</v>
      </c>
    </row>
    <row r="170" spans="1:7" x14ac:dyDescent="0.3">
      <c r="A170">
        <v>0</v>
      </c>
      <c r="B170" t="s">
        <v>314</v>
      </c>
      <c r="C170" t="s">
        <v>414</v>
      </c>
      <c r="D170" t="s">
        <v>2</v>
      </c>
      <c r="E170" t="s">
        <v>414</v>
      </c>
      <c r="F170" t="s">
        <v>13</v>
      </c>
      <c r="G170" t="s">
        <v>525</v>
      </c>
    </row>
    <row r="171" spans="1:7" x14ac:dyDescent="0.3">
      <c r="A171">
        <v>0</v>
      </c>
      <c r="B171" t="s">
        <v>312</v>
      </c>
      <c r="C171" t="s">
        <v>261</v>
      </c>
      <c r="D171" t="s">
        <v>2</v>
      </c>
      <c r="E171" t="s">
        <v>261</v>
      </c>
      <c r="F171" t="s">
        <v>13</v>
      </c>
      <c r="G171" t="s">
        <v>525</v>
      </c>
    </row>
    <row r="172" spans="1:7" x14ac:dyDescent="0.3">
      <c r="A172">
        <v>0</v>
      </c>
      <c r="B172" t="s">
        <v>319</v>
      </c>
      <c r="C172" t="s">
        <v>364</v>
      </c>
      <c r="D172" t="s">
        <v>2</v>
      </c>
      <c r="E172" t="s">
        <v>364</v>
      </c>
      <c r="F172" t="s">
        <v>13</v>
      </c>
      <c r="G172" t="s">
        <v>525</v>
      </c>
    </row>
    <row r="173" spans="1:7" x14ac:dyDescent="0.3">
      <c r="A173">
        <v>0</v>
      </c>
      <c r="B173" t="s">
        <v>312</v>
      </c>
      <c r="C173" t="s">
        <v>373</v>
      </c>
      <c r="D173" t="s">
        <v>2</v>
      </c>
      <c r="E173" t="s">
        <v>373</v>
      </c>
      <c r="F173" t="s">
        <v>13</v>
      </c>
      <c r="G173" t="s">
        <v>525</v>
      </c>
    </row>
    <row r="174" spans="1:7" x14ac:dyDescent="0.3">
      <c r="A174">
        <v>0</v>
      </c>
      <c r="B174" t="s">
        <v>312</v>
      </c>
      <c r="C174" t="s">
        <v>482</v>
      </c>
      <c r="D174" t="s">
        <v>2</v>
      </c>
      <c r="E174" t="s">
        <v>482</v>
      </c>
      <c r="F174" t="s">
        <v>13</v>
      </c>
      <c r="G174" t="s">
        <v>525</v>
      </c>
    </row>
    <row r="175" spans="1:7" x14ac:dyDescent="0.3">
      <c r="A175">
        <v>0</v>
      </c>
      <c r="B175" t="s">
        <v>312</v>
      </c>
      <c r="C175" t="s">
        <v>412</v>
      </c>
      <c r="D175" t="s">
        <v>2</v>
      </c>
      <c r="E175" t="s">
        <v>412</v>
      </c>
      <c r="F175" t="s">
        <v>13</v>
      </c>
      <c r="G175" t="s">
        <v>525</v>
      </c>
    </row>
    <row r="176" spans="1:7" x14ac:dyDescent="0.3">
      <c r="A176">
        <v>0</v>
      </c>
      <c r="B176" t="s">
        <v>312</v>
      </c>
      <c r="C176" t="s">
        <v>434</v>
      </c>
      <c r="D176" t="s">
        <v>2</v>
      </c>
      <c r="E176" t="s">
        <v>434</v>
      </c>
      <c r="F176" t="s">
        <v>13</v>
      </c>
      <c r="G176" t="s">
        <v>525</v>
      </c>
    </row>
    <row r="177" spans="1:7" x14ac:dyDescent="0.3">
      <c r="A177">
        <v>0</v>
      </c>
      <c r="B177" t="s">
        <v>314</v>
      </c>
      <c r="C177" t="s">
        <v>443</v>
      </c>
      <c r="D177" t="s">
        <v>2</v>
      </c>
      <c r="E177" t="s">
        <v>443</v>
      </c>
      <c r="F177" t="s">
        <v>13</v>
      </c>
      <c r="G177" t="s">
        <v>525</v>
      </c>
    </row>
    <row r="178" spans="1:7" x14ac:dyDescent="0.3">
      <c r="A178">
        <v>0</v>
      </c>
      <c r="B178" t="s">
        <v>319</v>
      </c>
      <c r="C178" t="s">
        <v>430</v>
      </c>
      <c r="D178" t="s">
        <v>2</v>
      </c>
      <c r="E178" t="s">
        <v>430</v>
      </c>
      <c r="F178" t="s">
        <v>13</v>
      </c>
      <c r="G178" t="s">
        <v>525</v>
      </c>
    </row>
    <row r="179" spans="1:7" x14ac:dyDescent="0.3">
      <c r="A179">
        <v>0</v>
      </c>
      <c r="B179" t="s">
        <v>314</v>
      </c>
      <c r="C179" t="s">
        <v>408</v>
      </c>
      <c r="D179" t="s">
        <v>2</v>
      </c>
      <c r="E179" t="s">
        <v>408</v>
      </c>
      <c r="F179" t="s">
        <v>13</v>
      </c>
      <c r="G179" t="s">
        <v>525</v>
      </c>
    </row>
    <row r="180" spans="1:7" x14ac:dyDescent="0.3">
      <c r="A180">
        <v>0</v>
      </c>
      <c r="B180" t="s">
        <v>312</v>
      </c>
      <c r="C180" t="s">
        <v>138</v>
      </c>
      <c r="D180" t="s">
        <v>2</v>
      </c>
      <c r="E180" t="s">
        <v>138</v>
      </c>
      <c r="F180" t="s">
        <v>13</v>
      </c>
      <c r="G180" t="s">
        <v>525</v>
      </c>
    </row>
    <row r="181" spans="1:7" x14ac:dyDescent="0.3">
      <c r="A181">
        <v>0</v>
      </c>
      <c r="B181" t="s">
        <v>312</v>
      </c>
      <c r="C181" t="s">
        <v>275</v>
      </c>
      <c r="D181" t="s">
        <v>2</v>
      </c>
      <c r="E181" t="s">
        <v>275</v>
      </c>
      <c r="F181" t="s">
        <v>13</v>
      </c>
      <c r="G181" t="s">
        <v>525</v>
      </c>
    </row>
    <row r="182" spans="1:7" x14ac:dyDescent="0.3">
      <c r="A182">
        <v>0</v>
      </c>
      <c r="B182" t="s">
        <v>312</v>
      </c>
      <c r="C182" t="s">
        <v>337</v>
      </c>
      <c r="D182" t="s">
        <v>2</v>
      </c>
      <c r="E182" t="s">
        <v>337</v>
      </c>
      <c r="F182" t="s">
        <v>13</v>
      </c>
      <c r="G182" t="s">
        <v>525</v>
      </c>
    </row>
    <row r="183" spans="1:7" x14ac:dyDescent="0.3">
      <c r="A183">
        <v>0</v>
      </c>
      <c r="B183" t="s">
        <v>312</v>
      </c>
      <c r="C183" t="s">
        <v>331</v>
      </c>
      <c r="D183" t="s">
        <v>2</v>
      </c>
      <c r="E183" t="s">
        <v>331</v>
      </c>
      <c r="F183" t="s">
        <v>13</v>
      </c>
      <c r="G183" t="s">
        <v>525</v>
      </c>
    </row>
    <row r="184" spans="1:7" x14ac:dyDescent="0.3">
      <c r="A184">
        <v>0</v>
      </c>
      <c r="B184" t="s">
        <v>312</v>
      </c>
      <c r="C184" t="s">
        <v>452</v>
      </c>
      <c r="D184" t="s">
        <v>2</v>
      </c>
      <c r="E184" t="s">
        <v>452</v>
      </c>
      <c r="F184" t="s">
        <v>13</v>
      </c>
      <c r="G184" t="s">
        <v>525</v>
      </c>
    </row>
    <row r="185" spans="1:7" x14ac:dyDescent="0.3">
      <c r="A185">
        <v>0</v>
      </c>
      <c r="B185" t="s">
        <v>319</v>
      </c>
      <c r="C185" t="s">
        <v>477</v>
      </c>
      <c r="D185" t="s">
        <v>2</v>
      </c>
      <c r="E185" t="s">
        <v>477</v>
      </c>
      <c r="F185" t="s">
        <v>13</v>
      </c>
      <c r="G185" t="s">
        <v>525</v>
      </c>
    </row>
    <row r="186" spans="1:7" x14ac:dyDescent="0.3">
      <c r="A186">
        <v>0</v>
      </c>
      <c r="B186" t="s">
        <v>312</v>
      </c>
      <c r="C186" t="s">
        <v>446</v>
      </c>
      <c r="D186" t="s">
        <v>2</v>
      </c>
      <c r="E186" t="s">
        <v>446</v>
      </c>
      <c r="F186" t="s">
        <v>13</v>
      </c>
      <c r="G186" t="s">
        <v>525</v>
      </c>
    </row>
    <row r="187" spans="1:7" x14ac:dyDescent="0.3">
      <c r="A187">
        <v>0</v>
      </c>
      <c r="B187" t="s">
        <v>319</v>
      </c>
      <c r="C187" t="s">
        <v>491</v>
      </c>
      <c r="D187" t="s">
        <v>2</v>
      </c>
      <c r="E187" t="s">
        <v>491</v>
      </c>
      <c r="F187" t="s">
        <v>13</v>
      </c>
      <c r="G187" t="s">
        <v>525</v>
      </c>
    </row>
    <row r="188" spans="1:7" x14ac:dyDescent="0.3">
      <c r="A188">
        <v>0</v>
      </c>
      <c r="B188" t="s">
        <v>312</v>
      </c>
      <c r="C188" t="s">
        <v>326</v>
      </c>
      <c r="D188" t="s">
        <v>2</v>
      </c>
      <c r="E188" t="s">
        <v>326</v>
      </c>
      <c r="F188" t="s">
        <v>13</v>
      </c>
      <c r="G188" t="s">
        <v>525</v>
      </c>
    </row>
    <row r="189" spans="1:7" x14ac:dyDescent="0.3">
      <c r="A189">
        <v>0</v>
      </c>
      <c r="B189" t="s">
        <v>319</v>
      </c>
      <c r="C189" t="s">
        <v>415</v>
      </c>
      <c r="D189" t="s">
        <v>2</v>
      </c>
      <c r="E189" t="s">
        <v>415</v>
      </c>
      <c r="F189" t="s">
        <v>13</v>
      </c>
      <c r="G189" t="s">
        <v>525</v>
      </c>
    </row>
    <row r="190" spans="1:7" x14ac:dyDescent="0.3">
      <c r="A190">
        <v>0</v>
      </c>
      <c r="B190" t="s">
        <v>314</v>
      </c>
      <c r="C190" t="s">
        <v>451</v>
      </c>
      <c r="D190" t="s">
        <v>2</v>
      </c>
      <c r="E190" t="s">
        <v>451</v>
      </c>
      <c r="F190" t="s">
        <v>13</v>
      </c>
      <c r="G190" t="s">
        <v>525</v>
      </c>
    </row>
    <row r="191" spans="1:7" x14ac:dyDescent="0.3">
      <c r="A191">
        <v>0</v>
      </c>
      <c r="B191" t="s">
        <v>314</v>
      </c>
      <c r="C191" t="s">
        <v>448</v>
      </c>
      <c r="D191" t="s">
        <v>2</v>
      </c>
      <c r="E191" t="s">
        <v>448</v>
      </c>
      <c r="F191" t="s">
        <v>13</v>
      </c>
      <c r="G191" t="s">
        <v>525</v>
      </c>
    </row>
    <row r="192" spans="1:7" x14ac:dyDescent="0.3">
      <c r="A192">
        <v>0</v>
      </c>
      <c r="B192" t="s">
        <v>312</v>
      </c>
      <c r="C192" t="s">
        <v>423</v>
      </c>
      <c r="D192" t="s">
        <v>2</v>
      </c>
      <c r="E192" t="s">
        <v>423</v>
      </c>
      <c r="F192" t="s">
        <v>13</v>
      </c>
      <c r="G192" t="s">
        <v>525</v>
      </c>
    </row>
    <row r="193" spans="1:7" x14ac:dyDescent="0.3">
      <c r="A193">
        <v>0</v>
      </c>
      <c r="B193" t="s">
        <v>319</v>
      </c>
      <c r="C193" t="s">
        <v>361</v>
      </c>
      <c r="D193" t="s">
        <v>2</v>
      </c>
      <c r="E193" t="s">
        <v>361</v>
      </c>
      <c r="F193" t="s">
        <v>13</v>
      </c>
      <c r="G193" t="s">
        <v>525</v>
      </c>
    </row>
    <row r="194" spans="1:7" x14ac:dyDescent="0.3">
      <c r="A194">
        <v>0</v>
      </c>
      <c r="B194" t="s">
        <v>314</v>
      </c>
      <c r="C194" t="s">
        <v>467</v>
      </c>
      <c r="D194" t="s">
        <v>2</v>
      </c>
      <c r="E194" t="s">
        <v>467</v>
      </c>
      <c r="F194" t="s">
        <v>13</v>
      </c>
      <c r="G194" t="s">
        <v>525</v>
      </c>
    </row>
    <row r="195" spans="1:7" x14ac:dyDescent="0.3">
      <c r="A195">
        <v>0</v>
      </c>
      <c r="B195" t="s">
        <v>319</v>
      </c>
      <c r="C195" t="s">
        <v>420</v>
      </c>
      <c r="D195" t="s">
        <v>2</v>
      </c>
      <c r="E195" t="s">
        <v>420</v>
      </c>
      <c r="F195" t="s">
        <v>13</v>
      </c>
      <c r="G195" t="s">
        <v>525</v>
      </c>
    </row>
    <row r="196" spans="1:7" x14ac:dyDescent="0.3">
      <c r="A196">
        <v>0</v>
      </c>
      <c r="B196" t="s">
        <v>314</v>
      </c>
      <c r="C196" t="s">
        <v>487</v>
      </c>
      <c r="D196" t="s">
        <v>2</v>
      </c>
      <c r="E196" t="s">
        <v>487</v>
      </c>
      <c r="F196" t="s">
        <v>13</v>
      </c>
      <c r="G196" t="s">
        <v>525</v>
      </c>
    </row>
    <row r="197" spans="1:7" x14ac:dyDescent="0.3">
      <c r="A197">
        <v>0</v>
      </c>
      <c r="B197" t="s">
        <v>312</v>
      </c>
      <c r="C197" t="s">
        <v>149</v>
      </c>
      <c r="D197" t="s">
        <v>2</v>
      </c>
      <c r="E197" t="s">
        <v>149</v>
      </c>
      <c r="F197" t="s">
        <v>13</v>
      </c>
      <c r="G197" t="s">
        <v>525</v>
      </c>
    </row>
    <row r="198" spans="1:7" x14ac:dyDescent="0.3">
      <c r="A198">
        <v>0</v>
      </c>
      <c r="B198" t="s">
        <v>314</v>
      </c>
      <c r="C198" t="s">
        <v>377</v>
      </c>
      <c r="D198" t="s">
        <v>2</v>
      </c>
      <c r="E198" t="s">
        <v>377</v>
      </c>
      <c r="F198" t="s">
        <v>13</v>
      </c>
      <c r="G198" t="s">
        <v>525</v>
      </c>
    </row>
    <row r="199" spans="1:7" x14ac:dyDescent="0.3">
      <c r="A199">
        <v>0</v>
      </c>
      <c r="B199" t="s">
        <v>312</v>
      </c>
      <c r="C199" t="s">
        <v>403</v>
      </c>
      <c r="D199" t="s">
        <v>2</v>
      </c>
      <c r="E199" t="s">
        <v>403</v>
      </c>
      <c r="F199" t="s">
        <v>13</v>
      </c>
      <c r="G199" t="s">
        <v>525</v>
      </c>
    </row>
    <row r="200" spans="1:7" x14ac:dyDescent="0.3">
      <c r="A200">
        <v>0</v>
      </c>
      <c r="B200" t="s">
        <v>312</v>
      </c>
      <c r="C200" t="s">
        <v>387</v>
      </c>
      <c r="D200" t="s">
        <v>2</v>
      </c>
      <c r="E200" t="s">
        <v>387</v>
      </c>
      <c r="F200" t="s">
        <v>13</v>
      </c>
      <c r="G200" t="s">
        <v>525</v>
      </c>
    </row>
    <row r="201" spans="1:7" x14ac:dyDescent="0.3">
      <c r="A201">
        <v>0</v>
      </c>
      <c r="B201" t="s">
        <v>312</v>
      </c>
      <c r="C201" t="s">
        <v>431</v>
      </c>
      <c r="D201" t="s">
        <v>2</v>
      </c>
      <c r="E201" t="s">
        <v>431</v>
      </c>
      <c r="F201" t="s">
        <v>13</v>
      </c>
      <c r="G201" t="s">
        <v>525</v>
      </c>
    </row>
    <row r="202" spans="1:7" x14ac:dyDescent="0.3">
      <c r="A202">
        <v>0</v>
      </c>
      <c r="B202" t="s">
        <v>319</v>
      </c>
      <c r="C202" t="s">
        <v>459</v>
      </c>
      <c r="D202" t="s">
        <v>2</v>
      </c>
      <c r="E202" t="s">
        <v>459</v>
      </c>
      <c r="F202" t="s">
        <v>13</v>
      </c>
      <c r="G202" t="s">
        <v>525</v>
      </c>
    </row>
    <row r="203" spans="1:7" x14ac:dyDescent="0.3">
      <c r="A203">
        <v>0</v>
      </c>
      <c r="B203" t="s">
        <v>314</v>
      </c>
      <c r="C203" t="s">
        <v>376</v>
      </c>
      <c r="D203" t="s">
        <v>2</v>
      </c>
      <c r="E203" t="s">
        <v>376</v>
      </c>
      <c r="F203" t="s">
        <v>13</v>
      </c>
      <c r="G203" t="s">
        <v>525</v>
      </c>
    </row>
    <row r="204" spans="1:7" x14ac:dyDescent="0.3">
      <c r="A204">
        <v>0</v>
      </c>
      <c r="B204" t="s">
        <v>312</v>
      </c>
      <c r="C204" t="s">
        <v>379</v>
      </c>
      <c r="D204" t="s">
        <v>2</v>
      </c>
      <c r="E204" t="s">
        <v>379</v>
      </c>
      <c r="F204" t="s">
        <v>13</v>
      </c>
      <c r="G204" t="s">
        <v>525</v>
      </c>
    </row>
    <row r="205" spans="1:7" x14ac:dyDescent="0.3">
      <c r="A205">
        <v>0</v>
      </c>
      <c r="B205" t="s">
        <v>314</v>
      </c>
      <c r="C205" t="s">
        <v>445</v>
      </c>
      <c r="D205" t="s">
        <v>2</v>
      </c>
      <c r="E205" t="s">
        <v>445</v>
      </c>
      <c r="F205" t="s">
        <v>13</v>
      </c>
      <c r="G205" t="s">
        <v>525</v>
      </c>
    </row>
    <row r="206" spans="1:7" x14ac:dyDescent="0.3">
      <c r="A206">
        <v>0</v>
      </c>
      <c r="B206" t="s">
        <v>319</v>
      </c>
      <c r="C206" t="s">
        <v>460</v>
      </c>
      <c r="D206" t="s">
        <v>2</v>
      </c>
      <c r="E206" t="s">
        <v>460</v>
      </c>
      <c r="F206" t="s">
        <v>13</v>
      </c>
      <c r="G206" t="s">
        <v>525</v>
      </c>
    </row>
    <row r="207" spans="1:7" x14ac:dyDescent="0.3">
      <c r="A207">
        <v>0</v>
      </c>
      <c r="B207" t="s">
        <v>314</v>
      </c>
      <c r="C207" t="s">
        <v>450</v>
      </c>
      <c r="D207" t="s">
        <v>2</v>
      </c>
      <c r="E207" t="s">
        <v>450</v>
      </c>
      <c r="F207" t="s">
        <v>13</v>
      </c>
      <c r="G207" t="s">
        <v>525</v>
      </c>
    </row>
    <row r="208" spans="1:7" x14ac:dyDescent="0.3">
      <c r="A208">
        <v>0</v>
      </c>
      <c r="B208" t="s">
        <v>312</v>
      </c>
      <c r="C208" t="s">
        <v>473</v>
      </c>
      <c r="D208" t="s">
        <v>2</v>
      </c>
      <c r="E208" t="s">
        <v>473</v>
      </c>
      <c r="F208" t="s">
        <v>13</v>
      </c>
      <c r="G208" t="s">
        <v>525</v>
      </c>
    </row>
    <row r="209" spans="1:7" x14ac:dyDescent="0.3">
      <c r="A209">
        <v>0</v>
      </c>
      <c r="B209" t="s">
        <v>314</v>
      </c>
      <c r="C209" t="s">
        <v>313</v>
      </c>
      <c r="D209" t="s">
        <v>2</v>
      </c>
      <c r="E209" t="s">
        <v>313</v>
      </c>
      <c r="F209" t="s">
        <v>13</v>
      </c>
      <c r="G209" t="s">
        <v>525</v>
      </c>
    </row>
    <row r="210" spans="1:7" x14ac:dyDescent="0.3">
      <c r="A210">
        <v>0</v>
      </c>
      <c r="B210" t="s">
        <v>312</v>
      </c>
      <c r="C210" t="s">
        <v>472</v>
      </c>
      <c r="D210" t="s">
        <v>2</v>
      </c>
      <c r="E210" t="s">
        <v>472</v>
      </c>
      <c r="F210" t="s">
        <v>13</v>
      </c>
      <c r="G210" t="s">
        <v>525</v>
      </c>
    </row>
    <row r="211" spans="1:7" x14ac:dyDescent="0.3">
      <c r="A211">
        <v>0</v>
      </c>
      <c r="B211" t="s">
        <v>312</v>
      </c>
      <c r="C211" t="s">
        <v>402</v>
      </c>
      <c r="D211" t="s">
        <v>2</v>
      </c>
      <c r="E211" t="s">
        <v>402</v>
      </c>
      <c r="F211" t="s">
        <v>13</v>
      </c>
      <c r="G211" t="s">
        <v>525</v>
      </c>
    </row>
    <row r="212" spans="1:7" x14ac:dyDescent="0.3">
      <c r="A212">
        <v>0</v>
      </c>
      <c r="B212" t="s">
        <v>314</v>
      </c>
      <c r="C212" t="s">
        <v>455</v>
      </c>
      <c r="D212" t="s">
        <v>2</v>
      </c>
      <c r="E212" t="s">
        <v>455</v>
      </c>
      <c r="F212" t="s">
        <v>13</v>
      </c>
      <c r="G212" t="s">
        <v>525</v>
      </c>
    </row>
    <row r="213" spans="1:7" x14ac:dyDescent="0.3">
      <c r="A213">
        <v>0</v>
      </c>
      <c r="B213" t="s">
        <v>312</v>
      </c>
      <c r="C213" t="s">
        <v>411</v>
      </c>
      <c r="D213" t="s">
        <v>2</v>
      </c>
      <c r="E213" t="s">
        <v>411</v>
      </c>
      <c r="F213" t="s">
        <v>13</v>
      </c>
      <c r="G213" t="s">
        <v>525</v>
      </c>
    </row>
    <row r="214" spans="1:7" x14ac:dyDescent="0.3">
      <c r="A214">
        <v>0</v>
      </c>
      <c r="B214" t="s">
        <v>312</v>
      </c>
      <c r="C214" t="s">
        <v>488</v>
      </c>
      <c r="D214" t="s">
        <v>2</v>
      </c>
      <c r="E214" t="s">
        <v>488</v>
      </c>
      <c r="F214" t="s">
        <v>13</v>
      </c>
      <c r="G214" t="s">
        <v>525</v>
      </c>
    </row>
    <row r="215" spans="1:7" x14ac:dyDescent="0.3">
      <c r="A215">
        <v>0</v>
      </c>
      <c r="B215" t="s">
        <v>319</v>
      </c>
      <c r="C215" t="s">
        <v>462</v>
      </c>
      <c r="D215" t="s">
        <v>2</v>
      </c>
      <c r="E215" t="s">
        <v>462</v>
      </c>
      <c r="F215" t="s">
        <v>13</v>
      </c>
      <c r="G215" t="s">
        <v>525</v>
      </c>
    </row>
    <row r="216" spans="1:7" x14ac:dyDescent="0.3">
      <c r="A216">
        <v>0</v>
      </c>
      <c r="B216" t="s">
        <v>312</v>
      </c>
      <c r="C216" t="s">
        <v>246</v>
      </c>
      <c r="D216" t="s">
        <v>2</v>
      </c>
      <c r="E216" t="s">
        <v>246</v>
      </c>
      <c r="F216" t="s">
        <v>13</v>
      </c>
      <c r="G216" t="s">
        <v>525</v>
      </c>
    </row>
    <row r="217" spans="1:7" x14ac:dyDescent="0.3">
      <c r="A217">
        <v>0</v>
      </c>
      <c r="B217" t="s">
        <v>312</v>
      </c>
      <c r="C217" t="s">
        <v>357</v>
      </c>
      <c r="D217" t="s">
        <v>2</v>
      </c>
      <c r="E217" t="s">
        <v>357</v>
      </c>
      <c r="F217" t="s">
        <v>13</v>
      </c>
      <c r="G217" t="s">
        <v>525</v>
      </c>
    </row>
    <row r="218" spans="1:7" x14ac:dyDescent="0.3">
      <c r="A218">
        <v>0</v>
      </c>
      <c r="B218" t="s">
        <v>314</v>
      </c>
      <c r="C218" t="s">
        <v>341</v>
      </c>
      <c r="D218" t="s">
        <v>2</v>
      </c>
      <c r="E218" t="s">
        <v>341</v>
      </c>
      <c r="F218" t="s">
        <v>13</v>
      </c>
      <c r="G218" t="s">
        <v>525</v>
      </c>
    </row>
    <row r="219" spans="1:7" x14ac:dyDescent="0.3">
      <c r="A219">
        <v>0</v>
      </c>
      <c r="B219" t="s">
        <v>319</v>
      </c>
      <c r="C219" t="s">
        <v>466</v>
      </c>
      <c r="D219" t="s">
        <v>2</v>
      </c>
      <c r="E219" t="s">
        <v>466</v>
      </c>
      <c r="F219" t="s">
        <v>13</v>
      </c>
      <c r="G219" t="s">
        <v>525</v>
      </c>
    </row>
    <row r="220" spans="1:7" x14ac:dyDescent="0.3">
      <c r="A220">
        <v>0</v>
      </c>
      <c r="B220" t="s">
        <v>319</v>
      </c>
      <c r="C220" t="s">
        <v>362</v>
      </c>
      <c r="D220" t="s">
        <v>2</v>
      </c>
      <c r="E220" t="s">
        <v>362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433</v>
      </c>
      <c r="D221" t="s">
        <v>2</v>
      </c>
      <c r="E221" t="s">
        <v>433</v>
      </c>
      <c r="F221" t="s">
        <v>13</v>
      </c>
      <c r="G221" t="s">
        <v>525</v>
      </c>
    </row>
    <row r="222" spans="1:7" x14ac:dyDescent="0.3">
      <c r="A222">
        <v>0</v>
      </c>
      <c r="B222" t="s">
        <v>312</v>
      </c>
      <c r="C222" t="s">
        <v>397</v>
      </c>
      <c r="D222" t="s">
        <v>2</v>
      </c>
      <c r="E222" t="s">
        <v>397</v>
      </c>
      <c r="F222" t="s">
        <v>13</v>
      </c>
      <c r="G222" t="s">
        <v>525</v>
      </c>
    </row>
    <row r="223" spans="1:7" x14ac:dyDescent="0.3">
      <c r="A223">
        <v>0</v>
      </c>
      <c r="B223" t="s">
        <v>319</v>
      </c>
      <c r="C223" t="s">
        <v>378</v>
      </c>
      <c r="D223" t="s">
        <v>2</v>
      </c>
      <c r="E223" t="s">
        <v>378</v>
      </c>
      <c r="F223" t="s">
        <v>13</v>
      </c>
      <c r="G223" t="s">
        <v>525</v>
      </c>
    </row>
    <row r="224" spans="1:7" x14ac:dyDescent="0.3">
      <c r="A224">
        <v>0</v>
      </c>
      <c r="B224" t="s">
        <v>105</v>
      </c>
      <c r="C224" t="s">
        <v>117</v>
      </c>
      <c r="D224" t="s">
        <v>2</v>
      </c>
      <c r="E224" t="s">
        <v>117</v>
      </c>
      <c r="F224" t="s">
        <v>13</v>
      </c>
      <c r="G224" t="s">
        <v>525</v>
      </c>
    </row>
    <row r="225" spans="1:7" x14ac:dyDescent="0.3">
      <c r="A225">
        <v>0</v>
      </c>
      <c r="B225" t="s">
        <v>312</v>
      </c>
      <c r="C225" t="s">
        <v>476</v>
      </c>
      <c r="D225" t="s">
        <v>2</v>
      </c>
      <c r="E225" t="s">
        <v>476</v>
      </c>
      <c r="F225" t="s">
        <v>13</v>
      </c>
      <c r="G225" t="s">
        <v>525</v>
      </c>
    </row>
    <row r="226" spans="1:7" x14ac:dyDescent="0.3">
      <c r="A226">
        <v>0</v>
      </c>
      <c r="B226" t="s">
        <v>319</v>
      </c>
      <c r="C226" t="s">
        <v>478</v>
      </c>
      <c r="D226" t="s">
        <v>2</v>
      </c>
      <c r="E226" t="s">
        <v>478</v>
      </c>
      <c r="F226" t="s">
        <v>13</v>
      </c>
      <c r="G226" t="s">
        <v>525</v>
      </c>
    </row>
    <row r="227" spans="1:7" x14ac:dyDescent="0.3">
      <c r="A227">
        <v>0</v>
      </c>
      <c r="B227" t="s">
        <v>312</v>
      </c>
      <c r="C227" t="s">
        <v>367</v>
      </c>
      <c r="D227" t="s">
        <v>2</v>
      </c>
      <c r="E227" t="s">
        <v>367</v>
      </c>
      <c r="F227" t="s">
        <v>13</v>
      </c>
      <c r="G227" t="s">
        <v>525</v>
      </c>
    </row>
    <row r="228" spans="1:7" x14ac:dyDescent="0.3">
      <c r="A228">
        <v>0</v>
      </c>
      <c r="B228" t="s">
        <v>312</v>
      </c>
      <c r="C228" t="s">
        <v>346</v>
      </c>
      <c r="D228" t="s">
        <v>2</v>
      </c>
      <c r="E228" t="s">
        <v>346</v>
      </c>
      <c r="F228" t="s">
        <v>13</v>
      </c>
      <c r="G228" t="s">
        <v>525</v>
      </c>
    </row>
    <row r="229" spans="1:7" x14ac:dyDescent="0.3">
      <c r="A229">
        <v>0</v>
      </c>
      <c r="B229" t="s">
        <v>105</v>
      </c>
      <c r="C229" t="s">
        <v>119</v>
      </c>
      <c r="D229" t="s">
        <v>2</v>
      </c>
      <c r="E229" t="s">
        <v>119</v>
      </c>
      <c r="F229" t="s">
        <v>13</v>
      </c>
      <c r="G229" t="s">
        <v>525</v>
      </c>
    </row>
    <row r="230" spans="1:7" x14ac:dyDescent="0.3">
      <c r="A230">
        <v>0</v>
      </c>
      <c r="B230" t="s">
        <v>312</v>
      </c>
      <c r="C230" t="s">
        <v>385</v>
      </c>
      <c r="D230" t="s">
        <v>2</v>
      </c>
      <c r="E230" t="s">
        <v>385</v>
      </c>
      <c r="F230" t="s">
        <v>13</v>
      </c>
      <c r="G230" t="s">
        <v>525</v>
      </c>
    </row>
    <row r="231" spans="1:7" x14ac:dyDescent="0.3">
      <c r="A231">
        <v>0</v>
      </c>
      <c r="B231" t="s">
        <v>57</v>
      </c>
      <c r="C231" t="s">
        <v>120</v>
      </c>
      <c r="D231" t="s">
        <v>2</v>
      </c>
      <c r="E231" t="s">
        <v>120</v>
      </c>
      <c r="F231" t="s">
        <v>13</v>
      </c>
      <c r="G231" t="s">
        <v>525</v>
      </c>
    </row>
    <row r="232" spans="1:7" x14ac:dyDescent="0.3">
      <c r="A232">
        <v>0</v>
      </c>
      <c r="B232" t="s">
        <v>312</v>
      </c>
      <c r="C232" t="s">
        <v>324</v>
      </c>
      <c r="D232" t="s">
        <v>2</v>
      </c>
      <c r="E232" t="s">
        <v>324</v>
      </c>
      <c r="F232" t="s">
        <v>13</v>
      </c>
      <c r="G232" t="s">
        <v>525</v>
      </c>
    </row>
    <row r="233" spans="1:7" x14ac:dyDescent="0.3">
      <c r="A233">
        <v>0</v>
      </c>
      <c r="B233" t="s">
        <v>312</v>
      </c>
      <c r="C233" t="s">
        <v>327</v>
      </c>
      <c r="D233" t="s">
        <v>2</v>
      </c>
      <c r="E233" t="s">
        <v>327</v>
      </c>
      <c r="F233" t="s">
        <v>13</v>
      </c>
      <c r="G233" t="s">
        <v>525</v>
      </c>
    </row>
    <row r="234" spans="1:7" x14ac:dyDescent="0.3">
      <c r="A234">
        <v>0</v>
      </c>
      <c r="B234" t="s">
        <v>314</v>
      </c>
      <c r="C234" t="s">
        <v>441</v>
      </c>
      <c r="D234" t="s">
        <v>2</v>
      </c>
      <c r="E234" t="s">
        <v>441</v>
      </c>
      <c r="F234" t="s">
        <v>13</v>
      </c>
      <c r="G234" t="s">
        <v>525</v>
      </c>
    </row>
    <row r="235" spans="1:7" x14ac:dyDescent="0.3">
      <c r="A235">
        <v>0</v>
      </c>
      <c r="B235" t="s">
        <v>105</v>
      </c>
      <c r="C235" t="s">
        <v>115</v>
      </c>
      <c r="D235" t="s">
        <v>2</v>
      </c>
      <c r="E235" t="s">
        <v>115</v>
      </c>
      <c r="F235" t="s">
        <v>13</v>
      </c>
      <c r="G235" t="s">
        <v>525</v>
      </c>
    </row>
    <row r="236" spans="1:7" x14ac:dyDescent="0.3">
      <c r="A236">
        <v>0</v>
      </c>
      <c r="B236" t="s">
        <v>312</v>
      </c>
      <c r="C236" t="s">
        <v>484</v>
      </c>
      <c r="D236" t="s">
        <v>2</v>
      </c>
      <c r="E236" t="s">
        <v>484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311</v>
      </c>
      <c r="D237" t="s">
        <v>2</v>
      </c>
      <c r="E237" t="s">
        <v>311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365</v>
      </c>
      <c r="D238" t="s">
        <v>2</v>
      </c>
      <c r="E238" t="s">
        <v>365</v>
      </c>
      <c r="F238" t="s">
        <v>13</v>
      </c>
      <c r="G238" t="s">
        <v>525</v>
      </c>
    </row>
    <row r="239" spans="1:7" x14ac:dyDescent="0.3">
      <c r="A239">
        <v>0</v>
      </c>
      <c r="B239" t="s">
        <v>314</v>
      </c>
      <c r="C239" t="s">
        <v>350</v>
      </c>
      <c r="D239" t="s">
        <v>2</v>
      </c>
      <c r="E239" t="s">
        <v>350</v>
      </c>
      <c r="F239" t="s">
        <v>13</v>
      </c>
      <c r="G239" t="s">
        <v>525</v>
      </c>
    </row>
    <row r="240" spans="1:7" x14ac:dyDescent="0.3">
      <c r="A240">
        <v>0</v>
      </c>
      <c r="B240" t="s">
        <v>105</v>
      </c>
      <c r="C240" t="s">
        <v>123</v>
      </c>
      <c r="D240" t="s">
        <v>2</v>
      </c>
      <c r="E240" t="s">
        <v>123</v>
      </c>
      <c r="F240" t="s">
        <v>13</v>
      </c>
      <c r="G240" t="s">
        <v>525</v>
      </c>
    </row>
    <row r="241" spans="1:7" x14ac:dyDescent="0.3">
      <c r="A241">
        <v>0</v>
      </c>
      <c r="B241" t="s">
        <v>312</v>
      </c>
      <c r="C241" t="s">
        <v>396</v>
      </c>
      <c r="D241" t="s">
        <v>2</v>
      </c>
      <c r="E241" t="s">
        <v>396</v>
      </c>
      <c r="F241" t="s">
        <v>13</v>
      </c>
      <c r="G241" t="s">
        <v>525</v>
      </c>
    </row>
    <row r="242" spans="1:7" x14ac:dyDescent="0.3">
      <c r="A242">
        <v>0</v>
      </c>
      <c r="B242" t="s">
        <v>312</v>
      </c>
      <c r="C242" t="s">
        <v>428</v>
      </c>
      <c r="D242" t="s">
        <v>2</v>
      </c>
      <c r="E242" t="s">
        <v>428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383</v>
      </c>
      <c r="D243" t="s">
        <v>2</v>
      </c>
      <c r="E243" t="s">
        <v>383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426</v>
      </c>
      <c r="D244" t="s">
        <v>2</v>
      </c>
      <c r="E244" t="s">
        <v>426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t="s">
        <v>437</v>
      </c>
      <c r="D245" t="s">
        <v>2</v>
      </c>
      <c r="E245" t="s">
        <v>437</v>
      </c>
      <c r="F245" t="s">
        <v>13</v>
      </c>
      <c r="G245" t="s">
        <v>525</v>
      </c>
    </row>
    <row r="246" spans="1:7" x14ac:dyDescent="0.3">
      <c r="A246">
        <v>0</v>
      </c>
      <c r="B246" t="s">
        <v>312</v>
      </c>
      <c r="C246" t="s">
        <v>454</v>
      </c>
      <c r="D246" t="s">
        <v>2</v>
      </c>
      <c r="E246" t="s">
        <v>454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425</v>
      </c>
      <c r="D247" t="s">
        <v>2</v>
      </c>
      <c r="E247" t="s">
        <v>425</v>
      </c>
      <c r="F247" t="s">
        <v>13</v>
      </c>
      <c r="G247" t="s">
        <v>525</v>
      </c>
    </row>
    <row r="248" spans="1:7" x14ac:dyDescent="0.3">
      <c r="A248">
        <v>0</v>
      </c>
      <c r="B248" t="s">
        <v>312</v>
      </c>
      <c r="C248" t="s">
        <v>344</v>
      </c>
      <c r="D248" t="s">
        <v>2</v>
      </c>
      <c r="E248" t="s">
        <v>344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407</v>
      </c>
      <c r="D249" t="s">
        <v>2</v>
      </c>
      <c r="E249" t="s">
        <v>407</v>
      </c>
      <c r="F249" t="s">
        <v>13</v>
      </c>
      <c r="G249" t="s">
        <v>525</v>
      </c>
    </row>
    <row r="250" spans="1:7" x14ac:dyDescent="0.3">
      <c r="A250">
        <v>0</v>
      </c>
      <c r="B250" t="s">
        <v>314</v>
      </c>
      <c r="C250" t="s">
        <v>413</v>
      </c>
      <c r="D250" t="s">
        <v>2</v>
      </c>
      <c r="E250" t="s">
        <v>413</v>
      </c>
      <c r="F250" t="s">
        <v>13</v>
      </c>
      <c r="G250" t="s">
        <v>525</v>
      </c>
    </row>
    <row r="251" spans="1:7" x14ac:dyDescent="0.3">
      <c r="A251">
        <v>0</v>
      </c>
      <c r="B251" t="s">
        <v>312</v>
      </c>
      <c r="C251" t="s">
        <v>392</v>
      </c>
      <c r="D251" t="s">
        <v>2</v>
      </c>
      <c r="E251" t="s">
        <v>392</v>
      </c>
      <c r="F251" t="s">
        <v>13</v>
      </c>
      <c r="G251" t="s">
        <v>525</v>
      </c>
    </row>
    <row r="252" spans="1:7" x14ac:dyDescent="0.3">
      <c r="A252">
        <v>0</v>
      </c>
      <c r="B252" t="s">
        <v>319</v>
      </c>
      <c r="C252" t="s">
        <v>422</v>
      </c>
      <c r="D252" t="s">
        <v>2</v>
      </c>
      <c r="E252" t="s">
        <v>422</v>
      </c>
      <c r="F252" t="s">
        <v>13</v>
      </c>
      <c r="G252" t="s">
        <v>525</v>
      </c>
    </row>
    <row r="253" spans="1:7" x14ac:dyDescent="0.3">
      <c r="A253">
        <v>0</v>
      </c>
      <c r="B253" t="s">
        <v>314</v>
      </c>
      <c r="C253" t="s">
        <v>495</v>
      </c>
      <c r="D253" t="s">
        <v>494</v>
      </c>
      <c r="E253" t="s">
        <v>495</v>
      </c>
      <c r="F253" t="s">
        <v>13</v>
      </c>
      <c r="G253" t="s">
        <v>525</v>
      </c>
    </row>
    <row r="254" spans="1:7" x14ac:dyDescent="0.3">
      <c r="A254">
        <v>0</v>
      </c>
      <c r="B254" t="s">
        <v>314</v>
      </c>
      <c r="C254" t="s">
        <v>497</v>
      </c>
      <c r="D254" t="s">
        <v>494</v>
      </c>
      <c r="E254" t="s">
        <v>497</v>
      </c>
      <c r="F254" t="s">
        <v>13</v>
      </c>
      <c r="G254" t="s">
        <v>525</v>
      </c>
    </row>
    <row r="255" spans="1:7" x14ac:dyDescent="0.3">
      <c r="A255">
        <v>0</v>
      </c>
      <c r="B255" t="s">
        <v>314</v>
      </c>
      <c r="C255" t="s">
        <v>496</v>
      </c>
      <c r="D255" t="s">
        <v>494</v>
      </c>
      <c r="E255" t="s">
        <v>496</v>
      </c>
      <c r="F255" t="s">
        <v>13</v>
      </c>
      <c r="G255" t="s">
        <v>525</v>
      </c>
    </row>
    <row r="256" spans="1:7" x14ac:dyDescent="0.3">
      <c r="A256">
        <v>0</v>
      </c>
      <c r="B256" t="s">
        <v>312</v>
      </c>
      <c r="C256" t="s">
        <v>513</v>
      </c>
      <c r="D256" t="s">
        <v>498</v>
      </c>
      <c r="E256" t="s">
        <v>513</v>
      </c>
      <c r="F256" t="s">
        <v>13</v>
      </c>
      <c r="G256" t="s">
        <v>525</v>
      </c>
    </row>
    <row r="257" spans="1:7" x14ac:dyDescent="0.3">
      <c r="A257">
        <v>0</v>
      </c>
      <c r="B257" t="s">
        <v>312</v>
      </c>
      <c r="C257" t="s">
        <v>515</v>
      </c>
      <c r="D257" t="s">
        <v>498</v>
      </c>
      <c r="E257" t="s">
        <v>515</v>
      </c>
      <c r="F257" t="s">
        <v>13</v>
      </c>
      <c r="G257" t="s">
        <v>525</v>
      </c>
    </row>
    <row r="258" spans="1:7" x14ac:dyDescent="0.3">
      <c r="A258">
        <v>0</v>
      </c>
      <c r="B258" t="s">
        <v>312</v>
      </c>
      <c r="C258" t="s">
        <v>509</v>
      </c>
      <c r="D258" t="s">
        <v>498</v>
      </c>
      <c r="E258" t="s">
        <v>509</v>
      </c>
      <c r="F258" t="s">
        <v>13</v>
      </c>
      <c r="G258" t="s">
        <v>525</v>
      </c>
    </row>
    <row r="259" spans="1:7" x14ac:dyDescent="0.3">
      <c r="A259">
        <v>0</v>
      </c>
      <c r="B259" t="s">
        <v>312</v>
      </c>
      <c r="C259" t="s">
        <v>502</v>
      </c>
      <c r="D259" t="s">
        <v>498</v>
      </c>
      <c r="E259" t="s">
        <v>502</v>
      </c>
      <c r="F259" t="s">
        <v>13</v>
      </c>
      <c r="G259" t="s">
        <v>525</v>
      </c>
    </row>
    <row r="260" spans="1:7" x14ac:dyDescent="0.3">
      <c r="A260">
        <v>0</v>
      </c>
      <c r="B260" t="s">
        <v>312</v>
      </c>
      <c r="C260" t="s">
        <v>500</v>
      </c>
      <c r="D260" t="s">
        <v>498</v>
      </c>
      <c r="E260" t="s">
        <v>500</v>
      </c>
      <c r="F260" t="s">
        <v>13</v>
      </c>
      <c r="G260" t="s">
        <v>525</v>
      </c>
    </row>
    <row r="261" spans="1:7" x14ac:dyDescent="0.3">
      <c r="A261">
        <v>0</v>
      </c>
      <c r="B261" t="s">
        <v>507</v>
      </c>
      <c r="C261" t="s">
        <v>506</v>
      </c>
      <c r="D261" t="s">
        <v>498</v>
      </c>
      <c r="E261" t="s">
        <v>506</v>
      </c>
      <c r="F261" t="s">
        <v>13</v>
      </c>
      <c r="G261" t="s">
        <v>525</v>
      </c>
    </row>
    <row r="262" spans="1:7" x14ac:dyDescent="0.3">
      <c r="A262">
        <v>0</v>
      </c>
      <c r="B262" t="s">
        <v>312</v>
      </c>
      <c r="C262" t="s">
        <v>514</v>
      </c>
      <c r="D262" t="s">
        <v>498</v>
      </c>
      <c r="E262" t="s">
        <v>514</v>
      </c>
      <c r="F262" t="s">
        <v>13</v>
      </c>
      <c r="G262" t="s">
        <v>525</v>
      </c>
    </row>
    <row r="263" spans="1:7" x14ac:dyDescent="0.3">
      <c r="A263">
        <v>0</v>
      </c>
      <c r="B263" t="s">
        <v>312</v>
      </c>
      <c r="C263" t="s">
        <v>499</v>
      </c>
      <c r="D263" t="s">
        <v>498</v>
      </c>
      <c r="E263" t="s">
        <v>499</v>
      </c>
      <c r="F263" t="s">
        <v>13</v>
      </c>
      <c r="G263" t="s">
        <v>525</v>
      </c>
    </row>
    <row r="264" spans="1:7" x14ac:dyDescent="0.3">
      <c r="A264">
        <v>0</v>
      </c>
      <c r="B264" t="s">
        <v>312</v>
      </c>
      <c r="C264" t="s">
        <v>508</v>
      </c>
      <c r="D264" t="s">
        <v>498</v>
      </c>
      <c r="E264" t="s">
        <v>508</v>
      </c>
      <c r="F264" t="s">
        <v>13</v>
      </c>
      <c r="G264" t="s">
        <v>525</v>
      </c>
    </row>
    <row r="265" spans="1:7" x14ac:dyDescent="0.3">
      <c r="A265">
        <v>0</v>
      </c>
      <c r="B265" t="s">
        <v>312</v>
      </c>
      <c r="C265" t="s">
        <v>519</v>
      </c>
      <c r="D265" t="s">
        <v>498</v>
      </c>
      <c r="E265" t="s">
        <v>519</v>
      </c>
      <c r="F265" t="s">
        <v>13</v>
      </c>
      <c r="G265" t="s">
        <v>525</v>
      </c>
    </row>
    <row r="266" spans="1:7" x14ac:dyDescent="0.3">
      <c r="A266">
        <v>0</v>
      </c>
      <c r="B266" t="s">
        <v>312</v>
      </c>
      <c r="C266" t="s">
        <v>510</v>
      </c>
      <c r="D266" t="s">
        <v>498</v>
      </c>
      <c r="E266" t="s">
        <v>510</v>
      </c>
      <c r="F266" t="s">
        <v>13</v>
      </c>
      <c r="G266" t="s">
        <v>525</v>
      </c>
    </row>
    <row r="267" spans="1:7" x14ac:dyDescent="0.3">
      <c r="A267">
        <v>0</v>
      </c>
      <c r="B267" t="s">
        <v>312</v>
      </c>
      <c r="C267" t="s">
        <v>521</v>
      </c>
      <c r="D267" t="s">
        <v>498</v>
      </c>
      <c r="E267" t="s">
        <v>521</v>
      </c>
      <c r="F267" t="s">
        <v>13</v>
      </c>
      <c r="G267" t="s">
        <v>525</v>
      </c>
    </row>
    <row r="268" spans="1:7" x14ac:dyDescent="0.3">
      <c r="A268">
        <v>0</v>
      </c>
      <c r="B268" t="s">
        <v>312</v>
      </c>
      <c r="C268" t="s">
        <v>501</v>
      </c>
      <c r="D268" t="s">
        <v>498</v>
      </c>
      <c r="E268" t="s">
        <v>501</v>
      </c>
      <c r="F268" t="s">
        <v>13</v>
      </c>
      <c r="G268" t="s">
        <v>525</v>
      </c>
    </row>
    <row r="269" spans="1:7" x14ac:dyDescent="0.3">
      <c r="A269">
        <v>0</v>
      </c>
      <c r="B269" t="s">
        <v>312</v>
      </c>
      <c r="C269" t="s">
        <v>504</v>
      </c>
      <c r="D269" t="s">
        <v>498</v>
      </c>
      <c r="E269" t="s">
        <v>504</v>
      </c>
      <c r="F269" t="s">
        <v>13</v>
      </c>
      <c r="G269" t="s">
        <v>525</v>
      </c>
    </row>
    <row r="270" spans="1:7" x14ac:dyDescent="0.3">
      <c r="A270">
        <v>0</v>
      </c>
      <c r="B270" t="s">
        <v>312</v>
      </c>
      <c r="C270" t="s">
        <v>520</v>
      </c>
      <c r="D270" t="s">
        <v>498</v>
      </c>
      <c r="E270" t="s">
        <v>520</v>
      </c>
      <c r="F270" t="s">
        <v>13</v>
      </c>
      <c r="G270" t="s">
        <v>525</v>
      </c>
    </row>
    <row r="271" spans="1:7" x14ac:dyDescent="0.3">
      <c r="A271">
        <v>0</v>
      </c>
      <c r="B271" t="s">
        <v>312</v>
      </c>
      <c r="C271" t="s">
        <v>523</v>
      </c>
      <c r="D271" t="s">
        <v>498</v>
      </c>
      <c r="E271" t="s">
        <v>523</v>
      </c>
      <c r="F271" t="s">
        <v>13</v>
      </c>
      <c r="G271" t="s">
        <v>525</v>
      </c>
    </row>
    <row r="272" spans="1:7" x14ac:dyDescent="0.3">
      <c r="A272">
        <v>0</v>
      </c>
      <c r="B272" t="s">
        <v>312</v>
      </c>
      <c r="C272" t="s">
        <v>503</v>
      </c>
      <c r="D272" t="s">
        <v>498</v>
      </c>
      <c r="E272" t="s">
        <v>503</v>
      </c>
      <c r="F272" t="s">
        <v>13</v>
      </c>
      <c r="G272" t="s">
        <v>525</v>
      </c>
    </row>
    <row r="273" spans="1:7" x14ac:dyDescent="0.3">
      <c r="A273">
        <v>0</v>
      </c>
      <c r="B273" t="s">
        <v>312</v>
      </c>
      <c r="C273" t="s">
        <v>512</v>
      </c>
      <c r="D273" t="s">
        <v>498</v>
      </c>
      <c r="E273" t="s">
        <v>512</v>
      </c>
      <c r="F273" t="s">
        <v>13</v>
      </c>
      <c r="G273" t="s">
        <v>525</v>
      </c>
    </row>
    <row r="274" spans="1:7" x14ac:dyDescent="0.3">
      <c r="A274">
        <v>0</v>
      </c>
      <c r="B274" t="s">
        <v>312</v>
      </c>
      <c r="C274" t="s">
        <v>505</v>
      </c>
      <c r="D274" t="s">
        <v>498</v>
      </c>
      <c r="E274" t="s">
        <v>505</v>
      </c>
      <c r="F274" t="s">
        <v>13</v>
      </c>
      <c r="G274" t="s">
        <v>525</v>
      </c>
    </row>
    <row r="275" spans="1:7" x14ac:dyDescent="0.3">
      <c r="A275">
        <v>0</v>
      </c>
      <c r="B275" t="s">
        <v>312</v>
      </c>
      <c r="C275" t="s">
        <v>518</v>
      </c>
      <c r="D275" t="s">
        <v>498</v>
      </c>
      <c r="E275" t="s">
        <v>518</v>
      </c>
      <c r="F275" t="s">
        <v>13</v>
      </c>
      <c r="G275" t="s">
        <v>525</v>
      </c>
    </row>
    <row r="276" spans="1:7" x14ac:dyDescent="0.3">
      <c r="A276">
        <v>0</v>
      </c>
      <c r="B276" t="s">
        <v>312</v>
      </c>
      <c r="C276" t="s">
        <v>522</v>
      </c>
      <c r="D276" t="s">
        <v>498</v>
      </c>
      <c r="E276" t="s">
        <v>522</v>
      </c>
      <c r="F276" t="s">
        <v>13</v>
      </c>
      <c r="G276" t="s">
        <v>525</v>
      </c>
    </row>
    <row r="277" spans="1:7" x14ac:dyDescent="0.3">
      <c r="A277">
        <v>0</v>
      </c>
      <c r="B277" t="s">
        <v>312</v>
      </c>
      <c r="C277" t="s">
        <v>516</v>
      </c>
      <c r="D277" t="s">
        <v>498</v>
      </c>
      <c r="E277" t="s">
        <v>516</v>
      </c>
      <c r="F277" t="s">
        <v>13</v>
      </c>
      <c r="G277" t="s">
        <v>525</v>
      </c>
    </row>
    <row r="278" spans="1:7" x14ac:dyDescent="0.3">
      <c r="A278">
        <v>0</v>
      </c>
      <c r="B278" t="s">
        <v>312</v>
      </c>
      <c r="C278" t="s">
        <v>517</v>
      </c>
      <c r="D278" t="s">
        <v>498</v>
      </c>
      <c r="E278" t="s">
        <v>517</v>
      </c>
      <c r="F278" t="s">
        <v>13</v>
      </c>
      <c r="G278" t="s">
        <v>525</v>
      </c>
    </row>
    <row r="279" spans="1:7" x14ac:dyDescent="0.3">
      <c r="A279">
        <v>0</v>
      </c>
      <c r="B279" t="s">
        <v>16</v>
      </c>
      <c r="C279" s="2" t="s">
        <v>22</v>
      </c>
      <c r="D279" t="s">
        <v>2</v>
      </c>
      <c r="E279" s="2" t="s">
        <v>22</v>
      </c>
      <c r="F279" t="s">
        <v>13</v>
      </c>
      <c r="G279" t="s">
        <v>525</v>
      </c>
    </row>
    <row r="280" spans="1:7" x14ac:dyDescent="0.3">
      <c r="A280">
        <v>0</v>
      </c>
      <c r="B280" t="s">
        <v>16</v>
      </c>
      <c r="C280" s="2" t="s">
        <v>49</v>
      </c>
      <c r="D280" t="s">
        <v>2</v>
      </c>
      <c r="E280" s="2" t="s">
        <v>49</v>
      </c>
      <c r="F280" t="s">
        <v>13</v>
      </c>
      <c r="G280" t="s">
        <v>525</v>
      </c>
    </row>
    <row r="281" spans="1:7" x14ac:dyDescent="0.3">
      <c r="A281">
        <v>0</v>
      </c>
      <c r="B281" t="s">
        <v>312</v>
      </c>
      <c r="C281" s="2" t="s">
        <v>55</v>
      </c>
      <c r="D281" t="s">
        <v>2</v>
      </c>
      <c r="E281" s="2" t="s">
        <v>55</v>
      </c>
      <c r="F281" t="s">
        <v>13</v>
      </c>
      <c r="G281" t="s">
        <v>525</v>
      </c>
    </row>
    <row r="282" spans="1:7" x14ac:dyDescent="0.3">
      <c r="A282">
        <v>0</v>
      </c>
      <c r="B282" t="s">
        <v>312</v>
      </c>
      <c r="C282" t="s">
        <v>59</v>
      </c>
      <c r="D282" t="s">
        <v>2</v>
      </c>
      <c r="E282" t="s">
        <v>59</v>
      </c>
      <c r="F282" t="s">
        <v>13</v>
      </c>
      <c r="G282" t="s">
        <v>525</v>
      </c>
    </row>
    <row r="283" spans="1:7" x14ac:dyDescent="0.3">
      <c r="A283">
        <v>0</v>
      </c>
      <c r="B283" t="s">
        <v>16</v>
      </c>
      <c r="C283" s="2" t="s">
        <v>61</v>
      </c>
      <c r="D283" t="s">
        <v>2</v>
      </c>
      <c r="E283" s="2" t="s">
        <v>61</v>
      </c>
      <c r="F283" t="s">
        <v>13</v>
      </c>
      <c r="G283" t="s">
        <v>525</v>
      </c>
    </row>
    <row r="284" spans="1:7" x14ac:dyDescent="0.3">
      <c r="A284">
        <v>0</v>
      </c>
      <c r="B284" t="s">
        <v>312</v>
      </c>
      <c r="C284" s="2" t="s">
        <v>67</v>
      </c>
      <c r="D284" t="s">
        <v>2</v>
      </c>
      <c r="E284" s="2" t="s">
        <v>67</v>
      </c>
      <c r="F284" t="s">
        <v>13</v>
      </c>
      <c r="G284" t="s">
        <v>525</v>
      </c>
    </row>
    <row r="285" spans="1:7" x14ac:dyDescent="0.3">
      <c r="A285">
        <v>0</v>
      </c>
      <c r="B285" t="s">
        <v>312</v>
      </c>
      <c r="C285" t="s">
        <v>73</v>
      </c>
      <c r="D285" t="s">
        <v>2</v>
      </c>
      <c r="E285" t="s">
        <v>73</v>
      </c>
      <c r="F285" t="s">
        <v>13</v>
      </c>
      <c r="G285" t="s">
        <v>525</v>
      </c>
    </row>
    <row r="286" spans="1:7" x14ac:dyDescent="0.3">
      <c r="A286">
        <v>0</v>
      </c>
      <c r="B286" t="s">
        <v>312</v>
      </c>
      <c r="C286" t="s">
        <v>79</v>
      </c>
      <c r="D286" t="s">
        <v>2</v>
      </c>
      <c r="E286" t="s">
        <v>79</v>
      </c>
      <c r="F286" t="s">
        <v>13</v>
      </c>
      <c r="G286" t="s">
        <v>525</v>
      </c>
    </row>
    <row r="287" spans="1:7" x14ac:dyDescent="0.3">
      <c r="A287">
        <v>0</v>
      </c>
      <c r="B287" t="s">
        <v>312</v>
      </c>
      <c r="C287" t="s">
        <v>82</v>
      </c>
      <c r="D287" t="s">
        <v>2</v>
      </c>
      <c r="E287" t="s">
        <v>82</v>
      </c>
      <c r="F287" t="s">
        <v>13</v>
      </c>
      <c r="G287" t="s">
        <v>525</v>
      </c>
    </row>
    <row r="288" spans="1:7" x14ac:dyDescent="0.3">
      <c r="A288">
        <v>0</v>
      </c>
      <c r="B288" t="s">
        <v>312</v>
      </c>
      <c r="C288" t="s">
        <v>85</v>
      </c>
      <c r="D288" t="s">
        <v>2</v>
      </c>
      <c r="E288" t="s">
        <v>85</v>
      </c>
      <c r="F288" t="s">
        <v>13</v>
      </c>
      <c r="G288" t="s">
        <v>525</v>
      </c>
    </row>
    <row r="289" spans="1:7" x14ac:dyDescent="0.3">
      <c r="A289">
        <v>0</v>
      </c>
      <c r="B289" t="s">
        <v>312</v>
      </c>
      <c r="C289" t="s">
        <v>88</v>
      </c>
      <c r="D289" t="s">
        <v>2</v>
      </c>
      <c r="E289" t="s">
        <v>88</v>
      </c>
      <c r="F289" t="s">
        <v>13</v>
      </c>
      <c r="G289" t="s">
        <v>525</v>
      </c>
    </row>
    <row r="290" spans="1:7" x14ac:dyDescent="0.3">
      <c r="A290">
        <v>0</v>
      </c>
      <c r="B290" t="s">
        <v>312</v>
      </c>
      <c r="C290" t="s">
        <v>91</v>
      </c>
      <c r="D290" t="s">
        <v>2</v>
      </c>
      <c r="E290" t="s">
        <v>91</v>
      </c>
      <c r="F290" t="s">
        <v>13</v>
      </c>
      <c r="G290" t="s">
        <v>525</v>
      </c>
    </row>
    <row r="291" spans="1:7" x14ac:dyDescent="0.3">
      <c r="A291">
        <v>0</v>
      </c>
      <c r="B291" t="s">
        <v>312</v>
      </c>
      <c r="C291" t="s">
        <v>94</v>
      </c>
      <c r="D291" t="s">
        <v>2</v>
      </c>
      <c r="E291" t="s">
        <v>94</v>
      </c>
      <c r="F291" t="s">
        <v>13</v>
      </c>
      <c r="G291" t="s">
        <v>525</v>
      </c>
    </row>
    <row r="292" spans="1:7" x14ac:dyDescent="0.3">
      <c r="A292">
        <v>0</v>
      </c>
      <c r="B292" t="s">
        <v>312</v>
      </c>
      <c r="C292" t="s">
        <v>97</v>
      </c>
      <c r="D292" t="s">
        <v>2</v>
      </c>
      <c r="E292" t="s">
        <v>97</v>
      </c>
      <c r="F292" t="s">
        <v>13</v>
      </c>
      <c r="G292" t="s">
        <v>525</v>
      </c>
    </row>
    <row r="293" spans="1:7" x14ac:dyDescent="0.3">
      <c r="A293">
        <v>0</v>
      </c>
      <c r="B293" t="s">
        <v>312</v>
      </c>
      <c r="C293" t="s">
        <v>100</v>
      </c>
      <c r="D293" t="s">
        <v>2</v>
      </c>
      <c r="E293" t="s">
        <v>100</v>
      </c>
      <c r="F293" t="s">
        <v>13</v>
      </c>
      <c r="G293" t="s">
        <v>525</v>
      </c>
    </row>
  </sheetData>
  <pageMargins left="0.75" right="0.75" top="1" bottom="1" header="0.5" footer="0.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93"/>
  <sheetViews>
    <sheetView topLeftCell="A35" workbookViewId="0">
      <selection activeCell="E48" sqref="E48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1.03</v>
      </c>
      <c r="B2" t="s">
        <v>16</v>
      </c>
      <c r="C2" t="s">
        <v>659</v>
      </c>
      <c r="D2" t="s">
        <v>2</v>
      </c>
      <c r="E2" t="s">
        <v>61</v>
      </c>
      <c r="F2" s="4" t="s">
        <v>13</v>
      </c>
      <c r="G2" t="s">
        <v>525</v>
      </c>
      <c r="H2" t="s">
        <v>626</v>
      </c>
    </row>
    <row r="3" spans="1:9" x14ac:dyDescent="0.3">
      <c r="A3">
        <v>3.3730158730158736E-3</v>
      </c>
      <c r="B3" t="s">
        <v>57</v>
      </c>
      <c r="C3" t="s">
        <v>660</v>
      </c>
      <c r="D3" t="s">
        <v>2</v>
      </c>
      <c r="E3" s="2" t="s">
        <v>55</v>
      </c>
      <c r="F3" s="4" t="s">
        <v>13</v>
      </c>
      <c r="G3" t="s">
        <v>525</v>
      </c>
      <c r="H3" t="s">
        <v>626</v>
      </c>
    </row>
    <row r="4" spans="1:9" x14ac:dyDescent="0.3">
      <c r="A4">
        <v>1.1111111111111111E-3</v>
      </c>
      <c r="B4" t="s">
        <v>57</v>
      </c>
      <c r="C4" t="s">
        <v>661</v>
      </c>
      <c r="D4" t="s">
        <v>2</v>
      </c>
      <c r="E4" s="2" t="s">
        <v>55</v>
      </c>
      <c r="F4" s="4" t="s">
        <v>13</v>
      </c>
      <c r="G4" t="s">
        <v>525</v>
      </c>
      <c r="H4" t="s">
        <v>626</v>
      </c>
    </row>
    <row r="5" spans="1:9" x14ac:dyDescent="0.3">
      <c r="A5">
        <v>5.541365096733708E-2</v>
      </c>
      <c r="B5" t="s">
        <v>57</v>
      </c>
      <c r="C5" t="s">
        <v>662</v>
      </c>
      <c r="D5" t="s">
        <v>2</v>
      </c>
      <c r="E5" s="2" t="s">
        <v>55</v>
      </c>
      <c r="F5" s="4" t="s">
        <v>13</v>
      </c>
      <c r="G5" t="s">
        <v>525</v>
      </c>
      <c r="H5" t="s">
        <v>626</v>
      </c>
    </row>
    <row r="6" spans="1:9" x14ac:dyDescent="0.3">
      <c r="A6">
        <v>2.1901709401709404E-2</v>
      </c>
      <c r="B6" t="s">
        <v>57</v>
      </c>
      <c r="C6" t="s">
        <v>663</v>
      </c>
      <c r="D6" t="s">
        <v>2</v>
      </c>
      <c r="E6" s="2" t="s">
        <v>246</v>
      </c>
      <c r="F6" t="s">
        <v>13</v>
      </c>
      <c r="G6" t="s">
        <v>525</v>
      </c>
      <c r="H6" t="s">
        <v>626</v>
      </c>
    </row>
    <row r="7" spans="1:9" x14ac:dyDescent="0.3">
      <c r="A7">
        <v>1.3313609467455622E-2</v>
      </c>
      <c r="B7" t="s">
        <v>57</v>
      </c>
      <c r="C7" t="s">
        <v>664</v>
      </c>
      <c r="D7" t="s">
        <v>2</v>
      </c>
      <c r="E7" t="s">
        <v>149</v>
      </c>
      <c r="F7" t="s">
        <v>13</v>
      </c>
      <c r="G7" t="s">
        <v>525</v>
      </c>
      <c r="H7" t="s">
        <v>626</v>
      </c>
    </row>
    <row r="8" spans="1:9" x14ac:dyDescent="0.3">
      <c r="A8">
        <v>0.17710387902695593</v>
      </c>
      <c r="B8" t="s">
        <v>57</v>
      </c>
      <c r="C8" t="s">
        <v>643</v>
      </c>
      <c r="D8" t="s">
        <v>2</v>
      </c>
      <c r="E8" t="s">
        <v>149</v>
      </c>
      <c r="F8" t="s">
        <v>13</v>
      </c>
      <c r="G8" t="s">
        <v>525</v>
      </c>
      <c r="H8" t="s">
        <v>626</v>
      </c>
    </row>
    <row r="9" spans="1:9" x14ac:dyDescent="0.3">
      <c r="A9">
        <v>6.2869822485207101E-4</v>
      </c>
      <c r="B9" t="s">
        <v>57</v>
      </c>
      <c r="C9" t="s">
        <v>665</v>
      </c>
      <c r="D9" t="s">
        <v>2</v>
      </c>
      <c r="E9" t="s">
        <v>149</v>
      </c>
      <c r="F9" t="s">
        <v>13</v>
      </c>
      <c r="G9" t="s">
        <v>525</v>
      </c>
      <c r="H9" t="s">
        <v>626</v>
      </c>
    </row>
    <row r="10" spans="1:9" x14ac:dyDescent="0.3">
      <c r="A10">
        <v>6.4513477975016429E-4</v>
      </c>
      <c r="B10" t="s">
        <v>57</v>
      </c>
      <c r="C10" t="s">
        <v>641</v>
      </c>
      <c r="D10" t="s">
        <v>2</v>
      </c>
      <c r="E10" t="s">
        <v>85</v>
      </c>
      <c r="F10" s="4" t="s">
        <v>13</v>
      </c>
      <c r="G10" t="s">
        <v>525</v>
      </c>
      <c r="H10" t="s">
        <v>626</v>
      </c>
    </row>
    <row r="11" spans="1:9" x14ac:dyDescent="0.3">
      <c r="A11">
        <v>0.604043392504931</v>
      </c>
      <c r="B11" t="s">
        <v>57</v>
      </c>
      <c r="C11" t="s">
        <v>666</v>
      </c>
      <c r="D11" t="s">
        <v>2</v>
      </c>
      <c r="E11" t="s">
        <v>149</v>
      </c>
      <c r="F11" t="s">
        <v>13</v>
      </c>
      <c r="G11" t="s">
        <v>525</v>
      </c>
      <c r="H11" t="s">
        <v>626</v>
      </c>
    </row>
    <row r="12" spans="1:9" x14ac:dyDescent="0.3">
      <c r="A12">
        <v>1.5080539119000657E-2</v>
      </c>
      <c r="B12" t="s">
        <v>57</v>
      </c>
      <c r="C12" t="s">
        <v>667</v>
      </c>
      <c r="D12" t="s">
        <v>2</v>
      </c>
      <c r="E12" s="2" t="s">
        <v>332</v>
      </c>
      <c r="F12" t="s">
        <v>13</v>
      </c>
      <c r="G12" t="s">
        <v>525</v>
      </c>
      <c r="H12" t="s">
        <v>626</v>
      </c>
    </row>
    <row r="13" spans="1:9" x14ac:dyDescent="0.3">
      <c r="A13">
        <v>3.1188362919132145E-5</v>
      </c>
      <c r="B13" t="s">
        <v>57</v>
      </c>
      <c r="C13" t="s">
        <v>668</v>
      </c>
      <c r="D13" t="s">
        <v>2</v>
      </c>
      <c r="E13" t="s">
        <v>149</v>
      </c>
      <c r="F13" t="s">
        <v>13</v>
      </c>
      <c r="G13" t="s">
        <v>525</v>
      </c>
      <c r="H13" t="s">
        <v>626</v>
      </c>
    </row>
    <row r="14" spans="1:9" x14ac:dyDescent="0.3">
      <c r="A14">
        <v>1.1505588428665352</v>
      </c>
      <c r="B14" t="s">
        <v>57</v>
      </c>
      <c r="C14" t="s">
        <v>669</v>
      </c>
      <c r="D14" t="s">
        <v>2</v>
      </c>
      <c r="E14" t="s">
        <v>149</v>
      </c>
      <c r="F14" t="s">
        <v>13</v>
      </c>
      <c r="G14" t="s">
        <v>525</v>
      </c>
      <c r="H14" t="s">
        <v>626</v>
      </c>
    </row>
    <row r="15" spans="1:9" x14ac:dyDescent="0.3">
      <c r="A15">
        <v>2.9092702169625246E-3</v>
      </c>
      <c r="B15" t="s">
        <v>57</v>
      </c>
      <c r="C15" t="s">
        <v>670</v>
      </c>
      <c r="D15" t="s">
        <v>2</v>
      </c>
      <c r="E15" t="s">
        <v>59</v>
      </c>
      <c r="F15" s="4" t="s">
        <v>13</v>
      </c>
      <c r="G15" t="s">
        <v>525</v>
      </c>
      <c r="H15" t="s">
        <v>626</v>
      </c>
    </row>
    <row r="16" spans="1:9" x14ac:dyDescent="0.3">
      <c r="A16">
        <f>170.940170940171*2.31803430690774E-09</f>
        <v>3.9624518066798988E-7</v>
      </c>
      <c r="B16" t="s">
        <v>314</v>
      </c>
      <c r="C16" t="s">
        <v>640</v>
      </c>
      <c r="D16" t="s">
        <v>2</v>
      </c>
      <c r="E16" s="2" t="s">
        <v>341</v>
      </c>
      <c r="F16" t="s">
        <v>13</v>
      </c>
      <c r="G16" t="s">
        <v>525</v>
      </c>
      <c r="H16" t="s">
        <v>626</v>
      </c>
    </row>
    <row r="17" spans="1:8" x14ac:dyDescent="0.3">
      <c r="A17">
        <v>17.746571249998329</v>
      </c>
      <c r="B17" t="s">
        <v>542</v>
      </c>
      <c r="C17" t="s">
        <v>648</v>
      </c>
      <c r="D17" t="s">
        <v>2</v>
      </c>
      <c r="E17" t="s">
        <v>111</v>
      </c>
      <c r="F17" t="s">
        <v>13</v>
      </c>
      <c r="G17" t="s">
        <v>525</v>
      </c>
      <c r="H17" t="s">
        <v>626</v>
      </c>
    </row>
    <row r="18" spans="1:8" x14ac:dyDescent="0.3">
      <c r="A18">
        <f>0.0608152531229454/48</f>
        <v>1.2669844400613624E-3</v>
      </c>
      <c r="B18" t="s">
        <v>57</v>
      </c>
      <c r="C18" t="s">
        <v>671</v>
      </c>
      <c r="D18" t="s">
        <v>2</v>
      </c>
      <c r="E18" t="s">
        <v>398</v>
      </c>
      <c r="F18" t="s">
        <v>13</v>
      </c>
      <c r="G18" t="s">
        <v>525</v>
      </c>
      <c r="H18" t="s">
        <v>626</v>
      </c>
    </row>
    <row r="19" spans="1:8" x14ac:dyDescent="0.3">
      <c r="A19">
        <f>$A$2*'[1]Wafer prod US'!I16</f>
        <v>5.8851552456409297E-6</v>
      </c>
      <c r="B19" t="s">
        <v>314</v>
      </c>
      <c r="C19" t="s">
        <v>620</v>
      </c>
      <c r="D19" t="s">
        <v>2</v>
      </c>
      <c r="E19" s="2" t="s">
        <v>455</v>
      </c>
      <c r="F19" t="s">
        <v>13</v>
      </c>
      <c r="G19" t="s">
        <v>525</v>
      </c>
      <c r="H19" t="s">
        <v>621</v>
      </c>
    </row>
    <row r="20" spans="1:8" x14ac:dyDescent="0.3">
      <c r="A20">
        <f>$A$2*'[1]Wafer prod US'!I17</f>
        <v>7.4657817565464523E-6</v>
      </c>
      <c r="B20" s="2" t="s">
        <v>314</v>
      </c>
      <c r="C20" t="s">
        <v>622</v>
      </c>
      <c r="D20" t="s">
        <v>2</v>
      </c>
      <c r="E20" s="2" t="s">
        <v>409</v>
      </c>
      <c r="F20" t="s">
        <v>13</v>
      </c>
      <c r="G20" t="s">
        <v>525</v>
      </c>
      <c r="H20" t="s">
        <v>621</v>
      </c>
    </row>
    <row r="21" spans="1:8" x14ac:dyDescent="0.3">
      <c r="A21">
        <f>$A$2*'[1]Wafer prod US'!I18</f>
        <v>4.6907642095502955E-8</v>
      </c>
      <c r="B21" s="2" t="s">
        <v>314</v>
      </c>
      <c r="C21" t="s">
        <v>623</v>
      </c>
      <c r="D21" t="s">
        <v>2</v>
      </c>
      <c r="E21" s="2" t="s">
        <v>443</v>
      </c>
      <c r="F21" t="s">
        <v>13</v>
      </c>
      <c r="G21" t="s">
        <v>525</v>
      </c>
      <c r="H21" t="s">
        <v>621</v>
      </c>
    </row>
    <row r="22" spans="1:8" x14ac:dyDescent="0.3">
      <c r="A22">
        <v>2.3298816568047302E-3</v>
      </c>
      <c r="B22" s="2" t="s">
        <v>319</v>
      </c>
      <c r="C22" t="s">
        <v>672</v>
      </c>
      <c r="D22" t="s">
        <v>2</v>
      </c>
      <c r="E22" s="2" t="s">
        <v>375</v>
      </c>
      <c r="F22" t="s">
        <v>13</v>
      </c>
      <c r="G22" t="s">
        <v>525</v>
      </c>
      <c r="H22" t="s">
        <v>626</v>
      </c>
    </row>
    <row r="23" spans="1:8" x14ac:dyDescent="0.3">
      <c r="A23">
        <v>1.72172912557528E-4</v>
      </c>
      <c r="B23" s="2" t="s">
        <v>319</v>
      </c>
      <c r="C23" t="s">
        <v>673</v>
      </c>
      <c r="D23" t="s">
        <v>2</v>
      </c>
      <c r="E23" s="2" t="s">
        <v>404</v>
      </c>
      <c r="F23" t="s">
        <v>13</v>
      </c>
      <c r="G23" t="s">
        <v>525</v>
      </c>
      <c r="H23" t="s">
        <v>626</v>
      </c>
    </row>
    <row r="24" spans="1:8" x14ac:dyDescent="0.3">
      <c r="A24">
        <v>3.2786920226533085E-7</v>
      </c>
      <c r="B24" t="s">
        <v>314</v>
      </c>
      <c r="C24" t="s">
        <v>654</v>
      </c>
      <c r="D24" t="s">
        <v>2</v>
      </c>
      <c r="E24" s="2" t="s">
        <v>449</v>
      </c>
      <c r="F24" t="s">
        <v>13</v>
      </c>
      <c r="G24" t="s">
        <v>525</v>
      </c>
      <c r="H24" t="s">
        <v>655</v>
      </c>
    </row>
    <row r="25" spans="1:8" x14ac:dyDescent="0.3">
      <c r="A25">
        <v>1.8032806124593192E-6</v>
      </c>
      <c r="B25" t="s">
        <v>314</v>
      </c>
      <c r="C25" t="s">
        <v>656</v>
      </c>
      <c r="D25" t="s">
        <v>2</v>
      </c>
      <c r="E25" s="2" t="s">
        <v>487</v>
      </c>
      <c r="F25" t="s">
        <v>13</v>
      </c>
      <c r="G25" t="s">
        <v>525</v>
      </c>
      <c r="H25" t="s">
        <v>655</v>
      </c>
    </row>
    <row r="26" spans="1:8" x14ac:dyDescent="0.3">
      <c r="A26">
        <v>8.5245992588985998E-7</v>
      </c>
      <c r="B26" t="s">
        <v>314</v>
      </c>
      <c r="C26" t="s">
        <v>495</v>
      </c>
      <c r="D26" t="s">
        <v>494</v>
      </c>
      <c r="E26" t="s">
        <v>495</v>
      </c>
      <c r="F26" t="s">
        <v>13</v>
      </c>
      <c r="G26" t="s">
        <v>525</v>
      </c>
      <c r="H26" t="s">
        <v>655</v>
      </c>
    </row>
    <row r="27" spans="1:8" x14ac:dyDescent="0.3">
      <c r="A27">
        <v>3.4098397035594399E-6</v>
      </c>
      <c r="B27" t="s">
        <v>314</v>
      </c>
      <c r="C27" t="s">
        <v>496</v>
      </c>
      <c r="D27" t="s">
        <v>494</v>
      </c>
      <c r="E27" s="2" t="s">
        <v>496</v>
      </c>
      <c r="F27" t="s">
        <v>13</v>
      </c>
      <c r="G27" t="s">
        <v>525</v>
      </c>
      <c r="H27" t="s">
        <v>655</v>
      </c>
    </row>
    <row r="28" spans="1:8" x14ac:dyDescent="0.3">
      <c r="A28">
        <v>2.3442647961971142E-6</v>
      </c>
      <c r="B28" t="s">
        <v>314</v>
      </c>
      <c r="C28" t="s">
        <v>497</v>
      </c>
      <c r="D28" t="s">
        <v>494</v>
      </c>
      <c r="E28" s="2" t="s">
        <v>497</v>
      </c>
      <c r="F28" t="s">
        <v>13</v>
      </c>
      <c r="G28" t="s">
        <v>525</v>
      </c>
      <c r="H28" t="s">
        <v>655</v>
      </c>
    </row>
    <row r="29" spans="1:8" x14ac:dyDescent="0.3">
      <c r="A29">
        <v>2.0686005676624811E-7</v>
      </c>
      <c r="B29" t="s">
        <v>507</v>
      </c>
      <c r="C29" t="s">
        <v>506</v>
      </c>
      <c r="D29" t="s">
        <v>498</v>
      </c>
      <c r="E29" s="2" t="s">
        <v>506</v>
      </c>
      <c r="F29" t="s">
        <v>13</v>
      </c>
      <c r="G29" t="s">
        <v>525</v>
      </c>
      <c r="H29" t="s">
        <v>655</v>
      </c>
    </row>
    <row r="30" spans="1:8" x14ac:dyDescent="0.3">
      <c r="A30">
        <v>7.725180802103879E-6</v>
      </c>
      <c r="B30" t="s">
        <v>57</v>
      </c>
      <c r="C30" t="s">
        <v>674</v>
      </c>
      <c r="D30" t="s">
        <v>498</v>
      </c>
      <c r="E30" t="s">
        <v>522</v>
      </c>
      <c r="F30" t="s">
        <v>13</v>
      </c>
      <c r="G30" t="s">
        <v>525</v>
      </c>
      <c r="H30" t="s">
        <v>626</v>
      </c>
    </row>
    <row r="31" spans="1:8" x14ac:dyDescent="0.3">
      <c r="A31">
        <v>1.3806706114398421E-4</v>
      </c>
      <c r="B31" t="s">
        <v>57</v>
      </c>
      <c r="C31" t="s">
        <v>85</v>
      </c>
      <c r="D31" t="s">
        <v>498</v>
      </c>
      <c r="E31" s="2" t="s">
        <v>516</v>
      </c>
      <c r="F31" t="s">
        <v>13</v>
      </c>
      <c r="G31" t="s">
        <v>525</v>
      </c>
      <c r="H31" t="s">
        <v>626</v>
      </c>
    </row>
    <row r="32" spans="1:8" x14ac:dyDescent="0.3">
      <c r="A32">
        <v>7.725180802103879E-6</v>
      </c>
      <c r="B32" t="s">
        <v>57</v>
      </c>
      <c r="C32" t="s">
        <v>675</v>
      </c>
      <c r="D32" t="s">
        <v>498</v>
      </c>
      <c r="E32" t="s">
        <v>520</v>
      </c>
      <c r="F32" t="s">
        <v>13</v>
      </c>
      <c r="G32" t="s">
        <v>525</v>
      </c>
      <c r="H32" t="s">
        <v>626</v>
      </c>
    </row>
    <row r="33" spans="1:8" x14ac:dyDescent="0.3">
      <c r="A33">
        <v>3.1681459566074953E-8</v>
      </c>
      <c r="B33" t="s">
        <v>57</v>
      </c>
      <c r="C33" t="s">
        <v>676</v>
      </c>
      <c r="D33" t="s">
        <v>498</v>
      </c>
      <c r="E33" t="s">
        <v>516</v>
      </c>
      <c r="F33" t="s">
        <v>13</v>
      </c>
      <c r="G33" t="s">
        <v>525</v>
      </c>
      <c r="H33" t="s">
        <v>626</v>
      </c>
    </row>
    <row r="34" spans="1:8" x14ac:dyDescent="0.3">
      <c r="A34">
        <v>7.725180802103879E-6</v>
      </c>
      <c r="B34" t="s">
        <v>57</v>
      </c>
      <c r="C34" t="s">
        <v>677</v>
      </c>
      <c r="D34" t="s">
        <v>498</v>
      </c>
      <c r="E34" t="s">
        <v>516</v>
      </c>
      <c r="F34" t="s">
        <v>13</v>
      </c>
      <c r="G34" t="s">
        <v>525</v>
      </c>
      <c r="H34" t="s">
        <v>626</v>
      </c>
    </row>
    <row r="35" spans="1:8" x14ac:dyDescent="0.3">
      <c r="A35">
        <v>7.725180802103879E-6</v>
      </c>
      <c r="B35" t="s">
        <v>57</v>
      </c>
      <c r="C35" t="s">
        <v>678</v>
      </c>
      <c r="D35" t="s">
        <v>498</v>
      </c>
      <c r="E35" t="s">
        <v>516</v>
      </c>
      <c r="F35" t="s">
        <v>13</v>
      </c>
      <c r="G35" t="s">
        <v>525</v>
      </c>
      <c r="H35" t="s">
        <v>626</v>
      </c>
    </row>
    <row r="36" spans="1:8" x14ac:dyDescent="0.3">
      <c r="A36">
        <v>3.7310979618671928E-5</v>
      </c>
      <c r="B36" t="s">
        <v>57</v>
      </c>
      <c r="C36" t="s">
        <v>679</v>
      </c>
      <c r="D36" t="s">
        <v>498</v>
      </c>
      <c r="E36" t="s">
        <v>512</v>
      </c>
      <c r="F36" t="s">
        <v>13</v>
      </c>
      <c r="G36" t="s">
        <v>525</v>
      </c>
      <c r="H36" t="s">
        <v>626</v>
      </c>
    </row>
    <row r="37" spans="1:8" x14ac:dyDescent="0.3">
      <c r="A37">
        <v>0.1668310322156476</v>
      </c>
      <c r="B37" t="s">
        <v>57</v>
      </c>
      <c r="C37" t="s">
        <v>680</v>
      </c>
      <c r="D37" t="s">
        <v>498</v>
      </c>
      <c r="E37" t="s">
        <v>502</v>
      </c>
      <c r="F37" t="s">
        <v>13</v>
      </c>
      <c r="G37" t="s">
        <v>525</v>
      </c>
      <c r="H37" t="s">
        <v>626</v>
      </c>
    </row>
    <row r="38" spans="1:8" x14ac:dyDescent="0.3">
      <c r="A38">
        <v>4.602235371466141E-5</v>
      </c>
      <c r="B38" t="s">
        <v>57</v>
      </c>
      <c r="C38" t="s">
        <v>681</v>
      </c>
      <c r="D38" t="s">
        <v>498</v>
      </c>
      <c r="E38" t="s">
        <v>516</v>
      </c>
      <c r="F38" t="s">
        <v>13</v>
      </c>
      <c r="G38" t="s">
        <v>525</v>
      </c>
      <c r="H38" t="s">
        <v>626</v>
      </c>
    </row>
    <row r="39" spans="1:8" x14ac:dyDescent="0.3">
      <c r="A39">
        <v>1.1012491781722551E-2</v>
      </c>
      <c r="B39" t="s">
        <v>57</v>
      </c>
      <c r="C39" t="s">
        <v>112</v>
      </c>
      <c r="D39" t="s">
        <v>498</v>
      </c>
      <c r="E39" t="s">
        <v>516</v>
      </c>
      <c r="F39" t="s">
        <v>13</v>
      </c>
      <c r="G39" t="s">
        <v>525</v>
      </c>
      <c r="H39" t="s">
        <v>626</v>
      </c>
    </row>
    <row r="40" spans="1:8" x14ac:dyDescent="0.3">
      <c r="A40">
        <v>1.4710716633793556E-2</v>
      </c>
      <c r="B40" t="s">
        <v>57</v>
      </c>
      <c r="C40" t="s">
        <v>682</v>
      </c>
      <c r="D40" t="s">
        <v>498</v>
      </c>
      <c r="E40" t="s">
        <v>516</v>
      </c>
      <c r="F40" t="s">
        <v>13</v>
      </c>
      <c r="G40" t="s">
        <v>525</v>
      </c>
      <c r="H40" t="s">
        <v>626</v>
      </c>
    </row>
    <row r="41" spans="1:8" x14ac:dyDescent="0.3">
      <c r="A41">
        <v>6.3280736357659438E-4</v>
      </c>
      <c r="B41" t="s">
        <v>57</v>
      </c>
      <c r="C41" t="s">
        <v>683</v>
      </c>
      <c r="D41" t="s">
        <v>498</v>
      </c>
      <c r="E41" t="s">
        <v>516</v>
      </c>
      <c r="F41" t="s">
        <v>13</v>
      </c>
      <c r="G41" t="s">
        <v>525</v>
      </c>
      <c r="H41" t="s">
        <v>626</v>
      </c>
    </row>
    <row r="42" spans="1:8" x14ac:dyDescent="0.3">
      <c r="A42">
        <v>3.1188362919132145E-5</v>
      </c>
      <c r="B42" t="s">
        <v>57</v>
      </c>
      <c r="C42" t="s">
        <v>684</v>
      </c>
      <c r="D42" t="s">
        <v>498</v>
      </c>
      <c r="E42" t="s">
        <v>508</v>
      </c>
      <c r="F42" t="s">
        <v>13</v>
      </c>
      <c r="G42" t="s">
        <v>525</v>
      </c>
      <c r="H42" t="s">
        <v>626</v>
      </c>
    </row>
    <row r="43" spans="1:8" x14ac:dyDescent="0.3">
      <c r="A43">
        <v>3.3284023668639053E-4</v>
      </c>
      <c r="B43" t="s">
        <v>57</v>
      </c>
      <c r="C43" t="s">
        <v>676</v>
      </c>
      <c r="D43" t="s">
        <v>498</v>
      </c>
      <c r="E43" t="s">
        <v>516</v>
      </c>
      <c r="F43" t="s">
        <v>13</v>
      </c>
      <c r="G43" t="s">
        <v>525</v>
      </c>
      <c r="H43" t="s">
        <v>626</v>
      </c>
    </row>
    <row r="44" spans="1:8" x14ac:dyDescent="0.3">
      <c r="A44">
        <v>2.6298487836949372E-3</v>
      </c>
      <c r="B44" t="s">
        <v>57</v>
      </c>
      <c r="C44" t="s">
        <v>676</v>
      </c>
      <c r="D44" t="s">
        <v>498</v>
      </c>
      <c r="E44" t="s">
        <v>516</v>
      </c>
      <c r="F44" t="s">
        <v>13</v>
      </c>
      <c r="G44" t="s">
        <v>525</v>
      </c>
      <c r="H44" t="s">
        <v>626</v>
      </c>
    </row>
    <row r="45" spans="1:8" x14ac:dyDescent="0.3">
      <c r="A45">
        <v>1.2615055884286653E-2</v>
      </c>
      <c r="B45" t="s">
        <v>57</v>
      </c>
      <c r="C45" t="s">
        <v>657</v>
      </c>
      <c r="D45" t="s">
        <v>498</v>
      </c>
      <c r="E45" t="s">
        <v>513</v>
      </c>
      <c r="F45" t="s">
        <v>13</v>
      </c>
      <c r="G45" t="s">
        <v>525</v>
      </c>
      <c r="H45" t="s">
        <v>626</v>
      </c>
    </row>
    <row r="46" spans="1:8" x14ac:dyDescent="0.3">
      <c r="A46">
        <v>3.4117357001972382E-3</v>
      </c>
      <c r="B46" t="s">
        <v>57</v>
      </c>
      <c r="C46" t="s">
        <v>535</v>
      </c>
      <c r="D46" t="s">
        <v>498</v>
      </c>
      <c r="E46" t="s">
        <v>502</v>
      </c>
      <c r="F46" t="s">
        <v>13</v>
      </c>
      <c r="G46" t="s">
        <v>525</v>
      </c>
      <c r="H46" t="s">
        <v>658</v>
      </c>
    </row>
    <row r="47" spans="1:8" x14ac:dyDescent="0.3">
      <c r="A47">
        <v>3.0407626561472713E-7</v>
      </c>
      <c r="B47" t="s">
        <v>57</v>
      </c>
      <c r="C47" t="s">
        <v>500</v>
      </c>
      <c r="D47" t="s">
        <v>498</v>
      </c>
      <c r="E47" t="s">
        <v>500</v>
      </c>
      <c r="F47" t="s">
        <v>13</v>
      </c>
      <c r="G47" t="s">
        <v>525</v>
      </c>
      <c r="H47" t="s">
        <v>658</v>
      </c>
    </row>
    <row r="48" spans="1:8" x14ac:dyDescent="0.3">
      <c r="A48">
        <v>6.081525312294543E-9</v>
      </c>
      <c r="B48" t="s">
        <v>57</v>
      </c>
      <c r="C48" t="s">
        <v>511</v>
      </c>
      <c r="D48" t="s">
        <v>498</v>
      </c>
      <c r="E48" t="s">
        <v>511</v>
      </c>
      <c r="F48" t="s">
        <v>13</v>
      </c>
      <c r="G48" t="s">
        <v>525</v>
      </c>
      <c r="H48" t="s">
        <v>658</v>
      </c>
    </row>
    <row r="49" spans="1:7" x14ac:dyDescent="0.3">
      <c r="A49">
        <v>0</v>
      </c>
      <c r="B49" t="s">
        <v>312</v>
      </c>
      <c r="C49" t="s">
        <v>483</v>
      </c>
      <c r="D49" t="s">
        <v>2</v>
      </c>
      <c r="E49" t="s">
        <v>483</v>
      </c>
      <c r="F49" t="s">
        <v>13</v>
      </c>
      <c r="G49" t="s">
        <v>525</v>
      </c>
    </row>
    <row r="50" spans="1:7" x14ac:dyDescent="0.3">
      <c r="A50">
        <v>0</v>
      </c>
      <c r="B50" t="s">
        <v>105</v>
      </c>
      <c r="C50" t="s">
        <v>125</v>
      </c>
      <c r="D50" t="s">
        <v>2</v>
      </c>
      <c r="E50" t="s">
        <v>125</v>
      </c>
      <c r="F50" t="s">
        <v>13</v>
      </c>
      <c r="G50" t="s">
        <v>525</v>
      </c>
    </row>
    <row r="51" spans="1:7" x14ac:dyDescent="0.3">
      <c r="A51">
        <v>0</v>
      </c>
      <c r="B51" t="s">
        <v>319</v>
      </c>
      <c r="C51" t="s">
        <v>461</v>
      </c>
      <c r="D51" t="s">
        <v>2</v>
      </c>
      <c r="E51" t="s">
        <v>461</v>
      </c>
      <c r="F51" t="s">
        <v>13</v>
      </c>
      <c r="G51" t="s">
        <v>525</v>
      </c>
    </row>
    <row r="52" spans="1:7" x14ac:dyDescent="0.3">
      <c r="A52">
        <v>0</v>
      </c>
      <c r="B52" t="s">
        <v>314</v>
      </c>
      <c r="C52" t="s">
        <v>395</v>
      </c>
      <c r="D52" t="s">
        <v>2</v>
      </c>
      <c r="E52" t="s">
        <v>395</v>
      </c>
      <c r="F52" t="s">
        <v>13</v>
      </c>
      <c r="G52" t="s">
        <v>525</v>
      </c>
    </row>
    <row r="53" spans="1:7" x14ac:dyDescent="0.3">
      <c r="A53">
        <v>0</v>
      </c>
      <c r="B53" t="s">
        <v>312</v>
      </c>
      <c r="C53" t="s">
        <v>399</v>
      </c>
      <c r="D53" t="s">
        <v>2</v>
      </c>
      <c r="E53" t="s">
        <v>399</v>
      </c>
      <c r="F53" t="s">
        <v>13</v>
      </c>
      <c r="G53" t="s">
        <v>525</v>
      </c>
    </row>
    <row r="54" spans="1:7" x14ac:dyDescent="0.3">
      <c r="A54">
        <v>0</v>
      </c>
      <c r="B54" t="s">
        <v>314</v>
      </c>
      <c r="C54" t="s">
        <v>432</v>
      </c>
      <c r="D54" t="s">
        <v>2</v>
      </c>
      <c r="E54" t="s">
        <v>432</v>
      </c>
      <c r="F54" t="s">
        <v>13</v>
      </c>
      <c r="G54" t="s">
        <v>525</v>
      </c>
    </row>
    <row r="55" spans="1:7" x14ac:dyDescent="0.3">
      <c r="A55">
        <v>0</v>
      </c>
      <c r="B55" t="s">
        <v>312</v>
      </c>
      <c r="C55" t="s">
        <v>325</v>
      </c>
      <c r="D55" t="s">
        <v>2</v>
      </c>
      <c r="E55" t="s">
        <v>325</v>
      </c>
      <c r="F55" t="s">
        <v>13</v>
      </c>
      <c r="G55" t="s">
        <v>525</v>
      </c>
    </row>
    <row r="56" spans="1:7" x14ac:dyDescent="0.3">
      <c r="A56">
        <v>0</v>
      </c>
      <c r="B56" t="s">
        <v>314</v>
      </c>
      <c r="C56" t="s">
        <v>372</v>
      </c>
      <c r="D56" t="s">
        <v>2</v>
      </c>
      <c r="E56" t="s">
        <v>372</v>
      </c>
      <c r="F56" t="s">
        <v>13</v>
      </c>
      <c r="G56" t="s">
        <v>525</v>
      </c>
    </row>
    <row r="57" spans="1:7" x14ac:dyDescent="0.3">
      <c r="A57">
        <v>0</v>
      </c>
      <c r="B57" t="s">
        <v>314</v>
      </c>
      <c r="C57" t="s">
        <v>260</v>
      </c>
      <c r="D57" t="s">
        <v>2</v>
      </c>
      <c r="E57" t="s">
        <v>260</v>
      </c>
      <c r="F57" t="s">
        <v>13</v>
      </c>
      <c r="G57" t="s">
        <v>525</v>
      </c>
    </row>
    <row r="58" spans="1:7" x14ac:dyDescent="0.3">
      <c r="A58">
        <v>0</v>
      </c>
      <c r="B58" t="s">
        <v>312</v>
      </c>
      <c r="C58" t="s">
        <v>330</v>
      </c>
      <c r="D58" t="s">
        <v>2</v>
      </c>
      <c r="E58" t="s">
        <v>330</v>
      </c>
      <c r="F58" t="s">
        <v>13</v>
      </c>
      <c r="G58" t="s">
        <v>525</v>
      </c>
    </row>
    <row r="59" spans="1:7" x14ac:dyDescent="0.3">
      <c r="A59">
        <v>0</v>
      </c>
      <c r="B59" t="s">
        <v>105</v>
      </c>
      <c r="C59" t="s">
        <v>401</v>
      </c>
      <c r="D59" t="s">
        <v>2</v>
      </c>
      <c r="E59" t="s">
        <v>401</v>
      </c>
      <c r="F59" t="s">
        <v>13</v>
      </c>
      <c r="G59" t="s">
        <v>525</v>
      </c>
    </row>
    <row r="60" spans="1:7" x14ac:dyDescent="0.3">
      <c r="A60">
        <v>0</v>
      </c>
      <c r="B60" t="s">
        <v>312</v>
      </c>
      <c r="C60" t="s">
        <v>416</v>
      </c>
      <c r="D60" t="s">
        <v>2</v>
      </c>
      <c r="E60" t="s">
        <v>416</v>
      </c>
      <c r="F60" t="s">
        <v>13</v>
      </c>
      <c r="G60" t="s">
        <v>525</v>
      </c>
    </row>
    <row r="61" spans="1:7" x14ac:dyDescent="0.3">
      <c r="A61">
        <v>0</v>
      </c>
      <c r="B61" t="s">
        <v>319</v>
      </c>
      <c r="C61" t="s">
        <v>375</v>
      </c>
      <c r="D61" t="s">
        <v>2</v>
      </c>
      <c r="E61" t="s">
        <v>375</v>
      </c>
      <c r="F61" t="s">
        <v>13</v>
      </c>
      <c r="G61" t="s">
        <v>525</v>
      </c>
    </row>
    <row r="62" spans="1:7" x14ac:dyDescent="0.3">
      <c r="A62">
        <v>0</v>
      </c>
      <c r="B62" t="s">
        <v>312</v>
      </c>
      <c r="C62" t="s">
        <v>333</v>
      </c>
      <c r="D62" t="s">
        <v>2</v>
      </c>
      <c r="E62" t="s">
        <v>333</v>
      </c>
      <c r="F62" t="s">
        <v>13</v>
      </c>
      <c r="G62" t="s">
        <v>525</v>
      </c>
    </row>
    <row r="63" spans="1:7" x14ac:dyDescent="0.3">
      <c r="A63">
        <v>0</v>
      </c>
      <c r="B63" t="s">
        <v>57</v>
      </c>
      <c r="C63" t="s">
        <v>118</v>
      </c>
      <c r="D63" t="s">
        <v>2</v>
      </c>
      <c r="E63" t="s">
        <v>118</v>
      </c>
      <c r="F63" t="s">
        <v>13</v>
      </c>
      <c r="G63" t="s">
        <v>525</v>
      </c>
    </row>
    <row r="64" spans="1:7" x14ac:dyDescent="0.3">
      <c r="A64">
        <v>0</v>
      </c>
      <c r="B64" t="s">
        <v>312</v>
      </c>
      <c r="C64" t="s">
        <v>406</v>
      </c>
      <c r="D64" t="s">
        <v>2</v>
      </c>
      <c r="E64" t="s">
        <v>406</v>
      </c>
      <c r="F64" t="s">
        <v>13</v>
      </c>
      <c r="G64" t="s">
        <v>525</v>
      </c>
    </row>
    <row r="65" spans="1:7" x14ac:dyDescent="0.3">
      <c r="A65">
        <v>0</v>
      </c>
      <c r="B65" t="s">
        <v>312</v>
      </c>
      <c r="C65" t="s">
        <v>315</v>
      </c>
      <c r="D65" t="s">
        <v>2</v>
      </c>
      <c r="E65" t="s">
        <v>315</v>
      </c>
      <c r="F65" t="s">
        <v>13</v>
      </c>
      <c r="G65" t="s">
        <v>525</v>
      </c>
    </row>
    <row r="66" spans="1:7" x14ac:dyDescent="0.3">
      <c r="A66">
        <v>0</v>
      </c>
      <c r="B66" t="s">
        <v>312</v>
      </c>
      <c r="C66" t="s">
        <v>358</v>
      </c>
      <c r="D66" t="s">
        <v>2</v>
      </c>
      <c r="E66" t="s">
        <v>358</v>
      </c>
      <c r="F66" t="s">
        <v>13</v>
      </c>
      <c r="G66" t="s">
        <v>525</v>
      </c>
    </row>
    <row r="67" spans="1:7" x14ac:dyDescent="0.3">
      <c r="A67">
        <v>0</v>
      </c>
      <c r="B67" t="s">
        <v>314</v>
      </c>
      <c r="C67" t="s">
        <v>444</v>
      </c>
      <c r="D67" t="s">
        <v>2</v>
      </c>
      <c r="E67" t="s">
        <v>444</v>
      </c>
      <c r="F67" t="s">
        <v>13</v>
      </c>
      <c r="G67" t="s">
        <v>525</v>
      </c>
    </row>
    <row r="68" spans="1:7" x14ac:dyDescent="0.3">
      <c r="A68">
        <v>0</v>
      </c>
      <c r="B68" t="s">
        <v>312</v>
      </c>
      <c r="C68" t="s">
        <v>439</v>
      </c>
      <c r="D68" t="s">
        <v>2</v>
      </c>
      <c r="E68" t="s">
        <v>439</v>
      </c>
      <c r="F68" t="s">
        <v>13</v>
      </c>
      <c r="G68" t="s">
        <v>525</v>
      </c>
    </row>
    <row r="69" spans="1:7" x14ac:dyDescent="0.3">
      <c r="A69">
        <v>0</v>
      </c>
      <c r="B69" t="s">
        <v>312</v>
      </c>
      <c r="C69" t="s">
        <v>381</v>
      </c>
      <c r="D69" t="s">
        <v>2</v>
      </c>
      <c r="E69" t="s">
        <v>381</v>
      </c>
      <c r="F69" t="s">
        <v>13</v>
      </c>
      <c r="G69" t="s">
        <v>525</v>
      </c>
    </row>
    <row r="70" spans="1:7" x14ac:dyDescent="0.3">
      <c r="A70">
        <v>0</v>
      </c>
      <c r="B70" t="s">
        <v>312</v>
      </c>
      <c r="C70" t="s">
        <v>418</v>
      </c>
      <c r="D70" t="s">
        <v>2</v>
      </c>
      <c r="E70" t="s">
        <v>418</v>
      </c>
      <c r="F70" t="s">
        <v>13</v>
      </c>
      <c r="G70" t="s">
        <v>525</v>
      </c>
    </row>
    <row r="71" spans="1:7" x14ac:dyDescent="0.3">
      <c r="A71">
        <v>0</v>
      </c>
      <c r="B71" t="s">
        <v>314</v>
      </c>
      <c r="C71" t="s">
        <v>465</v>
      </c>
      <c r="D71" t="s">
        <v>2</v>
      </c>
      <c r="E71" t="s">
        <v>465</v>
      </c>
      <c r="F71" t="s">
        <v>13</v>
      </c>
      <c r="G71" t="s">
        <v>525</v>
      </c>
    </row>
    <row r="72" spans="1:7" x14ac:dyDescent="0.3">
      <c r="A72">
        <v>0</v>
      </c>
      <c r="B72" t="s">
        <v>105</v>
      </c>
      <c r="C72" t="s">
        <v>103</v>
      </c>
      <c r="D72" t="s">
        <v>2</v>
      </c>
      <c r="E72" t="s">
        <v>103</v>
      </c>
      <c r="F72" t="s">
        <v>13</v>
      </c>
      <c r="G72" t="s">
        <v>525</v>
      </c>
    </row>
    <row r="73" spans="1:7" x14ac:dyDescent="0.3">
      <c r="A73">
        <v>0</v>
      </c>
      <c r="B73" t="s">
        <v>312</v>
      </c>
      <c r="C73" t="s">
        <v>320</v>
      </c>
      <c r="D73" t="s">
        <v>2</v>
      </c>
      <c r="E73" t="s">
        <v>320</v>
      </c>
      <c r="F73" t="s">
        <v>13</v>
      </c>
      <c r="G73" t="s">
        <v>525</v>
      </c>
    </row>
    <row r="74" spans="1:7" x14ac:dyDescent="0.3">
      <c r="A74">
        <v>0</v>
      </c>
      <c r="B74" t="s">
        <v>312</v>
      </c>
      <c r="C74" t="s">
        <v>334</v>
      </c>
      <c r="D74" t="s">
        <v>2</v>
      </c>
      <c r="E74" t="s">
        <v>334</v>
      </c>
      <c r="F74" t="s">
        <v>13</v>
      </c>
      <c r="G74" t="s">
        <v>525</v>
      </c>
    </row>
    <row r="75" spans="1:7" x14ac:dyDescent="0.3">
      <c r="A75">
        <v>0</v>
      </c>
      <c r="B75" t="s">
        <v>312</v>
      </c>
      <c r="C75" t="s">
        <v>435</v>
      </c>
      <c r="D75" t="s">
        <v>2</v>
      </c>
      <c r="E75" t="s">
        <v>435</v>
      </c>
      <c r="F75" t="s">
        <v>13</v>
      </c>
      <c r="G75" t="s">
        <v>525</v>
      </c>
    </row>
    <row r="76" spans="1:7" x14ac:dyDescent="0.3">
      <c r="A76">
        <v>0</v>
      </c>
      <c r="B76" t="s">
        <v>319</v>
      </c>
      <c r="C76" t="s">
        <v>456</v>
      </c>
      <c r="D76" t="s">
        <v>2</v>
      </c>
      <c r="E76" t="s">
        <v>456</v>
      </c>
      <c r="F76" t="s">
        <v>13</v>
      </c>
      <c r="G76" t="s">
        <v>525</v>
      </c>
    </row>
    <row r="77" spans="1:7" x14ac:dyDescent="0.3">
      <c r="A77">
        <v>0</v>
      </c>
      <c r="B77" t="s">
        <v>312</v>
      </c>
      <c r="C77" t="s">
        <v>474</v>
      </c>
      <c r="D77" t="s">
        <v>2</v>
      </c>
      <c r="E77" t="s">
        <v>474</v>
      </c>
      <c r="F77" t="s">
        <v>13</v>
      </c>
      <c r="G77" t="s">
        <v>525</v>
      </c>
    </row>
    <row r="78" spans="1:7" x14ac:dyDescent="0.3">
      <c r="A78">
        <v>0</v>
      </c>
      <c r="B78" t="s">
        <v>319</v>
      </c>
      <c r="C78" t="s">
        <v>318</v>
      </c>
      <c r="D78" t="s">
        <v>2</v>
      </c>
      <c r="E78" t="s">
        <v>318</v>
      </c>
      <c r="F78" t="s">
        <v>13</v>
      </c>
      <c r="G78" t="s">
        <v>525</v>
      </c>
    </row>
    <row r="79" spans="1:7" x14ac:dyDescent="0.3">
      <c r="A79">
        <v>0</v>
      </c>
      <c r="B79" t="s">
        <v>314</v>
      </c>
      <c r="C79" t="s">
        <v>475</v>
      </c>
      <c r="D79" t="s">
        <v>2</v>
      </c>
      <c r="E79" t="s">
        <v>475</v>
      </c>
      <c r="F79" t="s">
        <v>13</v>
      </c>
      <c r="G79" t="s">
        <v>525</v>
      </c>
    </row>
    <row r="80" spans="1:7" x14ac:dyDescent="0.3">
      <c r="A80">
        <v>0</v>
      </c>
      <c r="B80" t="s">
        <v>314</v>
      </c>
      <c r="C80" t="s">
        <v>449</v>
      </c>
      <c r="D80" t="s">
        <v>2</v>
      </c>
      <c r="E80" t="s">
        <v>449</v>
      </c>
      <c r="F80" t="s">
        <v>13</v>
      </c>
      <c r="G80" t="s">
        <v>525</v>
      </c>
    </row>
    <row r="81" spans="1:7" x14ac:dyDescent="0.3">
      <c r="A81">
        <v>0</v>
      </c>
      <c r="B81" t="s">
        <v>314</v>
      </c>
      <c r="C81" t="s">
        <v>176</v>
      </c>
      <c r="D81" t="s">
        <v>2</v>
      </c>
      <c r="E81" t="s">
        <v>176</v>
      </c>
      <c r="F81" t="s">
        <v>13</v>
      </c>
      <c r="G81" t="s">
        <v>525</v>
      </c>
    </row>
    <row r="82" spans="1:7" x14ac:dyDescent="0.3">
      <c r="A82">
        <v>0</v>
      </c>
      <c r="B82" t="s">
        <v>312</v>
      </c>
      <c r="C82" t="s">
        <v>388</v>
      </c>
      <c r="D82" t="s">
        <v>2</v>
      </c>
      <c r="E82" t="s">
        <v>388</v>
      </c>
      <c r="F82" t="s">
        <v>13</v>
      </c>
      <c r="G82" t="s">
        <v>525</v>
      </c>
    </row>
    <row r="83" spans="1:7" x14ac:dyDescent="0.3">
      <c r="A83">
        <v>0</v>
      </c>
      <c r="B83" t="s">
        <v>319</v>
      </c>
      <c r="C83" t="s">
        <v>429</v>
      </c>
      <c r="D83" t="s">
        <v>2</v>
      </c>
      <c r="E83" t="s">
        <v>429</v>
      </c>
      <c r="F83" t="s">
        <v>13</v>
      </c>
      <c r="G83" t="s">
        <v>525</v>
      </c>
    </row>
    <row r="84" spans="1:7" x14ac:dyDescent="0.3">
      <c r="A84">
        <v>0</v>
      </c>
      <c r="B84" t="s">
        <v>312</v>
      </c>
      <c r="C84" t="s">
        <v>272</v>
      </c>
      <c r="D84" t="s">
        <v>2</v>
      </c>
      <c r="E84" t="s">
        <v>272</v>
      </c>
      <c r="F84" t="s">
        <v>13</v>
      </c>
      <c r="G84" t="s">
        <v>525</v>
      </c>
    </row>
    <row r="85" spans="1:7" x14ac:dyDescent="0.3">
      <c r="A85">
        <v>0</v>
      </c>
      <c r="B85" t="s">
        <v>312</v>
      </c>
      <c r="C85" t="s">
        <v>410</v>
      </c>
      <c r="D85" t="s">
        <v>2</v>
      </c>
      <c r="E85" t="s">
        <v>410</v>
      </c>
      <c r="F85" t="s">
        <v>13</v>
      </c>
      <c r="G85" t="s">
        <v>525</v>
      </c>
    </row>
    <row r="86" spans="1:7" x14ac:dyDescent="0.3">
      <c r="A86">
        <v>0</v>
      </c>
      <c r="B86" t="s">
        <v>319</v>
      </c>
      <c r="C86" t="s">
        <v>363</v>
      </c>
      <c r="D86" t="s">
        <v>2</v>
      </c>
      <c r="E86" t="s">
        <v>363</v>
      </c>
      <c r="F86" t="s">
        <v>13</v>
      </c>
      <c r="G86" t="s">
        <v>525</v>
      </c>
    </row>
    <row r="87" spans="1:7" x14ac:dyDescent="0.3">
      <c r="A87">
        <v>0</v>
      </c>
      <c r="B87" t="s">
        <v>312</v>
      </c>
      <c r="C87" t="s">
        <v>382</v>
      </c>
      <c r="D87" t="s">
        <v>2</v>
      </c>
      <c r="E87" t="s">
        <v>382</v>
      </c>
      <c r="F87" t="s">
        <v>13</v>
      </c>
      <c r="G87" t="s">
        <v>525</v>
      </c>
    </row>
    <row r="88" spans="1:7" x14ac:dyDescent="0.3">
      <c r="A88">
        <v>0</v>
      </c>
      <c r="B88" t="s">
        <v>312</v>
      </c>
      <c r="C88" t="s">
        <v>424</v>
      </c>
      <c r="D88" t="s">
        <v>2</v>
      </c>
      <c r="E88" t="s">
        <v>424</v>
      </c>
      <c r="F88" t="s">
        <v>13</v>
      </c>
      <c r="G88" t="s">
        <v>525</v>
      </c>
    </row>
    <row r="89" spans="1:7" x14ac:dyDescent="0.3">
      <c r="A89">
        <v>0</v>
      </c>
      <c r="B89" t="s">
        <v>314</v>
      </c>
      <c r="C89" t="s">
        <v>351</v>
      </c>
      <c r="D89" t="s">
        <v>2</v>
      </c>
      <c r="E89" t="s">
        <v>351</v>
      </c>
      <c r="F89" t="s">
        <v>13</v>
      </c>
      <c r="G89" t="s">
        <v>525</v>
      </c>
    </row>
    <row r="90" spans="1:7" x14ac:dyDescent="0.3">
      <c r="A90">
        <v>0</v>
      </c>
      <c r="B90" t="s">
        <v>312</v>
      </c>
      <c r="C90" t="s">
        <v>347</v>
      </c>
      <c r="D90" t="s">
        <v>2</v>
      </c>
      <c r="E90" t="s">
        <v>347</v>
      </c>
      <c r="F90" t="s">
        <v>13</v>
      </c>
      <c r="G90" t="s">
        <v>525</v>
      </c>
    </row>
    <row r="91" spans="1:7" x14ac:dyDescent="0.3">
      <c r="A91">
        <v>0</v>
      </c>
      <c r="B91" t="s">
        <v>314</v>
      </c>
      <c r="C91" t="s">
        <v>453</v>
      </c>
      <c r="D91" t="s">
        <v>2</v>
      </c>
      <c r="E91" t="s">
        <v>453</v>
      </c>
      <c r="F91" t="s">
        <v>13</v>
      </c>
      <c r="G91" t="s">
        <v>525</v>
      </c>
    </row>
    <row r="92" spans="1:7" x14ac:dyDescent="0.3">
      <c r="A92">
        <v>0</v>
      </c>
      <c r="B92" t="s">
        <v>319</v>
      </c>
      <c r="C92" t="s">
        <v>457</v>
      </c>
      <c r="D92" t="s">
        <v>2</v>
      </c>
      <c r="E92" t="s">
        <v>457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485</v>
      </c>
      <c r="D93" t="s">
        <v>2</v>
      </c>
      <c r="E93" t="s">
        <v>485</v>
      </c>
      <c r="F93" t="s">
        <v>13</v>
      </c>
      <c r="G93" t="s">
        <v>525</v>
      </c>
    </row>
    <row r="94" spans="1:7" x14ac:dyDescent="0.3">
      <c r="A94">
        <v>0</v>
      </c>
      <c r="B94" t="s">
        <v>312</v>
      </c>
      <c r="C94" t="s">
        <v>355</v>
      </c>
      <c r="D94" t="s">
        <v>2</v>
      </c>
      <c r="E94" t="s">
        <v>355</v>
      </c>
      <c r="F94" t="s">
        <v>13</v>
      </c>
      <c r="G94" t="s">
        <v>525</v>
      </c>
    </row>
    <row r="95" spans="1:7" x14ac:dyDescent="0.3">
      <c r="A95">
        <v>0</v>
      </c>
      <c r="B95" t="s">
        <v>312</v>
      </c>
      <c r="C95" t="s">
        <v>338</v>
      </c>
      <c r="D95" t="s">
        <v>2</v>
      </c>
      <c r="E95" t="s">
        <v>338</v>
      </c>
      <c r="F95" t="s">
        <v>13</v>
      </c>
      <c r="G95" t="s">
        <v>525</v>
      </c>
    </row>
    <row r="96" spans="1:7" x14ac:dyDescent="0.3">
      <c r="A96">
        <v>0</v>
      </c>
      <c r="B96" t="s">
        <v>312</v>
      </c>
      <c r="C96" t="s">
        <v>394</v>
      </c>
      <c r="D96" t="s">
        <v>2</v>
      </c>
      <c r="E96" t="s">
        <v>394</v>
      </c>
      <c r="F96" t="s">
        <v>13</v>
      </c>
      <c r="G96" t="s">
        <v>525</v>
      </c>
    </row>
    <row r="97" spans="1:7" x14ac:dyDescent="0.3">
      <c r="A97">
        <v>0</v>
      </c>
      <c r="B97" t="s">
        <v>312</v>
      </c>
      <c r="C97" t="s">
        <v>438</v>
      </c>
      <c r="D97" t="s">
        <v>2</v>
      </c>
      <c r="E97" t="s">
        <v>438</v>
      </c>
      <c r="F97" t="s">
        <v>13</v>
      </c>
      <c r="G97" t="s">
        <v>525</v>
      </c>
    </row>
    <row r="98" spans="1:7" x14ac:dyDescent="0.3">
      <c r="A98">
        <v>0</v>
      </c>
      <c r="B98" t="s">
        <v>312</v>
      </c>
      <c r="C98" t="s">
        <v>486</v>
      </c>
      <c r="D98" t="s">
        <v>2</v>
      </c>
      <c r="E98" t="s">
        <v>486</v>
      </c>
      <c r="F98" t="s">
        <v>13</v>
      </c>
      <c r="G98" t="s">
        <v>525</v>
      </c>
    </row>
    <row r="99" spans="1:7" x14ac:dyDescent="0.3">
      <c r="A99">
        <v>0</v>
      </c>
      <c r="B99" t="s">
        <v>319</v>
      </c>
      <c r="C99" t="s">
        <v>419</v>
      </c>
      <c r="D99" t="s">
        <v>2</v>
      </c>
      <c r="E99" t="s">
        <v>419</v>
      </c>
      <c r="F99" t="s">
        <v>13</v>
      </c>
      <c r="G99" t="s">
        <v>525</v>
      </c>
    </row>
    <row r="100" spans="1:7" x14ac:dyDescent="0.3">
      <c r="A100">
        <v>0</v>
      </c>
      <c r="B100" t="s">
        <v>57</v>
      </c>
      <c r="C100" t="s">
        <v>353</v>
      </c>
      <c r="D100" t="s">
        <v>2</v>
      </c>
      <c r="E100" t="s">
        <v>353</v>
      </c>
      <c r="F100" t="s">
        <v>13</v>
      </c>
      <c r="G100" t="s">
        <v>525</v>
      </c>
    </row>
    <row r="101" spans="1:7" x14ac:dyDescent="0.3">
      <c r="A101">
        <v>0</v>
      </c>
      <c r="B101" t="s">
        <v>319</v>
      </c>
      <c r="C101" t="s">
        <v>489</v>
      </c>
      <c r="D101" t="s">
        <v>2</v>
      </c>
      <c r="E101" t="s">
        <v>489</v>
      </c>
      <c r="F101" t="s">
        <v>13</v>
      </c>
      <c r="G101" t="s">
        <v>525</v>
      </c>
    </row>
    <row r="102" spans="1:7" x14ac:dyDescent="0.3">
      <c r="A102">
        <v>0</v>
      </c>
      <c r="B102" t="s">
        <v>312</v>
      </c>
      <c r="C102" t="s">
        <v>386</v>
      </c>
      <c r="D102" t="s">
        <v>2</v>
      </c>
      <c r="E102" t="s">
        <v>386</v>
      </c>
      <c r="F102" t="s">
        <v>13</v>
      </c>
      <c r="G102" t="s">
        <v>525</v>
      </c>
    </row>
    <row r="103" spans="1:7" x14ac:dyDescent="0.3">
      <c r="A103">
        <v>0</v>
      </c>
      <c r="B103" t="s">
        <v>319</v>
      </c>
      <c r="C103" t="s">
        <v>389</v>
      </c>
      <c r="D103" t="s">
        <v>2</v>
      </c>
      <c r="E103" t="s">
        <v>389</v>
      </c>
      <c r="F103" t="s">
        <v>13</v>
      </c>
      <c r="G103" t="s">
        <v>525</v>
      </c>
    </row>
    <row r="104" spans="1:7" x14ac:dyDescent="0.3">
      <c r="A104">
        <v>0</v>
      </c>
      <c r="B104" t="s">
        <v>312</v>
      </c>
      <c r="C104" t="s">
        <v>340</v>
      </c>
      <c r="D104" t="s">
        <v>2</v>
      </c>
      <c r="E104" t="s">
        <v>340</v>
      </c>
      <c r="F104" t="s">
        <v>13</v>
      </c>
      <c r="G104" t="s">
        <v>525</v>
      </c>
    </row>
    <row r="105" spans="1:7" x14ac:dyDescent="0.3">
      <c r="A105">
        <v>0</v>
      </c>
      <c r="B105" t="s">
        <v>312</v>
      </c>
      <c r="C105" t="s">
        <v>368</v>
      </c>
      <c r="D105" t="s">
        <v>2</v>
      </c>
      <c r="E105" t="s">
        <v>368</v>
      </c>
      <c r="F105" t="s">
        <v>13</v>
      </c>
      <c r="G105" t="s">
        <v>525</v>
      </c>
    </row>
    <row r="106" spans="1:7" x14ac:dyDescent="0.3">
      <c r="A106">
        <v>0</v>
      </c>
      <c r="B106" t="s">
        <v>312</v>
      </c>
      <c r="C106" t="s">
        <v>328</v>
      </c>
      <c r="D106" t="s">
        <v>2</v>
      </c>
      <c r="E106" t="s">
        <v>328</v>
      </c>
      <c r="F106" t="s">
        <v>13</v>
      </c>
      <c r="G106" t="s">
        <v>525</v>
      </c>
    </row>
    <row r="107" spans="1:7" x14ac:dyDescent="0.3">
      <c r="A107">
        <v>0</v>
      </c>
      <c r="B107" t="s">
        <v>312</v>
      </c>
      <c r="C107" t="s">
        <v>479</v>
      </c>
      <c r="D107" t="s">
        <v>2</v>
      </c>
      <c r="E107" t="s">
        <v>479</v>
      </c>
      <c r="F107" t="s">
        <v>13</v>
      </c>
      <c r="G107" t="s">
        <v>525</v>
      </c>
    </row>
    <row r="108" spans="1:7" x14ac:dyDescent="0.3">
      <c r="A108">
        <v>0</v>
      </c>
      <c r="B108" t="s">
        <v>57</v>
      </c>
      <c r="C108" t="s">
        <v>116</v>
      </c>
      <c r="D108" t="s">
        <v>2</v>
      </c>
      <c r="E108" t="s">
        <v>116</v>
      </c>
      <c r="F108" t="s">
        <v>13</v>
      </c>
      <c r="G108" t="s">
        <v>525</v>
      </c>
    </row>
    <row r="109" spans="1:7" x14ac:dyDescent="0.3">
      <c r="A109">
        <v>0</v>
      </c>
      <c r="B109" t="s">
        <v>312</v>
      </c>
      <c r="C109" t="s">
        <v>352</v>
      </c>
      <c r="D109" t="s">
        <v>2</v>
      </c>
      <c r="E109" t="s">
        <v>352</v>
      </c>
      <c r="F109" t="s">
        <v>13</v>
      </c>
      <c r="G109" t="s">
        <v>525</v>
      </c>
    </row>
    <row r="110" spans="1:7" x14ac:dyDescent="0.3">
      <c r="A110">
        <v>0</v>
      </c>
      <c r="B110" t="s">
        <v>312</v>
      </c>
      <c r="C110" t="s">
        <v>417</v>
      </c>
      <c r="D110" t="s">
        <v>2</v>
      </c>
      <c r="E110" t="s">
        <v>417</v>
      </c>
      <c r="F110" t="s">
        <v>13</v>
      </c>
      <c r="G110" t="s">
        <v>525</v>
      </c>
    </row>
    <row r="111" spans="1:7" x14ac:dyDescent="0.3">
      <c r="A111">
        <v>0</v>
      </c>
      <c r="B111" t="s">
        <v>312</v>
      </c>
      <c r="C111" t="s">
        <v>447</v>
      </c>
      <c r="D111" t="s">
        <v>2</v>
      </c>
      <c r="E111" t="s">
        <v>447</v>
      </c>
      <c r="F111" t="s">
        <v>13</v>
      </c>
      <c r="G111" t="s">
        <v>525</v>
      </c>
    </row>
    <row r="112" spans="1:7" x14ac:dyDescent="0.3">
      <c r="A112">
        <v>0</v>
      </c>
      <c r="B112" t="s">
        <v>319</v>
      </c>
      <c r="C112" t="s">
        <v>329</v>
      </c>
      <c r="D112" t="s">
        <v>2</v>
      </c>
      <c r="E112" t="s">
        <v>329</v>
      </c>
      <c r="F112" t="s">
        <v>13</v>
      </c>
      <c r="G112" t="s">
        <v>525</v>
      </c>
    </row>
    <row r="113" spans="1:7" x14ac:dyDescent="0.3">
      <c r="A113">
        <v>0</v>
      </c>
      <c r="B113" t="s">
        <v>312</v>
      </c>
      <c r="C113" t="s">
        <v>252</v>
      </c>
      <c r="D113" t="s">
        <v>2</v>
      </c>
      <c r="E113" t="s">
        <v>252</v>
      </c>
      <c r="F113" t="s">
        <v>13</v>
      </c>
      <c r="G113" t="s">
        <v>525</v>
      </c>
    </row>
    <row r="114" spans="1:7" x14ac:dyDescent="0.3">
      <c r="A114">
        <v>0</v>
      </c>
      <c r="B114" t="s">
        <v>312</v>
      </c>
      <c r="C114" t="s">
        <v>317</v>
      </c>
      <c r="D114" t="s">
        <v>2</v>
      </c>
      <c r="E114" t="s">
        <v>317</v>
      </c>
      <c r="F114" t="s">
        <v>13</v>
      </c>
      <c r="G114" t="s">
        <v>525</v>
      </c>
    </row>
    <row r="115" spans="1:7" x14ac:dyDescent="0.3">
      <c r="A115">
        <v>0</v>
      </c>
      <c r="B115" t="s">
        <v>312</v>
      </c>
      <c r="C115" t="s">
        <v>436</v>
      </c>
      <c r="D115" t="s">
        <v>2</v>
      </c>
      <c r="E115" t="s">
        <v>436</v>
      </c>
      <c r="F115" t="s">
        <v>13</v>
      </c>
      <c r="G115" t="s">
        <v>525</v>
      </c>
    </row>
    <row r="116" spans="1:7" x14ac:dyDescent="0.3">
      <c r="A116">
        <v>0</v>
      </c>
      <c r="B116" t="s">
        <v>319</v>
      </c>
      <c r="C116" t="s">
        <v>490</v>
      </c>
      <c r="D116" t="s">
        <v>2</v>
      </c>
      <c r="E116" t="s">
        <v>490</v>
      </c>
      <c r="F116" t="s">
        <v>13</v>
      </c>
      <c r="G116" t="s">
        <v>525</v>
      </c>
    </row>
    <row r="117" spans="1:7" x14ac:dyDescent="0.3">
      <c r="A117">
        <v>0</v>
      </c>
      <c r="B117" t="s">
        <v>312</v>
      </c>
      <c r="C117" t="s">
        <v>391</v>
      </c>
      <c r="D117" t="s">
        <v>2</v>
      </c>
      <c r="E117" t="s">
        <v>391</v>
      </c>
      <c r="F117" t="s">
        <v>13</v>
      </c>
      <c r="G117" t="s">
        <v>525</v>
      </c>
    </row>
    <row r="118" spans="1:7" x14ac:dyDescent="0.3">
      <c r="A118">
        <v>0</v>
      </c>
      <c r="B118" t="s">
        <v>312</v>
      </c>
      <c r="C118" t="s">
        <v>235</v>
      </c>
      <c r="D118" t="s">
        <v>2</v>
      </c>
      <c r="E118" t="s">
        <v>235</v>
      </c>
      <c r="F118" t="s">
        <v>13</v>
      </c>
      <c r="G118" t="s">
        <v>525</v>
      </c>
    </row>
    <row r="119" spans="1:7" x14ac:dyDescent="0.3">
      <c r="A119">
        <v>0</v>
      </c>
      <c r="B119" t="s">
        <v>312</v>
      </c>
      <c r="C119" t="s">
        <v>493</v>
      </c>
      <c r="D119" t="s">
        <v>2</v>
      </c>
      <c r="E119" t="s">
        <v>493</v>
      </c>
      <c r="F119" t="s">
        <v>13</v>
      </c>
      <c r="G119" t="s">
        <v>525</v>
      </c>
    </row>
    <row r="120" spans="1:7" x14ac:dyDescent="0.3">
      <c r="A120">
        <v>0</v>
      </c>
      <c r="B120" t="s">
        <v>312</v>
      </c>
      <c r="C120" t="s">
        <v>335</v>
      </c>
      <c r="D120" t="s">
        <v>2</v>
      </c>
      <c r="E120" t="s">
        <v>335</v>
      </c>
      <c r="F120" t="s">
        <v>13</v>
      </c>
      <c r="G120" t="s">
        <v>525</v>
      </c>
    </row>
    <row r="121" spans="1:7" x14ac:dyDescent="0.3">
      <c r="A121">
        <v>0</v>
      </c>
      <c r="B121" t="s">
        <v>312</v>
      </c>
      <c r="C121" t="s">
        <v>354</v>
      </c>
      <c r="D121" t="s">
        <v>2</v>
      </c>
      <c r="E121" t="s">
        <v>354</v>
      </c>
      <c r="F121" t="s">
        <v>13</v>
      </c>
      <c r="G121" t="s">
        <v>525</v>
      </c>
    </row>
    <row r="122" spans="1:7" x14ac:dyDescent="0.3">
      <c r="A122">
        <v>0</v>
      </c>
      <c r="B122" t="s">
        <v>319</v>
      </c>
      <c r="C122" t="s">
        <v>360</v>
      </c>
      <c r="D122" t="s">
        <v>2</v>
      </c>
      <c r="E122" t="s">
        <v>360</v>
      </c>
      <c r="F122" t="s">
        <v>13</v>
      </c>
      <c r="G122" t="s">
        <v>525</v>
      </c>
    </row>
    <row r="123" spans="1:7" x14ac:dyDescent="0.3">
      <c r="A123">
        <v>0</v>
      </c>
      <c r="B123" t="s">
        <v>314</v>
      </c>
      <c r="C123" t="s">
        <v>356</v>
      </c>
      <c r="D123" t="s">
        <v>2</v>
      </c>
      <c r="E123" t="s">
        <v>356</v>
      </c>
      <c r="F123" t="s">
        <v>13</v>
      </c>
      <c r="G123" t="s">
        <v>525</v>
      </c>
    </row>
    <row r="124" spans="1:7" x14ac:dyDescent="0.3">
      <c r="A124">
        <v>0</v>
      </c>
      <c r="B124" t="s">
        <v>312</v>
      </c>
      <c r="C124" t="s">
        <v>405</v>
      </c>
      <c r="D124" t="s">
        <v>2</v>
      </c>
      <c r="E124" t="s">
        <v>405</v>
      </c>
      <c r="F124" t="s">
        <v>13</v>
      </c>
      <c r="G124" t="s">
        <v>525</v>
      </c>
    </row>
    <row r="125" spans="1:7" x14ac:dyDescent="0.3">
      <c r="A125">
        <v>0</v>
      </c>
      <c r="B125" t="s">
        <v>312</v>
      </c>
      <c r="C125" t="s">
        <v>471</v>
      </c>
      <c r="D125" t="s">
        <v>2</v>
      </c>
      <c r="E125" t="s">
        <v>471</v>
      </c>
      <c r="F125" t="s">
        <v>13</v>
      </c>
      <c r="G125" t="s">
        <v>525</v>
      </c>
    </row>
    <row r="126" spans="1:7" x14ac:dyDescent="0.3">
      <c r="A126">
        <v>0</v>
      </c>
      <c r="B126" t="s">
        <v>319</v>
      </c>
      <c r="C126" t="s">
        <v>421</v>
      </c>
      <c r="D126" t="s">
        <v>2</v>
      </c>
      <c r="E126" t="s">
        <v>421</v>
      </c>
      <c r="F126" t="s">
        <v>13</v>
      </c>
      <c r="G126" t="s">
        <v>525</v>
      </c>
    </row>
    <row r="127" spans="1:7" x14ac:dyDescent="0.3">
      <c r="A127">
        <v>0</v>
      </c>
      <c r="B127" t="s">
        <v>312</v>
      </c>
      <c r="C127" t="s">
        <v>321</v>
      </c>
      <c r="D127" t="s">
        <v>2</v>
      </c>
      <c r="E127" t="s">
        <v>321</v>
      </c>
      <c r="F127" t="s">
        <v>13</v>
      </c>
      <c r="G127" t="s">
        <v>525</v>
      </c>
    </row>
    <row r="128" spans="1:7" x14ac:dyDescent="0.3">
      <c r="A128">
        <v>0</v>
      </c>
      <c r="B128" t="s">
        <v>105</v>
      </c>
      <c r="C128" t="s">
        <v>113</v>
      </c>
      <c r="D128" t="s">
        <v>2</v>
      </c>
      <c r="E128" t="s">
        <v>113</v>
      </c>
      <c r="F128" t="s">
        <v>13</v>
      </c>
      <c r="G128" t="s">
        <v>525</v>
      </c>
    </row>
    <row r="129" spans="1:7" x14ac:dyDescent="0.3">
      <c r="A129">
        <v>0</v>
      </c>
      <c r="B129" t="s">
        <v>312</v>
      </c>
      <c r="C129" t="s">
        <v>348</v>
      </c>
      <c r="D129" t="s">
        <v>2</v>
      </c>
      <c r="E129" t="s">
        <v>348</v>
      </c>
      <c r="F129" t="s">
        <v>13</v>
      </c>
      <c r="G129" t="s">
        <v>525</v>
      </c>
    </row>
    <row r="130" spans="1:7" x14ac:dyDescent="0.3">
      <c r="A130">
        <v>0</v>
      </c>
      <c r="B130" t="s">
        <v>105</v>
      </c>
      <c r="C130" t="s">
        <v>469</v>
      </c>
      <c r="D130" t="s">
        <v>2</v>
      </c>
      <c r="E130" t="s">
        <v>469</v>
      </c>
      <c r="F130" t="s">
        <v>13</v>
      </c>
      <c r="G130" t="s">
        <v>525</v>
      </c>
    </row>
    <row r="131" spans="1:7" x14ac:dyDescent="0.3">
      <c r="A131">
        <v>0</v>
      </c>
      <c r="B131" t="s">
        <v>314</v>
      </c>
      <c r="C131" t="s">
        <v>481</v>
      </c>
      <c r="D131" t="s">
        <v>2</v>
      </c>
      <c r="E131" t="s">
        <v>481</v>
      </c>
      <c r="F131" t="s">
        <v>13</v>
      </c>
      <c r="G131" t="s">
        <v>525</v>
      </c>
    </row>
    <row r="132" spans="1:7" x14ac:dyDescent="0.3">
      <c r="A132">
        <v>0</v>
      </c>
      <c r="B132" t="s">
        <v>312</v>
      </c>
      <c r="C132" t="s">
        <v>398</v>
      </c>
      <c r="D132" t="s">
        <v>2</v>
      </c>
      <c r="E132" t="s">
        <v>398</v>
      </c>
      <c r="F132" t="s">
        <v>13</v>
      </c>
      <c r="G132" t="s">
        <v>525</v>
      </c>
    </row>
    <row r="133" spans="1:7" x14ac:dyDescent="0.3">
      <c r="A133">
        <v>0</v>
      </c>
      <c r="B133" t="s">
        <v>314</v>
      </c>
      <c r="C133" t="s">
        <v>342</v>
      </c>
      <c r="D133" t="s">
        <v>2</v>
      </c>
      <c r="E133" t="s">
        <v>342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322</v>
      </c>
      <c r="D134" t="s">
        <v>2</v>
      </c>
      <c r="E134" t="s">
        <v>322</v>
      </c>
      <c r="F134" t="s">
        <v>13</v>
      </c>
      <c r="G134" t="s">
        <v>525</v>
      </c>
    </row>
    <row r="135" spans="1:7" x14ac:dyDescent="0.3">
      <c r="A135">
        <v>0</v>
      </c>
      <c r="B135" t="s">
        <v>314</v>
      </c>
      <c r="C135" t="s">
        <v>409</v>
      </c>
      <c r="D135" t="s">
        <v>2</v>
      </c>
      <c r="E135" t="s">
        <v>409</v>
      </c>
      <c r="F135" t="s">
        <v>13</v>
      </c>
      <c r="G135" t="s">
        <v>525</v>
      </c>
    </row>
    <row r="136" spans="1:7" x14ac:dyDescent="0.3">
      <c r="A136">
        <v>0</v>
      </c>
      <c r="B136" t="s">
        <v>314</v>
      </c>
      <c r="C136" t="s">
        <v>480</v>
      </c>
      <c r="D136" t="s">
        <v>2</v>
      </c>
      <c r="E136" t="s">
        <v>480</v>
      </c>
      <c r="F136" t="s">
        <v>13</v>
      </c>
      <c r="G136" t="s">
        <v>525</v>
      </c>
    </row>
    <row r="137" spans="1:7" x14ac:dyDescent="0.3">
      <c r="A137">
        <v>0</v>
      </c>
      <c r="B137" t="s">
        <v>105</v>
      </c>
      <c r="C137" t="s">
        <v>121</v>
      </c>
      <c r="D137" t="s">
        <v>2</v>
      </c>
      <c r="E137" t="s">
        <v>121</v>
      </c>
      <c r="F137" t="s">
        <v>13</v>
      </c>
      <c r="G137" t="s">
        <v>525</v>
      </c>
    </row>
    <row r="138" spans="1:7" x14ac:dyDescent="0.3">
      <c r="A138">
        <v>0</v>
      </c>
      <c r="B138" t="s">
        <v>312</v>
      </c>
      <c r="C138" t="s">
        <v>359</v>
      </c>
      <c r="D138" t="s">
        <v>2</v>
      </c>
      <c r="E138" t="s">
        <v>359</v>
      </c>
      <c r="F138" t="s">
        <v>13</v>
      </c>
      <c r="G138" t="s">
        <v>525</v>
      </c>
    </row>
    <row r="139" spans="1:7" x14ac:dyDescent="0.3">
      <c r="A139">
        <v>0</v>
      </c>
      <c r="B139" t="s">
        <v>319</v>
      </c>
      <c r="C139" t="s">
        <v>468</v>
      </c>
      <c r="D139" t="s">
        <v>2</v>
      </c>
      <c r="E139" t="s">
        <v>468</v>
      </c>
      <c r="F139" t="s">
        <v>13</v>
      </c>
      <c r="G139" t="s">
        <v>525</v>
      </c>
    </row>
    <row r="140" spans="1:7" x14ac:dyDescent="0.3">
      <c r="A140">
        <v>0</v>
      </c>
      <c r="B140" t="s">
        <v>319</v>
      </c>
      <c r="C140" t="s">
        <v>458</v>
      </c>
      <c r="D140" t="s">
        <v>2</v>
      </c>
      <c r="E140" t="s">
        <v>458</v>
      </c>
      <c r="F140" t="s">
        <v>13</v>
      </c>
      <c r="G140" t="s">
        <v>525</v>
      </c>
    </row>
    <row r="141" spans="1:7" x14ac:dyDescent="0.3">
      <c r="A141">
        <v>0</v>
      </c>
      <c r="B141" t="s">
        <v>312</v>
      </c>
      <c r="C141" t="s">
        <v>370</v>
      </c>
      <c r="D141" t="s">
        <v>2</v>
      </c>
      <c r="E141" t="s">
        <v>370</v>
      </c>
      <c r="F141" t="s">
        <v>13</v>
      </c>
      <c r="G141" t="s">
        <v>525</v>
      </c>
    </row>
    <row r="142" spans="1:7" x14ac:dyDescent="0.3">
      <c r="A142">
        <v>0</v>
      </c>
      <c r="B142" t="s">
        <v>57</v>
      </c>
      <c r="C142" t="s">
        <v>114</v>
      </c>
      <c r="D142" t="s">
        <v>2</v>
      </c>
      <c r="E142" t="s">
        <v>114</v>
      </c>
      <c r="F142" t="s">
        <v>13</v>
      </c>
      <c r="G142" t="s">
        <v>525</v>
      </c>
    </row>
    <row r="143" spans="1:7" x14ac:dyDescent="0.3">
      <c r="A143">
        <v>0</v>
      </c>
      <c r="B143" t="s">
        <v>319</v>
      </c>
      <c r="C143" t="s">
        <v>404</v>
      </c>
      <c r="D143" t="s">
        <v>2</v>
      </c>
      <c r="E143" t="s">
        <v>404</v>
      </c>
      <c r="F143" t="s">
        <v>13</v>
      </c>
      <c r="G143" t="s">
        <v>525</v>
      </c>
    </row>
    <row r="144" spans="1:7" x14ac:dyDescent="0.3">
      <c r="A144">
        <v>0</v>
      </c>
      <c r="B144" t="s">
        <v>312</v>
      </c>
      <c r="C144" t="s">
        <v>369</v>
      </c>
      <c r="D144" t="s">
        <v>2</v>
      </c>
      <c r="E144" t="s">
        <v>369</v>
      </c>
      <c r="F144" t="s">
        <v>13</v>
      </c>
      <c r="G144" t="s">
        <v>525</v>
      </c>
    </row>
    <row r="145" spans="1:7" x14ac:dyDescent="0.3">
      <c r="A145">
        <v>0</v>
      </c>
      <c r="B145" t="s">
        <v>57</v>
      </c>
      <c r="C145" t="s">
        <v>122</v>
      </c>
      <c r="D145" t="s">
        <v>2</v>
      </c>
      <c r="E145" t="s">
        <v>122</v>
      </c>
      <c r="F145" t="s">
        <v>13</v>
      </c>
      <c r="G145" t="s">
        <v>525</v>
      </c>
    </row>
    <row r="146" spans="1:7" x14ac:dyDescent="0.3">
      <c r="A146">
        <v>0</v>
      </c>
      <c r="B146" t="s">
        <v>319</v>
      </c>
      <c r="C146" t="s">
        <v>390</v>
      </c>
      <c r="D146" t="s">
        <v>2</v>
      </c>
      <c r="E146" t="s">
        <v>390</v>
      </c>
      <c r="F146" t="s">
        <v>13</v>
      </c>
      <c r="G146" t="s">
        <v>525</v>
      </c>
    </row>
    <row r="147" spans="1:7" x14ac:dyDescent="0.3">
      <c r="A147">
        <v>0</v>
      </c>
      <c r="B147" t="s">
        <v>312</v>
      </c>
      <c r="C147" t="s">
        <v>492</v>
      </c>
      <c r="D147" t="s">
        <v>2</v>
      </c>
      <c r="E147" t="s">
        <v>492</v>
      </c>
      <c r="F147" t="s">
        <v>13</v>
      </c>
      <c r="G147" t="s">
        <v>525</v>
      </c>
    </row>
    <row r="148" spans="1:7" x14ac:dyDescent="0.3">
      <c r="A148">
        <v>0</v>
      </c>
      <c r="B148" t="s">
        <v>312</v>
      </c>
      <c r="C148" t="s">
        <v>345</v>
      </c>
      <c r="D148" t="s">
        <v>2</v>
      </c>
      <c r="E148" t="s">
        <v>345</v>
      </c>
      <c r="F148" t="s">
        <v>13</v>
      </c>
      <c r="G148" t="s">
        <v>525</v>
      </c>
    </row>
    <row r="149" spans="1:7" x14ac:dyDescent="0.3">
      <c r="A149">
        <v>0</v>
      </c>
      <c r="B149" t="s">
        <v>314</v>
      </c>
      <c r="C149" t="s">
        <v>374</v>
      </c>
      <c r="D149" t="s">
        <v>2</v>
      </c>
      <c r="E149" t="s">
        <v>374</v>
      </c>
      <c r="F149" t="s">
        <v>13</v>
      </c>
      <c r="G149" t="s">
        <v>525</v>
      </c>
    </row>
    <row r="150" spans="1:7" x14ac:dyDescent="0.3">
      <c r="A150">
        <v>0</v>
      </c>
      <c r="B150" t="s">
        <v>105</v>
      </c>
      <c r="C150" t="s">
        <v>124</v>
      </c>
      <c r="D150" t="s">
        <v>2</v>
      </c>
      <c r="E150" t="s">
        <v>124</v>
      </c>
      <c r="F150" t="s">
        <v>13</v>
      </c>
      <c r="G150" t="s">
        <v>525</v>
      </c>
    </row>
    <row r="151" spans="1:7" x14ac:dyDescent="0.3">
      <c r="A151">
        <v>0</v>
      </c>
      <c r="B151" t="s">
        <v>312</v>
      </c>
      <c r="C151" t="s">
        <v>440</v>
      </c>
      <c r="D151" t="s">
        <v>2</v>
      </c>
      <c r="E151" t="s">
        <v>440</v>
      </c>
      <c r="F151" t="s">
        <v>13</v>
      </c>
      <c r="G151" t="s">
        <v>525</v>
      </c>
    </row>
    <row r="152" spans="1:7" x14ac:dyDescent="0.3">
      <c r="A152">
        <v>0</v>
      </c>
      <c r="B152" t="s">
        <v>312</v>
      </c>
      <c r="C152" t="s">
        <v>316</v>
      </c>
      <c r="D152" t="s">
        <v>2</v>
      </c>
      <c r="E152" t="s">
        <v>316</v>
      </c>
      <c r="F152" t="s">
        <v>13</v>
      </c>
      <c r="G152" t="s">
        <v>525</v>
      </c>
    </row>
    <row r="153" spans="1:7" x14ac:dyDescent="0.3">
      <c r="A153">
        <v>0</v>
      </c>
      <c r="B153" t="s">
        <v>312</v>
      </c>
      <c r="C153" t="s">
        <v>427</v>
      </c>
      <c r="D153" t="s">
        <v>2</v>
      </c>
      <c r="E153" t="s">
        <v>427</v>
      </c>
      <c r="F153" t="s">
        <v>13</v>
      </c>
      <c r="G153" t="s">
        <v>525</v>
      </c>
    </row>
    <row r="154" spans="1:7" x14ac:dyDescent="0.3">
      <c r="A154">
        <v>0</v>
      </c>
      <c r="B154" t="s">
        <v>312</v>
      </c>
      <c r="C154" t="s">
        <v>332</v>
      </c>
      <c r="D154" t="s">
        <v>2</v>
      </c>
      <c r="E154" t="s">
        <v>332</v>
      </c>
      <c r="F154" t="s">
        <v>13</v>
      </c>
      <c r="G154" t="s">
        <v>525</v>
      </c>
    </row>
    <row r="155" spans="1:7" x14ac:dyDescent="0.3">
      <c r="A155">
        <v>0</v>
      </c>
      <c r="B155" t="s">
        <v>312</v>
      </c>
      <c r="C155" t="s">
        <v>336</v>
      </c>
      <c r="D155" t="s">
        <v>2</v>
      </c>
      <c r="E155" t="s">
        <v>336</v>
      </c>
      <c r="F155" t="s">
        <v>13</v>
      </c>
      <c r="G155" t="s">
        <v>525</v>
      </c>
    </row>
    <row r="156" spans="1:7" x14ac:dyDescent="0.3">
      <c r="A156">
        <v>0</v>
      </c>
      <c r="B156" t="s">
        <v>314</v>
      </c>
      <c r="C156" t="s">
        <v>393</v>
      </c>
      <c r="D156" t="s">
        <v>2</v>
      </c>
      <c r="E156" t="s">
        <v>393</v>
      </c>
      <c r="F156" t="s">
        <v>13</v>
      </c>
      <c r="G156" t="s">
        <v>525</v>
      </c>
    </row>
    <row r="157" spans="1:7" x14ac:dyDescent="0.3">
      <c r="A157">
        <v>0</v>
      </c>
      <c r="B157" t="s">
        <v>312</v>
      </c>
      <c r="C157" t="s">
        <v>339</v>
      </c>
      <c r="D157" t="s">
        <v>2</v>
      </c>
      <c r="E157" t="s">
        <v>339</v>
      </c>
      <c r="F157" t="s">
        <v>13</v>
      </c>
      <c r="G157" t="s">
        <v>525</v>
      </c>
    </row>
    <row r="158" spans="1:7" x14ac:dyDescent="0.3">
      <c r="A158">
        <v>0</v>
      </c>
      <c r="B158" t="s">
        <v>312</v>
      </c>
      <c r="C158" t="s">
        <v>400</v>
      </c>
      <c r="D158" t="s">
        <v>2</v>
      </c>
      <c r="E158" t="s">
        <v>400</v>
      </c>
      <c r="F158" t="s">
        <v>13</v>
      </c>
      <c r="G158" t="s">
        <v>525</v>
      </c>
    </row>
    <row r="159" spans="1:7" x14ac:dyDescent="0.3">
      <c r="A159">
        <v>0</v>
      </c>
      <c r="B159" t="s">
        <v>312</v>
      </c>
      <c r="C159" t="s">
        <v>380</v>
      </c>
      <c r="D159" t="s">
        <v>2</v>
      </c>
      <c r="E159" t="s">
        <v>380</v>
      </c>
      <c r="F159" t="s">
        <v>13</v>
      </c>
      <c r="G159" t="s">
        <v>525</v>
      </c>
    </row>
    <row r="160" spans="1:7" x14ac:dyDescent="0.3">
      <c r="A160">
        <v>0</v>
      </c>
      <c r="B160" t="s">
        <v>312</v>
      </c>
      <c r="C160" t="s">
        <v>442</v>
      </c>
      <c r="D160" t="s">
        <v>2</v>
      </c>
      <c r="E160" t="s">
        <v>442</v>
      </c>
      <c r="F160" t="s">
        <v>13</v>
      </c>
      <c r="G160" t="s">
        <v>525</v>
      </c>
    </row>
    <row r="161" spans="1:7" x14ac:dyDescent="0.3">
      <c r="A161">
        <v>0</v>
      </c>
      <c r="B161" t="s">
        <v>314</v>
      </c>
      <c r="C161" t="s">
        <v>349</v>
      </c>
      <c r="D161" t="s">
        <v>2</v>
      </c>
      <c r="E161" t="s">
        <v>349</v>
      </c>
      <c r="F161" t="s">
        <v>13</v>
      </c>
      <c r="G161" t="s">
        <v>525</v>
      </c>
    </row>
    <row r="162" spans="1:7" x14ac:dyDescent="0.3">
      <c r="A162">
        <v>0</v>
      </c>
      <c r="B162" t="s">
        <v>57</v>
      </c>
      <c r="C162" t="s">
        <v>470</v>
      </c>
      <c r="D162" t="s">
        <v>2</v>
      </c>
      <c r="E162" t="s">
        <v>470</v>
      </c>
      <c r="F162" t="s">
        <v>13</v>
      </c>
      <c r="G162" t="s">
        <v>525</v>
      </c>
    </row>
    <row r="163" spans="1:7" x14ac:dyDescent="0.3">
      <c r="A163">
        <v>0</v>
      </c>
      <c r="B163" t="s">
        <v>319</v>
      </c>
      <c r="C163" t="s">
        <v>463</v>
      </c>
      <c r="D163" t="s">
        <v>2</v>
      </c>
      <c r="E163" t="s">
        <v>463</v>
      </c>
      <c r="F163" t="s">
        <v>13</v>
      </c>
      <c r="G163" t="s">
        <v>525</v>
      </c>
    </row>
    <row r="164" spans="1:7" x14ac:dyDescent="0.3">
      <c r="A164">
        <v>0</v>
      </c>
      <c r="B164" t="s">
        <v>314</v>
      </c>
      <c r="C164" t="s">
        <v>343</v>
      </c>
      <c r="D164" t="s">
        <v>2</v>
      </c>
      <c r="E164" t="s">
        <v>343</v>
      </c>
      <c r="F164" t="s">
        <v>13</v>
      </c>
      <c r="G164" t="s">
        <v>525</v>
      </c>
    </row>
    <row r="165" spans="1:7" x14ac:dyDescent="0.3">
      <c r="A165">
        <v>0</v>
      </c>
      <c r="B165" t="s">
        <v>312</v>
      </c>
      <c r="C165" t="s">
        <v>371</v>
      </c>
      <c r="D165" t="s">
        <v>2</v>
      </c>
      <c r="E165" t="s">
        <v>371</v>
      </c>
      <c r="F165" t="s">
        <v>13</v>
      </c>
      <c r="G165" t="s">
        <v>525</v>
      </c>
    </row>
    <row r="166" spans="1:7" x14ac:dyDescent="0.3">
      <c r="A166">
        <v>0</v>
      </c>
      <c r="B166" t="s">
        <v>312</v>
      </c>
      <c r="C166" t="s">
        <v>366</v>
      </c>
      <c r="D166" t="s">
        <v>2</v>
      </c>
      <c r="E166" t="s">
        <v>366</v>
      </c>
      <c r="F166" t="s">
        <v>13</v>
      </c>
      <c r="G166" t="s">
        <v>525</v>
      </c>
    </row>
    <row r="167" spans="1:7" x14ac:dyDescent="0.3">
      <c r="A167">
        <v>0</v>
      </c>
      <c r="B167" t="s">
        <v>312</v>
      </c>
      <c r="C167" t="s">
        <v>384</v>
      </c>
      <c r="D167" t="s">
        <v>2</v>
      </c>
      <c r="E167" t="s">
        <v>384</v>
      </c>
      <c r="F167" t="s">
        <v>13</v>
      </c>
      <c r="G167" t="s">
        <v>525</v>
      </c>
    </row>
    <row r="168" spans="1:7" x14ac:dyDescent="0.3">
      <c r="A168">
        <v>0</v>
      </c>
      <c r="B168" t="s">
        <v>319</v>
      </c>
      <c r="C168" t="s">
        <v>464</v>
      </c>
      <c r="D168" t="s">
        <v>2</v>
      </c>
      <c r="E168" t="s">
        <v>464</v>
      </c>
      <c r="F168" t="s">
        <v>13</v>
      </c>
      <c r="G168" t="s">
        <v>525</v>
      </c>
    </row>
    <row r="169" spans="1:7" x14ac:dyDescent="0.3">
      <c r="A169">
        <v>0</v>
      </c>
      <c r="B169" t="s">
        <v>312</v>
      </c>
      <c r="C169" t="s">
        <v>323</v>
      </c>
      <c r="D169" t="s">
        <v>2</v>
      </c>
      <c r="E169" t="s">
        <v>323</v>
      </c>
      <c r="F169" t="s">
        <v>13</v>
      </c>
      <c r="G169" t="s">
        <v>525</v>
      </c>
    </row>
    <row r="170" spans="1:7" x14ac:dyDescent="0.3">
      <c r="A170">
        <v>0</v>
      </c>
      <c r="B170" t="s">
        <v>314</v>
      </c>
      <c r="C170" t="s">
        <v>414</v>
      </c>
      <c r="D170" t="s">
        <v>2</v>
      </c>
      <c r="E170" t="s">
        <v>414</v>
      </c>
      <c r="F170" t="s">
        <v>13</v>
      </c>
      <c r="G170" t="s">
        <v>525</v>
      </c>
    </row>
    <row r="171" spans="1:7" x14ac:dyDescent="0.3">
      <c r="A171">
        <v>0</v>
      </c>
      <c r="B171" t="s">
        <v>312</v>
      </c>
      <c r="C171" t="s">
        <v>261</v>
      </c>
      <c r="D171" t="s">
        <v>2</v>
      </c>
      <c r="E171" t="s">
        <v>261</v>
      </c>
      <c r="F171" t="s">
        <v>13</v>
      </c>
      <c r="G171" t="s">
        <v>525</v>
      </c>
    </row>
    <row r="172" spans="1:7" x14ac:dyDescent="0.3">
      <c r="A172">
        <v>0</v>
      </c>
      <c r="B172" t="s">
        <v>319</v>
      </c>
      <c r="C172" t="s">
        <v>364</v>
      </c>
      <c r="D172" t="s">
        <v>2</v>
      </c>
      <c r="E172" t="s">
        <v>364</v>
      </c>
      <c r="F172" t="s">
        <v>13</v>
      </c>
      <c r="G172" t="s">
        <v>525</v>
      </c>
    </row>
    <row r="173" spans="1:7" x14ac:dyDescent="0.3">
      <c r="A173">
        <v>0</v>
      </c>
      <c r="B173" t="s">
        <v>312</v>
      </c>
      <c r="C173" t="s">
        <v>373</v>
      </c>
      <c r="D173" t="s">
        <v>2</v>
      </c>
      <c r="E173" t="s">
        <v>373</v>
      </c>
      <c r="F173" t="s">
        <v>13</v>
      </c>
      <c r="G173" t="s">
        <v>525</v>
      </c>
    </row>
    <row r="174" spans="1:7" x14ac:dyDescent="0.3">
      <c r="A174">
        <v>0</v>
      </c>
      <c r="B174" t="s">
        <v>312</v>
      </c>
      <c r="C174" t="s">
        <v>482</v>
      </c>
      <c r="D174" t="s">
        <v>2</v>
      </c>
      <c r="E174" t="s">
        <v>482</v>
      </c>
      <c r="F174" t="s">
        <v>13</v>
      </c>
      <c r="G174" t="s">
        <v>525</v>
      </c>
    </row>
    <row r="175" spans="1:7" x14ac:dyDescent="0.3">
      <c r="A175">
        <v>0</v>
      </c>
      <c r="B175" t="s">
        <v>312</v>
      </c>
      <c r="C175" t="s">
        <v>412</v>
      </c>
      <c r="D175" t="s">
        <v>2</v>
      </c>
      <c r="E175" t="s">
        <v>412</v>
      </c>
      <c r="F175" t="s">
        <v>13</v>
      </c>
      <c r="G175" t="s">
        <v>525</v>
      </c>
    </row>
    <row r="176" spans="1:7" x14ac:dyDescent="0.3">
      <c r="A176">
        <v>0</v>
      </c>
      <c r="B176" t="s">
        <v>312</v>
      </c>
      <c r="C176" t="s">
        <v>434</v>
      </c>
      <c r="D176" t="s">
        <v>2</v>
      </c>
      <c r="E176" t="s">
        <v>434</v>
      </c>
      <c r="F176" t="s">
        <v>13</v>
      </c>
      <c r="G176" t="s">
        <v>525</v>
      </c>
    </row>
    <row r="177" spans="1:7" x14ac:dyDescent="0.3">
      <c r="A177">
        <v>0</v>
      </c>
      <c r="B177" t="s">
        <v>314</v>
      </c>
      <c r="C177" t="s">
        <v>443</v>
      </c>
      <c r="D177" t="s">
        <v>2</v>
      </c>
      <c r="E177" t="s">
        <v>443</v>
      </c>
      <c r="F177" t="s">
        <v>13</v>
      </c>
      <c r="G177" t="s">
        <v>525</v>
      </c>
    </row>
    <row r="178" spans="1:7" x14ac:dyDescent="0.3">
      <c r="A178">
        <v>0</v>
      </c>
      <c r="B178" t="s">
        <v>319</v>
      </c>
      <c r="C178" t="s">
        <v>430</v>
      </c>
      <c r="D178" t="s">
        <v>2</v>
      </c>
      <c r="E178" t="s">
        <v>430</v>
      </c>
      <c r="F178" t="s">
        <v>13</v>
      </c>
      <c r="G178" t="s">
        <v>525</v>
      </c>
    </row>
    <row r="179" spans="1:7" x14ac:dyDescent="0.3">
      <c r="A179">
        <v>0</v>
      </c>
      <c r="B179" t="s">
        <v>314</v>
      </c>
      <c r="C179" t="s">
        <v>408</v>
      </c>
      <c r="D179" t="s">
        <v>2</v>
      </c>
      <c r="E179" t="s">
        <v>408</v>
      </c>
      <c r="F179" t="s">
        <v>13</v>
      </c>
      <c r="G179" t="s">
        <v>525</v>
      </c>
    </row>
    <row r="180" spans="1:7" x14ac:dyDescent="0.3">
      <c r="A180">
        <v>0</v>
      </c>
      <c r="B180" t="s">
        <v>312</v>
      </c>
      <c r="C180" t="s">
        <v>138</v>
      </c>
      <c r="D180" t="s">
        <v>2</v>
      </c>
      <c r="E180" t="s">
        <v>138</v>
      </c>
      <c r="F180" t="s">
        <v>13</v>
      </c>
      <c r="G180" t="s">
        <v>525</v>
      </c>
    </row>
    <row r="181" spans="1:7" x14ac:dyDescent="0.3">
      <c r="A181">
        <v>0</v>
      </c>
      <c r="B181" t="s">
        <v>312</v>
      </c>
      <c r="C181" t="s">
        <v>275</v>
      </c>
      <c r="D181" t="s">
        <v>2</v>
      </c>
      <c r="E181" t="s">
        <v>275</v>
      </c>
      <c r="F181" t="s">
        <v>13</v>
      </c>
      <c r="G181" t="s">
        <v>525</v>
      </c>
    </row>
    <row r="182" spans="1:7" x14ac:dyDescent="0.3">
      <c r="A182">
        <v>0</v>
      </c>
      <c r="B182" t="s">
        <v>312</v>
      </c>
      <c r="C182" t="s">
        <v>337</v>
      </c>
      <c r="D182" t="s">
        <v>2</v>
      </c>
      <c r="E182" t="s">
        <v>337</v>
      </c>
      <c r="F182" t="s">
        <v>13</v>
      </c>
      <c r="G182" t="s">
        <v>525</v>
      </c>
    </row>
    <row r="183" spans="1:7" x14ac:dyDescent="0.3">
      <c r="A183">
        <v>0</v>
      </c>
      <c r="B183" t="s">
        <v>312</v>
      </c>
      <c r="C183" t="s">
        <v>331</v>
      </c>
      <c r="D183" t="s">
        <v>2</v>
      </c>
      <c r="E183" t="s">
        <v>331</v>
      </c>
      <c r="F183" t="s">
        <v>13</v>
      </c>
      <c r="G183" t="s">
        <v>525</v>
      </c>
    </row>
    <row r="184" spans="1:7" x14ac:dyDescent="0.3">
      <c r="A184">
        <v>0</v>
      </c>
      <c r="B184" t="s">
        <v>312</v>
      </c>
      <c r="C184" t="s">
        <v>452</v>
      </c>
      <c r="D184" t="s">
        <v>2</v>
      </c>
      <c r="E184" t="s">
        <v>452</v>
      </c>
      <c r="F184" t="s">
        <v>13</v>
      </c>
      <c r="G184" t="s">
        <v>525</v>
      </c>
    </row>
    <row r="185" spans="1:7" x14ac:dyDescent="0.3">
      <c r="A185">
        <v>0</v>
      </c>
      <c r="B185" t="s">
        <v>319</v>
      </c>
      <c r="C185" t="s">
        <v>477</v>
      </c>
      <c r="D185" t="s">
        <v>2</v>
      </c>
      <c r="E185" t="s">
        <v>477</v>
      </c>
      <c r="F185" t="s">
        <v>13</v>
      </c>
      <c r="G185" t="s">
        <v>525</v>
      </c>
    </row>
    <row r="186" spans="1:7" x14ac:dyDescent="0.3">
      <c r="A186">
        <v>0</v>
      </c>
      <c r="B186" t="s">
        <v>312</v>
      </c>
      <c r="C186" t="s">
        <v>446</v>
      </c>
      <c r="D186" t="s">
        <v>2</v>
      </c>
      <c r="E186" t="s">
        <v>446</v>
      </c>
      <c r="F186" t="s">
        <v>13</v>
      </c>
      <c r="G186" t="s">
        <v>525</v>
      </c>
    </row>
    <row r="187" spans="1:7" x14ac:dyDescent="0.3">
      <c r="A187">
        <v>0</v>
      </c>
      <c r="B187" t="s">
        <v>319</v>
      </c>
      <c r="C187" t="s">
        <v>491</v>
      </c>
      <c r="D187" t="s">
        <v>2</v>
      </c>
      <c r="E187" t="s">
        <v>491</v>
      </c>
      <c r="F187" t="s">
        <v>13</v>
      </c>
      <c r="G187" t="s">
        <v>525</v>
      </c>
    </row>
    <row r="188" spans="1:7" x14ac:dyDescent="0.3">
      <c r="A188">
        <v>0</v>
      </c>
      <c r="B188" t="s">
        <v>312</v>
      </c>
      <c r="C188" t="s">
        <v>326</v>
      </c>
      <c r="D188" t="s">
        <v>2</v>
      </c>
      <c r="E188" t="s">
        <v>326</v>
      </c>
      <c r="F188" t="s">
        <v>13</v>
      </c>
      <c r="G188" t="s">
        <v>525</v>
      </c>
    </row>
    <row r="189" spans="1:7" x14ac:dyDescent="0.3">
      <c r="A189">
        <v>0</v>
      </c>
      <c r="B189" t="s">
        <v>319</v>
      </c>
      <c r="C189" t="s">
        <v>415</v>
      </c>
      <c r="D189" t="s">
        <v>2</v>
      </c>
      <c r="E189" t="s">
        <v>415</v>
      </c>
      <c r="F189" t="s">
        <v>13</v>
      </c>
      <c r="G189" t="s">
        <v>525</v>
      </c>
    </row>
    <row r="190" spans="1:7" x14ac:dyDescent="0.3">
      <c r="A190">
        <v>0</v>
      </c>
      <c r="B190" t="s">
        <v>314</v>
      </c>
      <c r="C190" t="s">
        <v>451</v>
      </c>
      <c r="D190" t="s">
        <v>2</v>
      </c>
      <c r="E190" t="s">
        <v>451</v>
      </c>
      <c r="F190" t="s">
        <v>13</v>
      </c>
      <c r="G190" t="s">
        <v>525</v>
      </c>
    </row>
    <row r="191" spans="1:7" x14ac:dyDescent="0.3">
      <c r="A191">
        <v>0</v>
      </c>
      <c r="B191" t="s">
        <v>314</v>
      </c>
      <c r="C191" t="s">
        <v>448</v>
      </c>
      <c r="D191" t="s">
        <v>2</v>
      </c>
      <c r="E191" t="s">
        <v>448</v>
      </c>
      <c r="F191" t="s">
        <v>13</v>
      </c>
      <c r="G191" t="s">
        <v>525</v>
      </c>
    </row>
    <row r="192" spans="1:7" x14ac:dyDescent="0.3">
      <c r="A192">
        <v>0</v>
      </c>
      <c r="B192" t="s">
        <v>312</v>
      </c>
      <c r="C192" t="s">
        <v>423</v>
      </c>
      <c r="D192" t="s">
        <v>2</v>
      </c>
      <c r="E192" t="s">
        <v>423</v>
      </c>
      <c r="F192" t="s">
        <v>13</v>
      </c>
      <c r="G192" t="s">
        <v>525</v>
      </c>
    </row>
    <row r="193" spans="1:7" x14ac:dyDescent="0.3">
      <c r="A193">
        <v>0</v>
      </c>
      <c r="B193" t="s">
        <v>319</v>
      </c>
      <c r="C193" t="s">
        <v>361</v>
      </c>
      <c r="D193" t="s">
        <v>2</v>
      </c>
      <c r="E193" t="s">
        <v>361</v>
      </c>
      <c r="F193" t="s">
        <v>13</v>
      </c>
      <c r="G193" t="s">
        <v>525</v>
      </c>
    </row>
    <row r="194" spans="1:7" x14ac:dyDescent="0.3">
      <c r="A194">
        <v>0</v>
      </c>
      <c r="B194" t="s">
        <v>314</v>
      </c>
      <c r="C194" t="s">
        <v>467</v>
      </c>
      <c r="D194" t="s">
        <v>2</v>
      </c>
      <c r="E194" t="s">
        <v>467</v>
      </c>
      <c r="F194" t="s">
        <v>13</v>
      </c>
      <c r="G194" t="s">
        <v>525</v>
      </c>
    </row>
    <row r="195" spans="1:7" x14ac:dyDescent="0.3">
      <c r="A195">
        <v>0</v>
      </c>
      <c r="B195" t="s">
        <v>319</v>
      </c>
      <c r="C195" t="s">
        <v>420</v>
      </c>
      <c r="D195" t="s">
        <v>2</v>
      </c>
      <c r="E195" t="s">
        <v>420</v>
      </c>
      <c r="F195" t="s">
        <v>13</v>
      </c>
      <c r="G195" t="s">
        <v>525</v>
      </c>
    </row>
    <row r="196" spans="1:7" x14ac:dyDescent="0.3">
      <c r="A196">
        <v>0</v>
      </c>
      <c r="B196" t="s">
        <v>314</v>
      </c>
      <c r="C196" t="s">
        <v>487</v>
      </c>
      <c r="D196" t="s">
        <v>2</v>
      </c>
      <c r="E196" t="s">
        <v>487</v>
      </c>
      <c r="F196" t="s">
        <v>13</v>
      </c>
      <c r="G196" t="s">
        <v>525</v>
      </c>
    </row>
    <row r="197" spans="1:7" x14ac:dyDescent="0.3">
      <c r="A197">
        <v>0</v>
      </c>
      <c r="B197" t="s">
        <v>312</v>
      </c>
      <c r="C197" t="s">
        <v>149</v>
      </c>
      <c r="D197" t="s">
        <v>2</v>
      </c>
      <c r="E197" t="s">
        <v>149</v>
      </c>
      <c r="F197" t="s">
        <v>13</v>
      </c>
      <c r="G197" t="s">
        <v>525</v>
      </c>
    </row>
    <row r="198" spans="1:7" x14ac:dyDescent="0.3">
      <c r="A198">
        <v>0</v>
      </c>
      <c r="B198" t="s">
        <v>314</v>
      </c>
      <c r="C198" t="s">
        <v>377</v>
      </c>
      <c r="D198" t="s">
        <v>2</v>
      </c>
      <c r="E198" t="s">
        <v>377</v>
      </c>
      <c r="F198" t="s">
        <v>13</v>
      </c>
      <c r="G198" t="s">
        <v>525</v>
      </c>
    </row>
    <row r="199" spans="1:7" x14ac:dyDescent="0.3">
      <c r="A199">
        <v>0</v>
      </c>
      <c r="B199" t="s">
        <v>312</v>
      </c>
      <c r="C199" t="s">
        <v>403</v>
      </c>
      <c r="D199" t="s">
        <v>2</v>
      </c>
      <c r="E199" t="s">
        <v>403</v>
      </c>
      <c r="F199" t="s">
        <v>13</v>
      </c>
      <c r="G199" t="s">
        <v>525</v>
      </c>
    </row>
    <row r="200" spans="1:7" x14ac:dyDescent="0.3">
      <c r="A200">
        <v>0</v>
      </c>
      <c r="B200" t="s">
        <v>312</v>
      </c>
      <c r="C200" t="s">
        <v>387</v>
      </c>
      <c r="D200" t="s">
        <v>2</v>
      </c>
      <c r="E200" t="s">
        <v>387</v>
      </c>
      <c r="F200" t="s">
        <v>13</v>
      </c>
      <c r="G200" t="s">
        <v>525</v>
      </c>
    </row>
    <row r="201" spans="1:7" x14ac:dyDescent="0.3">
      <c r="A201">
        <v>0</v>
      </c>
      <c r="B201" t="s">
        <v>312</v>
      </c>
      <c r="C201" t="s">
        <v>431</v>
      </c>
      <c r="D201" t="s">
        <v>2</v>
      </c>
      <c r="E201" t="s">
        <v>431</v>
      </c>
      <c r="F201" t="s">
        <v>13</v>
      </c>
      <c r="G201" t="s">
        <v>525</v>
      </c>
    </row>
    <row r="202" spans="1:7" x14ac:dyDescent="0.3">
      <c r="A202">
        <v>0</v>
      </c>
      <c r="B202" t="s">
        <v>319</v>
      </c>
      <c r="C202" t="s">
        <v>459</v>
      </c>
      <c r="D202" t="s">
        <v>2</v>
      </c>
      <c r="E202" t="s">
        <v>459</v>
      </c>
      <c r="F202" t="s">
        <v>13</v>
      </c>
      <c r="G202" t="s">
        <v>525</v>
      </c>
    </row>
    <row r="203" spans="1:7" x14ac:dyDescent="0.3">
      <c r="A203">
        <v>0</v>
      </c>
      <c r="B203" t="s">
        <v>314</v>
      </c>
      <c r="C203" t="s">
        <v>376</v>
      </c>
      <c r="D203" t="s">
        <v>2</v>
      </c>
      <c r="E203" t="s">
        <v>376</v>
      </c>
      <c r="F203" t="s">
        <v>13</v>
      </c>
      <c r="G203" t="s">
        <v>525</v>
      </c>
    </row>
    <row r="204" spans="1:7" x14ac:dyDescent="0.3">
      <c r="A204">
        <v>0</v>
      </c>
      <c r="B204" t="s">
        <v>312</v>
      </c>
      <c r="C204" t="s">
        <v>379</v>
      </c>
      <c r="D204" t="s">
        <v>2</v>
      </c>
      <c r="E204" t="s">
        <v>379</v>
      </c>
      <c r="F204" t="s">
        <v>13</v>
      </c>
      <c r="G204" t="s">
        <v>525</v>
      </c>
    </row>
    <row r="205" spans="1:7" x14ac:dyDescent="0.3">
      <c r="A205">
        <v>0</v>
      </c>
      <c r="B205" t="s">
        <v>314</v>
      </c>
      <c r="C205" t="s">
        <v>445</v>
      </c>
      <c r="D205" t="s">
        <v>2</v>
      </c>
      <c r="E205" t="s">
        <v>445</v>
      </c>
      <c r="F205" t="s">
        <v>13</v>
      </c>
      <c r="G205" t="s">
        <v>525</v>
      </c>
    </row>
    <row r="206" spans="1:7" x14ac:dyDescent="0.3">
      <c r="A206">
        <v>0</v>
      </c>
      <c r="B206" t="s">
        <v>319</v>
      </c>
      <c r="C206" t="s">
        <v>460</v>
      </c>
      <c r="D206" t="s">
        <v>2</v>
      </c>
      <c r="E206" t="s">
        <v>460</v>
      </c>
      <c r="F206" t="s">
        <v>13</v>
      </c>
      <c r="G206" t="s">
        <v>525</v>
      </c>
    </row>
    <row r="207" spans="1:7" x14ac:dyDescent="0.3">
      <c r="A207">
        <v>0</v>
      </c>
      <c r="B207" t="s">
        <v>314</v>
      </c>
      <c r="C207" t="s">
        <v>450</v>
      </c>
      <c r="D207" t="s">
        <v>2</v>
      </c>
      <c r="E207" t="s">
        <v>450</v>
      </c>
      <c r="F207" t="s">
        <v>13</v>
      </c>
      <c r="G207" t="s">
        <v>525</v>
      </c>
    </row>
    <row r="208" spans="1:7" x14ac:dyDescent="0.3">
      <c r="A208">
        <v>0</v>
      </c>
      <c r="B208" t="s">
        <v>312</v>
      </c>
      <c r="C208" t="s">
        <v>473</v>
      </c>
      <c r="D208" t="s">
        <v>2</v>
      </c>
      <c r="E208" t="s">
        <v>473</v>
      </c>
      <c r="F208" t="s">
        <v>13</v>
      </c>
      <c r="G208" t="s">
        <v>525</v>
      </c>
    </row>
    <row r="209" spans="1:7" x14ac:dyDescent="0.3">
      <c r="A209">
        <v>0</v>
      </c>
      <c r="B209" t="s">
        <v>314</v>
      </c>
      <c r="C209" t="s">
        <v>313</v>
      </c>
      <c r="D209" t="s">
        <v>2</v>
      </c>
      <c r="E209" t="s">
        <v>313</v>
      </c>
      <c r="F209" t="s">
        <v>13</v>
      </c>
      <c r="G209" t="s">
        <v>525</v>
      </c>
    </row>
    <row r="210" spans="1:7" x14ac:dyDescent="0.3">
      <c r="A210">
        <v>0</v>
      </c>
      <c r="B210" t="s">
        <v>312</v>
      </c>
      <c r="C210" t="s">
        <v>472</v>
      </c>
      <c r="D210" t="s">
        <v>2</v>
      </c>
      <c r="E210" t="s">
        <v>472</v>
      </c>
      <c r="F210" t="s">
        <v>13</v>
      </c>
      <c r="G210" t="s">
        <v>525</v>
      </c>
    </row>
    <row r="211" spans="1:7" x14ac:dyDescent="0.3">
      <c r="A211">
        <v>0</v>
      </c>
      <c r="B211" t="s">
        <v>312</v>
      </c>
      <c r="C211" t="s">
        <v>402</v>
      </c>
      <c r="D211" t="s">
        <v>2</v>
      </c>
      <c r="E211" t="s">
        <v>402</v>
      </c>
      <c r="F211" t="s">
        <v>13</v>
      </c>
      <c r="G211" t="s">
        <v>525</v>
      </c>
    </row>
    <row r="212" spans="1:7" x14ac:dyDescent="0.3">
      <c r="A212">
        <v>0</v>
      </c>
      <c r="B212" t="s">
        <v>314</v>
      </c>
      <c r="C212" t="s">
        <v>455</v>
      </c>
      <c r="D212" t="s">
        <v>2</v>
      </c>
      <c r="E212" t="s">
        <v>455</v>
      </c>
      <c r="F212" t="s">
        <v>13</v>
      </c>
      <c r="G212" t="s">
        <v>525</v>
      </c>
    </row>
    <row r="213" spans="1:7" x14ac:dyDescent="0.3">
      <c r="A213">
        <v>0</v>
      </c>
      <c r="B213" t="s">
        <v>312</v>
      </c>
      <c r="C213" t="s">
        <v>411</v>
      </c>
      <c r="D213" t="s">
        <v>2</v>
      </c>
      <c r="E213" t="s">
        <v>411</v>
      </c>
      <c r="F213" t="s">
        <v>13</v>
      </c>
      <c r="G213" t="s">
        <v>525</v>
      </c>
    </row>
    <row r="214" spans="1:7" x14ac:dyDescent="0.3">
      <c r="A214">
        <v>0</v>
      </c>
      <c r="B214" t="s">
        <v>312</v>
      </c>
      <c r="C214" t="s">
        <v>488</v>
      </c>
      <c r="D214" t="s">
        <v>2</v>
      </c>
      <c r="E214" t="s">
        <v>488</v>
      </c>
      <c r="F214" t="s">
        <v>13</v>
      </c>
      <c r="G214" t="s">
        <v>525</v>
      </c>
    </row>
    <row r="215" spans="1:7" x14ac:dyDescent="0.3">
      <c r="A215">
        <v>0</v>
      </c>
      <c r="B215" t="s">
        <v>319</v>
      </c>
      <c r="C215" t="s">
        <v>462</v>
      </c>
      <c r="D215" t="s">
        <v>2</v>
      </c>
      <c r="E215" t="s">
        <v>462</v>
      </c>
      <c r="F215" t="s">
        <v>13</v>
      </c>
      <c r="G215" t="s">
        <v>525</v>
      </c>
    </row>
    <row r="216" spans="1:7" x14ac:dyDescent="0.3">
      <c r="A216">
        <v>0</v>
      </c>
      <c r="B216" t="s">
        <v>312</v>
      </c>
      <c r="C216" t="s">
        <v>246</v>
      </c>
      <c r="D216" t="s">
        <v>2</v>
      </c>
      <c r="E216" t="s">
        <v>246</v>
      </c>
      <c r="F216" t="s">
        <v>13</v>
      </c>
      <c r="G216" t="s">
        <v>525</v>
      </c>
    </row>
    <row r="217" spans="1:7" x14ac:dyDescent="0.3">
      <c r="A217">
        <v>0</v>
      </c>
      <c r="B217" t="s">
        <v>312</v>
      </c>
      <c r="C217" t="s">
        <v>357</v>
      </c>
      <c r="D217" t="s">
        <v>2</v>
      </c>
      <c r="E217" t="s">
        <v>357</v>
      </c>
      <c r="F217" t="s">
        <v>13</v>
      </c>
      <c r="G217" t="s">
        <v>525</v>
      </c>
    </row>
    <row r="218" spans="1:7" x14ac:dyDescent="0.3">
      <c r="A218">
        <v>0</v>
      </c>
      <c r="B218" t="s">
        <v>314</v>
      </c>
      <c r="C218" t="s">
        <v>341</v>
      </c>
      <c r="D218" t="s">
        <v>2</v>
      </c>
      <c r="E218" t="s">
        <v>341</v>
      </c>
      <c r="F218" t="s">
        <v>13</v>
      </c>
      <c r="G218" t="s">
        <v>525</v>
      </c>
    </row>
    <row r="219" spans="1:7" x14ac:dyDescent="0.3">
      <c r="A219">
        <v>0</v>
      </c>
      <c r="B219" t="s">
        <v>319</v>
      </c>
      <c r="C219" t="s">
        <v>466</v>
      </c>
      <c r="D219" t="s">
        <v>2</v>
      </c>
      <c r="E219" t="s">
        <v>466</v>
      </c>
      <c r="F219" t="s">
        <v>13</v>
      </c>
      <c r="G219" t="s">
        <v>525</v>
      </c>
    </row>
    <row r="220" spans="1:7" x14ac:dyDescent="0.3">
      <c r="A220">
        <v>0</v>
      </c>
      <c r="B220" t="s">
        <v>319</v>
      </c>
      <c r="C220" t="s">
        <v>362</v>
      </c>
      <c r="D220" t="s">
        <v>2</v>
      </c>
      <c r="E220" t="s">
        <v>362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433</v>
      </c>
      <c r="D221" t="s">
        <v>2</v>
      </c>
      <c r="E221" t="s">
        <v>433</v>
      </c>
      <c r="F221" t="s">
        <v>13</v>
      </c>
      <c r="G221" t="s">
        <v>525</v>
      </c>
    </row>
    <row r="222" spans="1:7" x14ac:dyDescent="0.3">
      <c r="A222">
        <v>0</v>
      </c>
      <c r="B222" t="s">
        <v>312</v>
      </c>
      <c r="C222" t="s">
        <v>397</v>
      </c>
      <c r="D222" t="s">
        <v>2</v>
      </c>
      <c r="E222" t="s">
        <v>397</v>
      </c>
      <c r="F222" t="s">
        <v>13</v>
      </c>
      <c r="G222" t="s">
        <v>525</v>
      </c>
    </row>
    <row r="223" spans="1:7" x14ac:dyDescent="0.3">
      <c r="A223">
        <v>0</v>
      </c>
      <c r="B223" t="s">
        <v>319</v>
      </c>
      <c r="C223" t="s">
        <v>378</v>
      </c>
      <c r="D223" t="s">
        <v>2</v>
      </c>
      <c r="E223" t="s">
        <v>378</v>
      </c>
      <c r="F223" t="s">
        <v>13</v>
      </c>
      <c r="G223" t="s">
        <v>525</v>
      </c>
    </row>
    <row r="224" spans="1:7" x14ac:dyDescent="0.3">
      <c r="A224">
        <v>0</v>
      </c>
      <c r="B224" t="s">
        <v>105</v>
      </c>
      <c r="C224" t="s">
        <v>117</v>
      </c>
      <c r="D224" t="s">
        <v>2</v>
      </c>
      <c r="E224" t="s">
        <v>117</v>
      </c>
      <c r="F224" t="s">
        <v>13</v>
      </c>
      <c r="G224" t="s">
        <v>525</v>
      </c>
    </row>
    <row r="225" spans="1:7" x14ac:dyDescent="0.3">
      <c r="A225">
        <v>0</v>
      </c>
      <c r="B225" t="s">
        <v>312</v>
      </c>
      <c r="C225" t="s">
        <v>476</v>
      </c>
      <c r="D225" t="s">
        <v>2</v>
      </c>
      <c r="E225" t="s">
        <v>476</v>
      </c>
      <c r="F225" t="s">
        <v>13</v>
      </c>
      <c r="G225" t="s">
        <v>525</v>
      </c>
    </row>
    <row r="226" spans="1:7" x14ac:dyDescent="0.3">
      <c r="A226">
        <v>0</v>
      </c>
      <c r="B226" t="s">
        <v>319</v>
      </c>
      <c r="C226" t="s">
        <v>478</v>
      </c>
      <c r="D226" t="s">
        <v>2</v>
      </c>
      <c r="E226" t="s">
        <v>478</v>
      </c>
      <c r="F226" t="s">
        <v>13</v>
      </c>
      <c r="G226" t="s">
        <v>525</v>
      </c>
    </row>
    <row r="227" spans="1:7" x14ac:dyDescent="0.3">
      <c r="A227">
        <v>0</v>
      </c>
      <c r="B227" t="s">
        <v>312</v>
      </c>
      <c r="C227" t="s">
        <v>367</v>
      </c>
      <c r="D227" t="s">
        <v>2</v>
      </c>
      <c r="E227" t="s">
        <v>367</v>
      </c>
      <c r="F227" t="s">
        <v>13</v>
      </c>
      <c r="G227" t="s">
        <v>525</v>
      </c>
    </row>
    <row r="228" spans="1:7" x14ac:dyDescent="0.3">
      <c r="A228">
        <v>0</v>
      </c>
      <c r="B228" t="s">
        <v>312</v>
      </c>
      <c r="C228" t="s">
        <v>346</v>
      </c>
      <c r="D228" t="s">
        <v>2</v>
      </c>
      <c r="E228" t="s">
        <v>346</v>
      </c>
      <c r="F228" t="s">
        <v>13</v>
      </c>
      <c r="G228" t="s">
        <v>525</v>
      </c>
    </row>
    <row r="229" spans="1:7" x14ac:dyDescent="0.3">
      <c r="A229">
        <v>0</v>
      </c>
      <c r="B229" t="s">
        <v>105</v>
      </c>
      <c r="C229" t="s">
        <v>119</v>
      </c>
      <c r="D229" t="s">
        <v>2</v>
      </c>
      <c r="E229" t="s">
        <v>119</v>
      </c>
      <c r="F229" t="s">
        <v>13</v>
      </c>
      <c r="G229" t="s">
        <v>525</v>
      </c>
    </row>
    <row r="230" spans="1:7" x14ac:dyDescent="0.3">
      <c r="A230">
        <v>0</v>
      </c>
      <c r="B230" t="s">
        <v>312</v>
      </c>
      <c r="C230" t="s">
        <v>385</v>
      </c>
      <c r="D230" t="s">
        <v>2</v>
      </c>
      <c r="E230" t="s">
        <v>385</v>
      </c>
      <c r="F230" t="s">
        <v>13</v>
      </c>
      <c r="G230" t="s">
        <v>525</v>
      </c>
    </row>
    <row r="231" spans="1:7" x14ac:dyDescent="0.3">
      <c r="A231">
        <v>0</v>
      </c>
      <c r="B231" t="s">
        <v>57</v>
      </c>
      <c r="C231" t="s">
        <v>120</v>
      </c>
      <c r="D231" t="s">
        <v>2</v>
      </c>
      <c r="E231" t="s">
        <v>120</v>
      </c>
      <c r="F231" t="s">
        <v>13</v>
      </c>
      <c r="G231" t="s">
        <v>525</v>
      </c>
    </row>
    <row r="232" spans="1:7" x14ac:dyDescent="0.3">
      <c r="A232">
        <v>0</v>
      </c>
      <c r="B232" t="s">
        <v>312</v>
      </c>
      <c r="C232" t="s">
        <v>324</v>
      </c>
      <c r="D232" t="s">
        <v>2</v>
      </c>
      <c r="E232" t="s">
        <v>324</v>
      </c>
      <c r="F232" t="s">
        <v>13</v>
      </c>
      <c r="G232" t="s">
        <v>525</v>
      </c>
    </row>
    <row r="233" spans="1:7" x14ac:dyDescent="0.3">
      <c r="A233">
        <v>0</v>
      </c>
      <c r="B233" t="s">
        <v>312</v>
      </c>
      <c r="C233" t="s">
        <v>327</v>
      </c>
      <c r="D233" t="s">
        <v>2</v>
      </c>
      <c r="E233" t="s">
        <v>327</v>
      </c>
      <c r="F233" t="s">
        <v>13</v>
      </c>
      <c r="G233" t="s">
        <v>525</v>
      </c>
    </row>
    <row r="234" spans="1:7" x14ac:dyDescent="0.3">
      <c r="A234">
        <v>0</v>
      </c>
      <c r="B234" t="s">
        <v>314</v>
      </c>
      <c r="C234" t="s">
        <v>441</v>
      </c>
      <c r="D234" t="s">
        <v>2</v>
      </c>
      <c r="E234" t="s">
        <v>441</v>
      </c>
      <c r="F234" t="s">
        <v>13</v>
      </c>
      <c r="G234" t="s">
        <v>525</v>
      </c>
    </row>
    <row r="235" spans="1:7" x14ac:dyDescent="0.3">
      <c r="A235">
        <v>0</v>
      </c>
      <c r="B235" t="s">
        <v>105</v>
      </c>
      <c r="C235" t="s">
        <v>115</v>
      </c>
      <c r="D235" t="s">
        <v>2</v>
      </c>
      <c r="E235" t="s">
        <v>115</v>
      </c>
      <c r="F235" t="s">
        <v>13</v>
      </c>
      <c r="G235" t="s">
        <v>525</v>
      </c>
    </row>
    <row r="236" spans="1:7" x14ac:dyDescent="0.3">
      <c r="A236">
        <v>0</v>
      </c>
      <c r="B236" t="s">
        <v>312</v>
      </c>
      <c r="C236" t="s">
        <v>484</v>
      </c>
      <c r="D236" t="s">
        <v>2</v>
      </c>
      <c r="E236" t="s">
        <v>484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311</v>
      </c>
      <c r="D237" t="s">
        <v>2</v>
      </c>
      <c r="E237" t="s">
        <v>311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365</v>
      </c>
      <c r="D238" t="s">
        <v>2</v>
      </c>
      <c r="E238" t="s">
        <v>365</v>
      </c>
      <c r="F238" t="s">
        <v>13</v>
      </c>
      <c r="G238" t="s">
        <v>525</v>
      </c>
    </row>
    <row r="239" spans="1:7" x14ac:dyDescent="0.3">
      <c r="A239">
        <v>0</v>
      </c>
      <c r="B239" t="s">
        <v>314</v>
      </c>
      <c r="C239" t="s">
        <v>350</v>
      </c>
      <c r="D239" t="s">
        <v>2</v>
      </c>
      <c r="E239" t="s">
        <v>350</v>
      </c>
      <c r="F239" t="s">
        <v>13</v>
      </c>
      <c r="G239" t="s">
        <v>525</v>
      </c>
    </row>
    <row r="240" spans="1:7" x14ac:dyDescent="0.3">
      <c r="A240">
        <v>0</v>
      </c>
      <c r="B240" t="s">
        <v>105</v>
      </c>
      <c r="C240" t="s">
        <v>123</v>
      </c>
      <c r="D240" t="s">
        <v>2</v>
      </c>
      <c r="E240" t="s">
        <v>123</v>
      </c>
      <c r="F240" t="s">
        <v>13</v>
      </c>
      <c r="G240" t="s">
        <v>525</v>
      </c>
    </row>
    <row r="241" spans="1:7" x14ac:dyDescent="0.3">
      <c r="A241">
        <v>0</v>
      </c>
      <c r="B241" t="s">
        <v>312</v>
      </c>
      <c r="C241" t="s">
        <v>396</v>
      </c>
      <c r="D241" t="s">
        <v>2</v>
      </c>
      <c r="E241" t="s">
        <v>396</v>
      </c>
      <c r="F241" t="s">
        <v>13</v>
      </c>
      <c r="G241" t="s">
        <v>525</v>
      </c>
    </row>
    <row r="242" spans="1:7" x14ac:dyDescent="0.3">
      <c r="A242">
        <v>0</v>
      </c>
      <c r="B242" t="s">
        <v>312</v>
      </c>
      <c r="C242" t="s">
        <v>428</v>
      </c>
      <c r="D242" t="s">
        <v>2</v>
      </c>
      <c r="E242" t="s">
        <v>428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383</v>
      </c>
      <c r="D243" t="s">
        <v>2</v>
      </c>
      <c r="E243" t="s">
        <v>383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426</v>
      </c>
      <c r="D244" t="s">
        <v>2</v>
      </c>
      <c r="E244" t="s">
        <v>426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t="s">
        <v>437</v>
      </c>
      <c r="D245" t="s">
        <v>2</v>
      </c>
      <c r="E245" t="s">
        <v>437</v>
      </c>
      <c r="F245" t="s">
        <v>13</v>
      </c>
      <c r="G245" t="s">
        <v>525</v>
      </c>
    </row>
    <row r="246" spans="1:7" x14ac:dyDescent="0.3">
      <c r="A246">
        <v>0</v>
      </c>
      <c r="B246" t="s">
        <v>312</v>
      </c>
      <c r="C246" t="s">
        <v>454</v>
      </c>
      <c r="D246" t="s">
        <v>2</v>
      </c>
      <c r="E246" t="s">
        <v>454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425</v>
      </c>
      <c r="D247" t="s">
        <v>2</v>
      </c>
      <c r="E247" t="s">
        <v>425</v>
      </c>
      <c r="F247" t="s">
        <v>13</v>
      </c>
      <c r="G247" t="s">
        <v>525</v>
      </c>
    </row>
    <row r="248" spans="1:7" x14ac:dyDescent="0.3">
      <c r="A248">
        <v>0</v>
      </c>
      <c r="B248" t="s">
        <v>312</v>
      </c>
      <c r="C248" t="s">
        <v>344</v>
      </c>
      <c r="D248" t="s">
        <v>2</v>
      </c>
      <c r="E248" t="s">
        <v>344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407</v>
      </c>
      <c r="D249" t="s">
        <v>2</v>
      </c>
      <c r="E249" t="s">
        <v>407</v>
      </c>
      <c r="F249" t="s">
        <v>13</v>
      </c>
      <c r="G249" t="s">
        <v>525</v>
      </c>
    </row>
    <row r="250" spans="1:7" x14ac:dyDescent="0.3">
      <c r="A250">
        <v>0</v>
      </c>
      <c r="B250" t="s">
        <v>314</v>
      </c>
      <c r="C250" t="s">
        <v>413</v>
      </c>
      <c r="D250" t="s">
        <v>2</v>
      </c>
      <c r="E250" t="s">
        <v>413</v>
      </c>
      <c r="F250" t="s">
        <v>13</v>
      </c>
      <c r="G250" t="s">
        <v>525</v>
      </c>
    </row>
    <row r="251" spans="1:7" x14ac:dyDescent="0.3">
      <c r="A251">
        <v>0</v>
      </c>
      <c r="B251" t="s">
        <v>312</v>
      </c>
      <c r="C251" t="s">
        <v>392</v>
      </c>
      <c r="D251" t="s">
        <v>2</v>
      </c>
      <c r="E251" t="s">
        <v>392</v>
      </c>
      <c r="F251" t="s">
        <v>13</v>
      </c>
      <c r="G251" t="s">
        <v>525</v>
      </c>
    </row>
    <row r="252" spans="1:7" x14ac:dyDescent="0.3">
      <c r="A252">
        <v>0</v>
      </c>
      <c r="B252" t="s">
        <v>319</v>
      </c>
      <c r="C252" t="s">
        <v>422</v>
      </c>
      <c r="D252" t="s">
        <v>2</v>
      </c>
      <c r="E252" t="s">
        <v>422</v>
      </c>
      <c r="F252" t="s">
        <v>13</v>
      </c>
      <c r="G252" t="s">
        <v>525</v>
      </c>
    </row>
    <row r="253" spans="1:7" x14ac:dyDescent="0.3">
      <c r="A253">
        <v>0</v>
      </c>
      <c r="B253" t="s">
        <v>314</v>
      </c>
      <c r="C253" t="s">
        <v>495</v>
      </c>
      <c r="D253" t="s">
        <v>494</v>
      </c>
      <c r="E253" t="s">
        <v>495</v>
      </c>
      <c r="F253" t="s">
        <v>13</v>
      </c>
      <c r="G253" t="s">
        <v>525</v>
      </c>
    </row>
    <row r="254" spans="1:7" x14ac:dyDescent="0.3">
      <c r="A254">
        <v>0</v>
      </c>
      <c r="B254" t="s">
        <v>314</v>
      </c>
      <c r="C254" t="s">
        <v>497</v>
      </c>
      <c r="D254" t="s">
        <v>494</v>
      </c>
      <c r="E254" t="s">
        <v>497</v>
      </c>
      <c r="F254" t="s">
        <v>13</v>
      </c>
      <c r="G254" t="s">
        <v>525</v>
      </c>
    </row>
    <row r="255" spans="1:7" x14ac:dyDescent="0.3">
      <c r="A255">
        <v>0</v>
      </c>
      <c r="B255" t="s">
        <v>314</v>
      </c>
      <c r="C255" t="s">
        <v>496</v>
      </c>
      <c r="D255" t="s">
        <v>494</v>
      </c>
      <c r="E255" t="s">
        <v>496</v>
      </c>
      <c r="F255" t="s">
        <v>13</v>
      </c>
      <c r="G255" t="s">
        <v>525</v>
      </c>
    </row>
    <row r="256" spans="1:7" x14ac:dyDescent="0.3">
      <c r="A256">
        <v>0</v>
      </c>
      <c r="B256" t="s">
        <v>312</v>
      </c>
      <c r="C256" t="s">
        <v>513</v>
      </c>
      <c r="D256" t="s">
        <v>498</v>
      </c>
      <c r="E256" t="s">
        <v>513</v>
      </c>
      <c r="F256" t="s">
        <v>13</v>
      </c>
      <c r="G256" t="s">
        <v>525</v>
      </c>
    </row>
    <row r="257" spans="1:7" x14ac:dyDescent="0.3">
      <c r="A257">
        <v>0</v>
      </c>
      <c r="B257" t="s">
        <v>312</v>
      </c>
      <c r="C257" t="s">
        <v>515</v>
      </c>
      <c r="D257" t="s">
        <v>498</v>
      </c>
      <c r="E257" t="s">
        <v>515</v>
      </c>
      <c r="F257" t="s">
        <v>13</v>
      </c>
      <c r="G257" t="s">
        <v>525</v>
      </c>
    </row>
    <row r="258" spans="1:7" x14ac:dyDescent="0.3">
      <c r="A258">
        <v>0</v>
      </c>
      <c r="B258" t="s">
        <v>312</v>
      </c>
      <c r="C258" t="s">
        <v>509</v>
      </c>
      <c r="D258" t="s">
        <v>498</v>
      </c>
      <c r="E258" t="s">
        <v>509</v>
      </c>
      <c r="F258" t="s">
        <v>13</v>
      </c>
      <c r="G258" t="s">
        <v>525</v>
      </c>
    </row>
    <row r="259" spans="1:7" x14ac:dyDescent="0.3">
      <c r="A259">
        <v>0</v>
      </c>
      <c r="B259" t="s">
        <v>312</v>
      </c>
      <c r="C259" t="s">
        <v>502</v>
      </c>
      <c r="D259" t="s">
        <v>498</v>
      </c>
      <c r="E259" t="s">
        <v>502</v>
      </c>
      <c r="F259" t="s">
        <v>13</v>
      </c>
      <c r="G259" t="s">
        <v>525</v>
      </c>
    </row>
    <row r="260" spans="1:7" x14ac:dyDescent="0.3">
      <c r="A260">
        <v>0</v>
      </c>
      <c r="B260" t="s">
        <v>312</v>
      </c>
      <c r="C260" t="s">
        <v>500</v>
      </c>
      <c r="D260" t="s">
        <v>498</v>
      </c>
      <c r="E260" t="s">
        <v>500</v>
      </c>
      <c r="F260" t="s">
        <v>13</v>
      </c>
      <c r="G260" t="s">
        <v>525</v>
      </c>
    </row>
    <row r="261" spans="1:7" x14ac:dyDescent="0.3">
      <c r="A261">
        <v>0</v>
      </c>
      <c r="B261" t="s">
        <v>507</v>
      </c>
      <c r="C261" t="s">
        <v>506</v>
      </c>
      <c r="D261" t="s">
        <v>498</v>
      </c>
      <c r="E261" t="s">
        <v>506</v>
      </c>
      <c r="F261" t="s">
        <v>13</v>
      </c>
      <c r="G261" t="s">
        <v>525</v>
      </c>
    </row>
    <row r="262" spans="1:7" x14ac:dyDescent="0.3">
      <c r="A262">
        <v>0</v>
      </c>
      <c r="B262" t="s">
        <v>312</v>
      </c>
      <c r="C262" t="s">
        <v>514</v>
      </c>
      <c r="D262" t="s">
        <v>498</v>
      </c>
      <c r="E262" t="s">
        <v>514</v>
      </c>
      <c r="F262" t="s">
        <v>13</v>
      </c>
      <c r="G262" t="s">
        <v>525</v>
      </c>
    </row>
    <row r="263" spans="1:7" x14ac:dyDescent="0.3">
      <c r="A263">
        <v>0</v>
      </c>
      <c r="B263" t="s">
        <v>312</v>
      </c>
      <c r="C263" t="s">
        <v>499</v>
      </c>
      <c r="D263" t="s">
        <v>498</v>
      </c>
      <c r="E263" t="s">
        <v>499</v>
      </c>
      <c r="F263" t="s">
        <v>13</v>
      </c>
      <c r="G263" t="s">
        <v>525</v>
      </c>
    </row>
    <row r="264" spans="1:7" x14ac:dyDescent="0.3">
      <c r="A264">
        <v>0</v>
      </c>
      <c r="B264" t="s">
        <v>312</v>
      </c>
      <c r="C264" t="s">
        <v>508</v>
      </c>
      <c r="D264" t="s">
        <v>498</v>
      </c>
      <c r="E264" t="s">
        <v>508</v>
      </c>
      <c r="F264" t="s">
        <v>13</v>
      </c>
      <c r="G264" t="s">
        <v>525</v>
      </c>
    </row>
    <row r="265" spans="1:7" x14ac:dyDescent="0.3">
      <c r="A265">
        <v>0</v>
      </c>
      <c r="B265" t="s">
        <v>312</v>
      </c>
      <c r="C265" t="s">
        <v>519</v>
      </c>
      <c r="D265" t="s">
        <v>498</v>
      </c>
      <c r="E265" t="s">
        <v>519</v>
      </c>
      <c r="F265" t="s">
        <v>13</v>
      </c>
      <c r="G265" t="s">
        <v>525</v>
      </c>
    </row>
    <row r="266" spans="1:7" x14ac:dyDescent="0.3">
      <c r="A266">
        <v>0</v>
      </c>
      <c r="B266" t="s">
        <v>312</v>
      </c>
      <c r="C266" t="s">
        <v>510</v>
      </c>
      <c r="D266" t="s">
        <v>498</v>
      </c>
      <c r="E266" t="s">
        <v>510</v>
      </c>
      <c r="F266" t="s">
        <v>13</v>
      </c>
      <c r="G266" t="s">
        <v>525</v>
      </c>
    </row>
    <row r="267" spans="1:7" x14ac:dyDescent="0.3">
      <c r="A267">
        <v>0</v>
      </c>
      <c r="B267" t="s">
        <v>312</v>
      </c>
      <c r="C267" t="s">
        <v>521</v>
      </c>
      <c r="D267" t="s">
        <v>498</v>
      </c>
      <c r="E267" t="s">
        <v>521</v>
      </c>
      <c r="F267" t="s">
        <v>13</v>
      </c>
      <c r="G267" t="s">
        <v>525</v>
      </c>
    </row>
    <row r="268" spans="1:7" x14ac:dyDescent="0.3">
      <c r="A268">
        <v>0</v>
      </c>
      <c r="B268" t="s">
        <v>312</v>
      </c>
      <c r="C268" t="s">
        <v>501</v>
      </c>
      <c r="D268" t="s">
        <v>498</v>
      </c>
      <c r="E268" t="s">
        <v>501</v>
      </c>
      <c r="F268" t="s">
        <v>13</v>
      </c>
      <c r="G268" t="s">
        <v>525</v>
      </c>
    </row>
    <row r="269" spans="1:7" x14ac:dyDescent="0.3">
      <c r="A269">
        <v>0</v>
      </c>
      <c r="B269" t="s">
        <v>312</v>
      </c>
      <c r="C269" t="s">
        <v>504</v>
      </c>
      <c r="D269" t="s">
        <v>498</v>
      </c>
      <c r="E269" t="s">
        <v>504</v>
      </c>
      <c r="F269" t="s">
        <v>13</v>
      </c>
      <c r="G269" t="s">
        <v>525</v>
      </c>
    </row>
    <row r="270" spans="1:7" x14ac:dyDescent="0.3">
      <c r="A270">
        <v>0</v>
      </c>
      <c r="B270" t="s">
        <v>312</v>
      </c>
      <c r="C270" t="s">
        <v>520</v>
      </c>
      <c r="D270" t="s">
        <v>498</v>
      </c>
      <c r="E270" t="s">
        <v>520</v>
      </c>
      <c r="F270" t="s">
        <v>13</v>
      </c>
      <c r="G270" t="s">
        <v>525</v>
      </c>
    </row>
    <row r="271" spans="1:7" x14ac:dyDescent="0.3">
      <c r="A271">
        <v>0</v>
      </c>
      <c r="B271" t="s">
        <v>312</v>
      </c>
      <c r="C271" t="s">
        <v>523</v>
      </c>
      <c r="D271" t="s">
        <v>498</v>
      </c>
      <c r="E271" t="s">
        <v>523</v>
      </c>
      <c r="F271" t="s">
        <v>13</v>
      </c>
      <c r="G271" t="s">
        <v>525</v>
      </c>
    </row>
    <row r="272" spans="1:7" x14ac:dyDescent="0.3">
      <c r="A272">
        <v>0</v>
      </c>
      <c r="B272" t="s">
        <v>312</v>
      </c>
      <c r="C272" t="s">
        <v>503</v>
      </c>
      <c r="D272" t="s">
        <v>498</v>
      </c>
      <c r="E272" t="s">
        <v>503</v>
      </c>
      <c r="F272" t="s">
        <v>13</v>
      </c>
      <c r="G272" t="s">
        <v>525</v>
      </c>
    </row>
    <row r="273" spans="1:7" x14ac:dyDescent="0.3">
      <c r="A273">
        <v>0</v>
      </c>
      <c r="B273" t="s">
        <v>312</v>
      </c>
      <c r="C273" t="s">
        <v>512</v>
      </c>
      <c r="D273" t="s">
        <v>498</v>
      </c>
      <c r="E273" t="s">
        <v>512</v>
      </c>
      <c r="F273" t="s">
        <v>13</v>
      </c>
      <c r="G273" t="s">
        <v>525</v>
      </c>
    </row>
    <row r="274" spans="1:7" x14ac:dyDescent="0.3">
      <c r="A274">
        <v>0</v>
      </c>
      <c r="B274" t="s">
        <v>312</v>
      </c>
      <c r="C274" t="s">
        <v>505</v>
      </c>
      <c r="D274" t="s">
        <v>498</v>
      </c>
      <c r="E274" t="s">
        <v>505</v>
      </c>
      <c r="F274" t="s">
        <v>13</v>
      </c>
      <c r="G274" t="s">
        <v>525</v>
      </c>
    </row>
    <row r="275" spans="1:7" x14ac:dyDescent="0.3">
      <c r="A275">
        <v>0</v>
      </c>
      <c r="B275" t="s">
        <v>312</v>
      </c>
      <c r="C275" t="s">
        <v>518</v>
      </c>
      <c r="D275" t="s">
        <v>498</v>
      </c>
      <c r="E275" t="s">
        <v>518</v>
      </c>
      <c r="F275" t="s">
        <v>13</v>
      </c>
      <c r="G275" t="s">
        <v>525</v>
      </c>
    </row>
    <row r="276" spans="1:7" x14ac:dyDescent="0.3">
      <c r="A276">
        <v>0</v>
      </c>
      <c r="B276" t="s">
        <v>312</v>
      </c>
      <c r="C276" t="s">
        <v>522</v>
      </c>
      <c r="D276" t="s">
        <v>498</v>
      </c>
      <c r="E276" t="s">
        <v>522</v>
      </c>
      <c r="F276" t="s">
        <v>13</v>
      </c>
      <c r="G276" t="s">
        <v>525</v>
      </c>
    </row>
    <row r="277" spans="1:7" x14ac:dyDescent="0.3">
      <c r="A277">
        <v>0</v>
      </c>
      <c r="B277" t="s">
        <v>312</v>
      </c>
      <c r="C277" t="s">
        <v>516</v>
      </c>
      <c r="D277" t="s">
        <v>498</v>
      </c>
      <c r="E277" t="s">
        <v>516</v>
      </c>
      <c r="F277" t="s">
        <v>13</v>
      </c>
      <c r="G277" t="s">
        <v>525</v>
      </c>
    </row>
    <row r="278" spans="1:7" x14ac:dyDescent="0.3">
      <c r="A278">
        <v>0</v>
      </c>
      <c r="B278" t="s">
        <v>312</v>
      </c>
      <c r="C278" t="s">
        <v>517</v>
      </c>
      <c r="D278" t="s">
        <v>498</v>
      </c>
      <c r="E278" t="s">
        <v>517</v>
      </c>
      <c r="F278" t="s">
        <v>13</v>
      </c>
      <c r="G278" t="s">
        <v>525</v>
      </c>
    </row>
    <row r="279" spans="1:7" x14ac:dyDescent="0.3">
      <c r="A279">
        <v>0</v>
      </c>
      <c r="B279" t="s">
        <v>16</v>
      </c>
      <c r="C279" s="2" t="s">
        <v>22</v>
      </c>
      <c r="D279" t="s">
        <v>2</v>
      </c>
      <c r="E279" s="2" t="s">
        <v>22</v>
      </c>
      <c r="F279" t="s">
        <v>13</v>
      </c>
      <c r="G279" t="s">
        <v>525</v>
      </c>
    </row>
    <row r="280" spans="1:7" x14ac:dyDescent="0.3">
      <c r="A280">
        <v>0</v>
      </c>
      <c r="B280" t="s">
        <v>16</v>
      </c>
      <c r="C280" s="2" t="s">
        <v>49</v>
      </c>
      <c r="D280" t="s">
        <v>2</v>
      </c>
      <c r="E280" s="2" t="s">
        <v>49</v>
      </c>
      <c r="F280" t="s">
        <v>13</v>
      </c>
      <c r="G280" t="s">
        <v>525</v>
      </c>
    </row>
    <row r="281" spans="1:7" x14ac:dyDescent="0.3">
      <c r="A281">
        <v>0</v>
      </c>
      <c r="B281" t="s">
        <v>312</v>
      </c>
      <c r="C281" s="2" t="s">
        <v>55</v>
      </c>
      <c r="D281" t="s">
        <v>2</v>
      </c>
      <c r="E281" s="2" t="s">
        <v>55</v>
      </c>
      <c r="F281" t="s">
        <v>13</v>
      </c>
      <c r="G281" t="s">
        <v>525</v>
      </c>
    </row>
    <row r="282" spans="1:7" x14ac:dyDescent="0.3">
      <c r="A282">
        <v>0</v>
      </c>
      <c r="B282" t="s">
        <v>312</v>
      </c>
      <c r="C282" t="s">
        <v>59</v>
      </c>
      <c r="D282" t="s">
        <v>2</v>
      </c>
      <c r="E282" t="s">
        <v>59</v>
      </c>
      <c r="F282" t="s">
        <v>13</v>
      </c>
      <c r="G282" t="s">
        <v>525</v>
      </c>
    </row>
    <row r="283" spans="1:7" x14ac:dyDescent="0.3">
      <c r="A283">
        <v>0</v>
      </c>
      <c r="B283" t="s">
        <v>16</v>
      </c>
      <c r="C283" s="2" t="s">
        <v>61</v>
      </c>
      <c r="D283" t="s">
        <v>2</v>
      </c>
      <c r="E283" s="2" t="s">
        <v>61</v>
      </c>
      <c r="F283" t="s">
        <v>13</v>
      </c>
      <c r="G283" t="s">
        <v>525</v>
      </c>
    </row>
    <row r="284" spans="1:7" x14ac:dyDescent="0.3">
      <c r="A284">
        <v>0</v>
      </c>
      <c r="B284" t="s">
        <v>312</v>
      </c>
      <c r="C284" s="2" t="s">
        <v>67</v>
      </c>
      <c r="D284" t="s">
        <v>2</v>
      </c>
      <c r="E284" s="2" t="s">
        <v>67</v>
      </c>
      <c r="F284" t="s">
        <v>13</v>
      </c>
      <c r="G284" t="s">
        <v>525</v>
      </c>
    </row>
    <row r="285" spans="1:7" x14ac:dyDescent="0.3">
      <c r="A285">
        <v>0</v>
      </c>
      <c r="B285" t="s">
        <v>312</v>
      </c>
      <c r="C285" t="s">
        <v>73</v>
      </c>
      <c r="D285" t="s">
        <v>2</v>
      </c>
      <c r="E285" t="s">
        <v>73</v>
      </c>
      <c r="F285" t="s">
        <v>13</v>
      </c>
      <c r="G285" t="s">
        <v>525</v>
      </c>
    </row>
    <row r="286" spans="1:7" x14ac:dyDescent="0.3">
      <c r="A286">
        <v>0</v>
      </c>
      <c r="B286" t="s">
        <v>312</v>
      </c>
      <c r="C286" t="s">
        <v>79</v>
      </c>
      <c r="D286" t="s">
        <v>2</v>
      </c>
      <c r="E286" t="s">
        <v>79</v>
      </c>
      <c r="F286" t="s">
        <v>13</v>
      </c>
      <c r="G286" t="s">
        <v>525</v>
      </c>
    </row>
    <row r="287" spans="1:7" x14ac:dyDescent="0.3">
      <c r="A287">
        <v>0</v>
      </c>
      <c r="B287" t="s">
        <v>312</v>
      </c>
      <c r="C287" t="s">
        <v>82</v>
      </c>
      <c r="D287" t="s">
        <v>2</v>
      </c>
      <c r="E287" t="s">
        <v>82</v>
      </c>
      <c r="F287" t="s">
        <v>13</v>
      </c>
      <c r="G287" t="s">
        <v>525</v>
      </c>
    </row>
    <row r="288" spans="1:7" x14ac:dyDescent="0.3">
      <c r="A288">
        <v>0</v>
      </c>
      <c r="B288" t="s">
        <v>312</v>
      </c>
      <c r="C288" t="s">
        <v>85</v>
      </c>
      <c r="D288" t="s">
        <v>2</v>
      </c>
      <c r="E288" t="s">
        <v>85</v>
      </c>
      <c r="F288" t="s">
        <v>13</v>
      </c>
      <c r="G288" t="s">
        <v>525</v>
      </c>
    </row>
    <row r="289" spans="1:7" x14ac:dyDescent="0.3">
      <c r="A289">
        <v>0</v>
      </c>
      <c r="B289" t="s">
        <v>312</v>
      </c>
      <c r="C289" t="s">
        <v>88</v>
      </c>
      <c r="D289" t="s">
        <v>2</v>
      </c>
      <c r="E289" t="s">
        <v>88</v>
      </c>
      <c r="F289" t="s">
        <v>13</v>
      </c>
      <c r="G289" t="s">
        <v>525</v>
      </c>
    </row>
    <row r="290" spans="1:7" x14ac:dyDescent="0.3">
      <c r="A290">
        <v>0</v>
      </c>
      <c r="B290" t="s">
        <v>312</v>
      </c>
      <c r="C290" t="s">
        <v>91</v>
      </c>
      <c r="D290" t="s">
        <v>2</v>
      </c>
      <c r="E290" t="s">
        <v>91</v>
      </c>
      <c r="F290" t="s">
        <v>13</v>
      </c>
      <c r="G290" t="s">
        <v>525</v>
      </c>
    </row>
    <row r="291" spans="1:7" x14ac:dyDescent="0.3">
      <c r="A291">
        <v>0</v>
      </c>
      <c r="B291" t="s">
        <v>312</v>
      </c>
      <c r="C291" t="s">
        <v>94</v>
      </c>
      <c r="D291" t="s">
        <v>2</v>
      </c>
      <c r="E291" t="s">
        <v>94</v>
      </c>
      <c r="F291" t="s">
        <v>13</v>
      </c>
      <c r="G291" t="s">
        <v>525</v>
      </c>
    </row>
    <row r="292" spans="1:7" x14ac:dyDescent="0.3">
      <c r="A292">
        <v>0</v>
      </c>
      <c r="B292" t="s">
        <v>312</v>
      </c>
      <c r="C292" t="s">
        <v>97</v>
      </c>
      <c r="D292" t="s">
        <v>2</v>
      </c>
      <c r="E292" t="s">
        <v>97</v>
      </c>
      <c r="F292" t="s">
        <v>13</v>
      </c>
      <c r="G292" t="s">
        <v>525</v>
      </c>
    </row>
    <row r="293" spans="1:7" x14ac:dyDescent="0.3">
      <c r="A293">
        <v>0</v>
      </c>
      <c r="B293" t="s">
        <v>312</v>
      </c>
      <c r="C293" t="s">
        <v>100</v>
      </c>
      <c r="D293" t="s">
        <v>2</v>
      </c>
      <c r="E293" t="s">
        <v>100</v>
      </c>
      <c r="F293" t="s">
        <v>13</v>
      </c>
      <c r="G293" t="s">
        <v>525</v>
      </c>
    </row>
  </sheetData>
  <pageMargins left="0.75" right="0.75" top="1" bottom="1" header="0.5" footer="0.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93"/>
  <sheetViews>
    <sheetView topLeftCell="A35" workbookViewId="0">
      <selection activeCell="E48" sqref="E48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1.03</v>
      </c>
      <c r="B2" t="s">
        <v>16</v>
      </c>
      <c r="C2" t="s">
        <v>659</v>
      </c>
      <c r="D2" t="s">
        <v>2</v>
      </c>
      <c r="E2" t="s">
        <v>61</v>
      </c>
      <c r="F2" s="4" t="s">
        <v>13</v>
      </c>
      <c r="G2" t="s">
        <v>525</v>
      </c>
      <c r="H2" t="s">
        <v>626</v>
      </c>
    </row>
    <row r="3" spans="1:9" x14ac:dyDescent="0.3">
      <c r="A3">
        <v>3.3730158730158736E-3</v>
      </c>
      <c r="B3" t="s">
        <v>57</v>
      </c>
      <c r="C3" t="s">
        <v>660</v>
      </c>
      <c r="D3" t="s">
        <v>2</v>
      </c>
      <c r="E3" s="2" t="s">
        <v>55</v>
      </c>
      <c r="F3" s="4" t="s">
        <v>13</v>
      </c>
      <c r="G3" t="s">
        <v>525</v>
      </c>
      <c r="H3" t="s">
        <v>626</v>
      </c>
    </row>
    <row r="4" spans="1:9" x14ac:dyDescent="0.3">
      <c r="A4">
        <v>1.1111111111111111E-3</v>
      </c>
      <c r="B4" t="s">
        <v>57</v>
      </c>
      <c r="C4" t="s">
        <v>661</v>
      </c>
      <c r="D4" t="s">
        <v>2</v>
      </c>
      <c r="E4" s="2" t="s">
        <v>55</v>
      </c>
      <c r="F4" s="4" t="s">
        <v>13</v>
      </c>
      <c r="G4" t="s">
        <v>525</v>
      </c>
      <c r="H4" t="s">
        <v>626</v>
      </c>
    </row>
    <row r="5" spans="1:9" x14ac:dyDescent="0.3">
      <c r="A5">
        <v>5.541365096733708E-2</v>
      </c>
      <c r="B5" t="s">
        <v>57</v>
      </c>
      <c r="C5" t="s">
        <v>662</v>
      </c>
      <c r="D5" t="s">
        <v>2</v>
      </c>
      <c r="E5" s="2" t="s">
        <v>55</v>
      </c>
      <c r="F5" s="4" t="s">
        <v>13</v>
      </c>
      <c r="G5" t="s">
        <v>525</v>
      </c>
      <c r="H5" t="s">
        <v>626</v>
      </c>
    </row>
    <row r="6" spans="1:9" x14ac:dyDescent="0.3">
      <c r="A6">
        <v>2.1901709401709404E-2</v>
      </c>
      <c r="B6" t="s">
        <v>57</v>
      </c>
      <c r="C6" t="s">
        <v>663</v>
      </c>
      <c r="D6" t="s">
        <v>2</v>
      </c>
      <c r="E6" s="2" t="s">
        <v>246</v>
      </c>
      <c r="F6" t="s">
        <v>13</v>
      </c>
      <c r="G6" t="s">
        <v>525</v>
      </c>
      <c r="H6" t="s">
        <v>626</v>
      </c>
    </row>
    <row r="7" spans="1:9" x14ac:dyDescent="0.3">
      <c r="A7">
        <v>1.3313609467455622E-2</v>
      </c>
      <c r="B7" t="s">
        <v>57</v>
      </c>
      <c r="C7" t="s">
        <v>664</v>
      </c>
      <c r="D7" t="s">
        <v>2</v>
      </c>
      <c r="E7" t="s">
        <v>149</v>
      </c>
      <c r="F7" t="s">
        <v>13</v>
      </c>
      <c r="G7" t="s">
        <v>525</v>
      </c>
      <c r="H7" t="s">
        <v>626</v>
      </c>
    </row>
    <row r="8" spans="1:9" x14ac:dyDescent="0.3">
      <c r="A8">
        <v>0.17710387902695593</v>
      </c>
      <c r="B8" t="s">
        <v>57</v>
      </c>
      <c r="C8" t="s">
        <v>643</v>
      </c>
      <c r="D8" t="s">
        <v>2</v>
      </c>
      <c r="E8" t="s">
        <v>149</v>
      </c>
      <c r="F8" t="s">
        <v>13</v>
      </c>
      <c r="G8" t="s">
        <v>525</v>
      </c>
      <c r="H8" t="s">
        <v>626</v>
      </c>
    </row>
    <row r="9" spans="1:9" x14ac:dyDescent="0.3">
      <c r="A9">
        <v>6.2869822485207101E-4</v>
      </c>
      <c r="B9" t="s">
        <v>57</v>
      </c>
      <c r="C9" t="s">
        <v>665</v>
      </c>
      <c r="D9" t="s">
        <v>2</v>
      </c>
      <c r="E9" t="s">
        <v>149</v>
      </c>
      <c r="F9" t="s">
        <v>13</v>
      </c>
      <c r="G9" t="s">
        <v>525</v>
      </c>
      <c r="H9" t="s">
        <v>626</v>
      </c>
    </row>
    <row r="10" spans="1:9" x14ac:dyDescent="0.3">
      <c r="A10">
        <v>6.4513477975016429E-4</v>
      </c>
      <c r="B10" t="s">
        <v>57</v>
      </c>
      <c r="C10" t="s">
        <v>641</v>
      </c>
      <c r="D10" t="s">
        <v>2</v>
      </c>
      <c r="E10" t="s">
        <v>85</v>
      </c>
      <c r="F10" s="4" t="s">
        <v>13</v>
      </c>
      <c r="G10" t="s">
        <v>525</v>
      </c>
      <c r="H10" t="s">
        <v>626</v>
      </c>
    </row>
    <row r="11" spans="1:9" x14ac:dyDescent="0.3">
      <c r="A11">
        <v>0.604043392504931</v>
      </c>
      <c r="B11" t="s">
        <v>57</v>
      </c>
      <c r="C11" t="s">
        <v>666</v>
      </c>
      <c r="D11" t="s">
        <v>2</v>
      </c>
      <c r="E11" t="s">
        <v>149</v>
      </c>
      <c r="F11" t="s">
        <v>13</v>
      </c>
      <c r="G11" t="s">
        <v>525</v>
      </c>
      <c r="H11" t="s">
        <v>626</v>
      </c>
    </row>
    <row r="12" spans="1:9" x14ac:dyDescent="0.3">
      <c r="A12">
        <v>1.5080539119000657E-2</v>
      </c>
      <c r="B12" t="s">
        <v>57</v>
      </c>
      <c r="C12" t="s">
        <v>667</v>
      </c>
      <c r="D12" t="s">
        <v>2</v>
      </c>
      <c r="E12" s="2" t="s">
        <v>332</v>
      </c>
      <c r="F12" t="s">
        <v>13</v>
      </c>
      <c r="G12" t="s">
        <v>525</v>
      </c>
      <c r="H12" t="s">
        <v>626</v>
      </c>
    </row>
    <row r="13" spans="1:9" x14ac:dyDescent="0.3">
      <c r="A13">
        <v>3.1188362919132145E-5</v>
      </c>
      <c r="B13" t="s">
        <v>57</v>
      </c>
      <c r="C13" t="s">
        <v>668</v>
      </c>
      <c r="D13" t="s">
        <v>2</v>
      </c>
      <c r="E13" t="s">
        <v>149</v>
      </c>
      <c r="F13" t="s">
        <v>13</v>
      </c>
      <c r="G13" t="s">
        <v>525</v>
      </c>
      <c r="H13" t="s">
        <v>626</v>
      </c>
    </row>
    <row r="14" spans="1:9" x14ac:dyDescent="0.3">
      <c r="A14">
        <v>1.1505588428665352</v>
      </c>
      <c r="B14" t="s">
        <v>57</v>
      </c>
      <c r="C14" t="s">
        <v>669</v>
      </c>
      <c r="D14" t="s">
        <v>2</v>
      </c>
      <c r="E14" t="s">
        <v>149</v>
      </c>
      <c r="F14" t="s">
        <v>13</v>
      </c>
      <c r="G14" t="s">
        <v>525</v>
      </c>
      <c r="H14" t="s">
        <v>626</v>
      </c>
    </row>
    <row r="15" spans="1:9" x14ac:dyDescent="0.3">
      <c r="A15">
        <v>2.9092702169625246E-3</v>
      </c>
      <c r="B15" t="s">
        <v>57</v>
      </c>
      <c r="C15" t="s">
        <v>670</v>
      </c>
      <c r="D15" t="s">
        <v>2</v>
      </c>
      <c r="E15" t="s">
        <v>59</v>
      </c>
      <c r="F15" s="4" t="s">
        <v>13</v>
      </c>
      <c r="G15" t="s">
        <v>525</v>
      </c>
      <c r="H15" t="s">
        <v>626</v>
      </c>
    </row>
    <row r="16" spans="1:9" x14ac:dyDescent="0.3">
      <c r="A16">
        <f>170.940170940171*2.31803430690774E-09</f>
        <v>3.9624518066798988E-7</v>
      </c>
      <c r="B16" t="s">
        <v>314</v>
      </c>
      <c r="C16" t="s">
        <v>640</v>
      </c>
      <c r="D16" t="s">
        <v>2</v>
      </c>
      <c r="E16" s="2" t="s">
        <v>341</v>
      </c>
      <c r="F16" t="s">
        <v>13</v>
      </c>
      <c r="G16" t="s">
        <v>525</v>
      </c>
      <c r="H16" t="s">
        <v>626</v>
      </c>
    </row>
    <row r="17" spans="1:8" x14ac:dyDescent="0.3">
      <c r="A17">
        <v>17.746571249998329</v>
      </c>
      <c r="B17" t="s">
        <v>542</v>
      </c>
      <c r="C17" t="s">
        <v>648</v>
      </c>
      <c r="D17" t="s">
        <v>2</v>
      </c>
      <c r="E17" t="s">
        <v>111</v>
      </c>
      <c r="F17" t="s">
        <v>13</v>
      </c>
      <c r="G17" t="s">
        <v>525</v>
      </c>
      <c r="H17" t="s">
        <v>626</v>
      </c>
    </row>
    <row r="18" spans="1:8" x14ac:dyDescent="0.3">
      <c r="A18">
        <f>0.0608152531229454/48</f>
        <v>1.2669844400613624E-3</v>
      </c>
      <c r="B18" t="s">
        <v>57</v>
      </c>
      <c r="C18" t="s">
        <v>671</v>
      </c>
      <c r="D18" t="s">
        <v>2</v>
      </c>
      <c r="E18" t="s">
        <v>398</v>
      </c>
      <c r="F18" t="s">
        <v>13</v>
      </c>
      <c r="G18" t="s">
        <v>525</v>
      </c>
      <c r="H18" t="s">
        <v>626</v>
      </c>
    </row>
    <row r="19" spans="1:8" x14ac:dyDescent="0.3">
      <c r="A19">
        <f>$A$2*'[1]Wafer prod APAC'!I16</f>
        <v>1.1271427126275202E-6</v>
      </c>
      <c r="B19" t="s">
        <v>314</v>
      </c>
      <c r="C19" t="s">
        <v>620</v>
      </c>
      <c r="D19" t="s">
        <v>2</v>
      </c>
      <c r="E19" s="2" t="s">
        <v>455</v>
      </c>
      <c r="F19" t="s">
        <v>13</v>
      </c>
      <c r="G19" t="s">
        <v>525</v>
      </c>
      <c r="H19" t="s">
        <v>621</v>
      </c>
    </row>
    <row r="20" spans="1:8" x14ac:dyDescent="0.3">
      <c r="A20">
        <f>$A$2*'[1]Wafer prod APAC'!I17</f>
        <v>7.4657817565464523E-6</v>
      </c>
      <c r="B20" s="2" t="s">
        <v>314</v>
      </c>
      <c r="C20" t="s">
        <v>622</v>
      </c>
      <c r="D20" t="s">
        <v>2</v>
      </c>
      <c r="E20" s="2" t="s">
        <v>409</v>
      </c>
      <c r="F20" t="s">
        <v>13</v>
      </c>
      <c r="G20" t="s">
        <v>525</v>
      </c>
      <c r="H20" t="s">
        <v>621</v>
      </c>
    </row>
    <row r="21" spans="1:8" x14ac:dyDescent="0.3">
      <c r="A21">
        <f>$A$2*'[1]Wafer prod APAC'!I18</f>
        <v>4.6907642095502955E-8</v>
      </c>
      <c r="B21" s="2" t="s">
        <v>314</v>
      </c>
      <c r="C21" t="s">
        <v>623</v>
      </c>
      <c r="D21" t="s">
        <v>2</v>
      </c>
      <c r="E21" s="2" t="s">
        <v>443</v>
      </c>
      <c r="F21" t="s">
        <v>13</v>
      </c>
      <c r="G21" t="s">
        <v>525</v>
      </c>
      <c r="H21" t="s">
        <v>621</v>
      </c>
    </row>
    <row r="22" spans="1:8" x14ac:dyDescent="0.3">
      <c r="A22">
        <v>2.3298816568047302E-3</v>
      </c>
      <c r="B22" s="2" t="s">
        <v>319</v>
      </c>
      <c r="C22" t="s">
        <v>672</v>
      </c>
      <c r="D22" t="s">
        <v>2</v>
      </c>
      <c r="E22" s="2" t="s">
        <v>375</v>
      </c>
      <c r="F22" t="s">
        <v>13</v>
      </c>
      <c r="G22" t="s">
        <v>525</v>
      </c>
      <c r="H22" t="s">
        <v>626</v>
      </c>
    </row>
    <row r="23" spans="1:8" x14ac:dyDescent="0.3">
      <c r="A23">
        <v>1.72172912557528E-4</v>
      </c>
      <c r="B23" s="2" t="s">
        <v>319</v>
      </c>
      <c r="C23" t="s">
        <v>673</v>
      </c>
      <c r="D23" t="s">
        <v>2</v>
      </c>
      <c r="E23" s="2" t="s">
        <v>404</v>
      </c>
      <c r="F23" t="s">
        <v>13</v>
      </c>
      <c r="G23" t="s">
        <v>525</v>
      </c>
      <c r="H23" t="s">
        <v>626</v>
      </c>
    </row>
    <row r="24" spans="1:8" x14ac:dyDescent="0.3">
      <c r="A24">
        <v>3.2786920226533085E-7</v>
      </c>
      <c r="B24" t="s">
        <v>314</v>
      </c>
      <c r="C24" t="s">
        <v>654</v>
      </c>
      <c r="D24" t="s">
        <v>2</v>
      </c>
      <c r="E24" s="2" t="s">
        <v>449</v>
      </c>
      <c r="F24" t="s">
        <v>13</v>
      </c>
      <c r="G24" t="s">
        <v>525</v>
      </c>
      <c r="H24" t="s">
        <v>655</v>
      </c>
    </row>
    <row r="25" spans="1:8" x14ac:dyDescent="0.3">
      <c r="A25">
        <v>1.8032806124593192E-6</v>
      </c>
      <c r="B25" t="s">
        <v>314</v>
      </c>
      <c r="C25" t="s">
        <v>656</v>
      </c>
      <c r="D25" t="s">
        <v>2</v>
      </c>
      <c r="E25" s="2" t="s">
        <v>487</v>
      </c>
      <c r="F25" t="s">
        <v>13</v>
      </c>
      <c r="G25" t="s">
        <v>525</v>
      </c>
      <c r="H25" t="s">
        <v>655</v>
      </c>
    </row>
    <row r="26" spans="1:8" x14ac:dyDescent="0.3">
      <c r="A26">
        <v>8.5245992588985998E-7</v>
      </c>
      <c r="B26" t="s">
        <v>314</v>
      </c>
      <c r="C26" t="s">
        <v>495</v>
      </c>
      <c r="D26" t="s">
        <v>494</v>
      </c>
      <c r="E26" t="s">
        <v>495</v>
      </c>
      <c r="F26" t="s">
        <v>13</v>
      </c>
      <c r="G26" t="s">
        <v>525</v>
      </c>
      <c r="H26" t="s">
        <v>655</v>
      </c>
    </row>
    <row r="27" spans="1:8" x14ac:dyDescent="0.3">
      <c r="A27">
        <v>3.4098397035594399E-6</v>
      </c>
      <c r="B27" t="s">
        <v>314</v>
      </c>
      <c r="C27" t="s">
        <v>496</v>
      </c>
      <c r="D27" t="s">
        <v>494</v>
      </c>
      <c r="E27" s="2" t="s">
        <v>496</v>
      </c>
      <c r="F27" t="s">
        <v>13</v>
      </c>
      <c r="G27" t="s">
        <v>525</v>
      </c>
      <c r="H27" t="s">
        <v>655</v>
      </c>
    </row>
    <row r="28" spans="1:8" x14ac:dyDescent="0.3">
      <c r="A28">
        <v>2.3442647961971142E-6</v>
      </c>
      <c r="B28" t="s">
        <v>314</v>
      </c>
      <c r="C28" t="s">
        <v>497</v>
      </c>
      <c r="D28" t="s">
        <v>494</v>
      </c>
      <c r="E28" s="2" t="s">
        <v>497</v>
      </c>
      <c r="F28" t="s">
        <v>13</v>
      </c>
      <c r="G28" t="s">
        <v>525</v>
      </c>
      <c r="H28" t="s">
        <v>655</v>
      </c>
    </row>
    <row r="29" spans="1:8" x14ac:dyDescent="0.3">
      <c r="A29">
        <v>2.0686005676624811E-7</v>
      </c>
      <c r="B29" t="s">
        <v>507</v>
      </c>
      <c r="C29" t="s">
        <v>506</v>
      </c>
      <c r="D29" t="s">
        <v>498</v>
      </c>
      <c r="E29" s="2" t="s">
        <v>506</v>
      </c>
      <c r="F29" t="s">
        <v>13</v>
      </c>
      <c r="G29" t="s">
        <v>525</v>
      </c>
      <c r="H29" t="s">
        <v>655</v>
      </c>
    </row>
    <row r="30" spans="1:8" x14ac:dyDescent="0.3">
      <c r="A30">
        <v>7.725180802103879E-6</v>
      </c>
      <c r="B30" t="s">
        <v>57</v>
      </c>
      <c r="C30" t="s">
        <v>674</v>
      </c>
      <c r="D30" t="s">
        <v>498</v>
      </c>
      <c r="E30" t="s">
        <v>522</v>
      </c>
      <c r="F30" t="s">
        <v>13</v>
      </c>
      <c r="G30" t="s">
        <v>525</v>
      </c>
      <c r="H30" t="s">
        <v>626</v>
      </c>
    </row>
    <row r="31" spans="1:8" x14ac:dyDescent="0.3">
      <c r="A31">
        <v>1.3806706114398421E-4</v>
      </c>
      <c r="B31" t="s">
        <v>57</v>
      </c>
      <c r="C31" t="s">
        <v>85</v>
      </c>
      <c r="D31" t="s">
        <v>498</v>
      </c>
      <c r="E31" s="2" t="s">
        <v>516</v>
      </c>
      <c r="F31" t="s">
        <v>13</v>
      </c>
      <c r="G31" t="s">
        <v>525</v>
      </c>
      <c r="H31" t="s">
        <v>626</v>
      </c>
    </row>
    <row r="32" spans="1:8" x14ac:dyDescent="0.3">
      <c r="A32">
        <v>7.725180802103879E-6</v>
      </c>
      <c r="B32" t="s">
        <v>57</v>
      </c>
      <c r="C32" t="s">
        <v>675</v>
      </c>
      <c r="D32" t="s">
        <v>498</v>
      </c>
      <c r="E32" t="s">
        <v>520</v>
      </c>
      <c r="F32" t="s">
        <v>13</v>
      </c>
      <c r="G32" t="s">
        <v>525</v>
      </c>
      <c r="H32" t="s">
        <v>626</v>
      </c>
    </row>
    <row r="33" spans="1:8" x14ac:dyDescent="0.3">
      <c r="A33">
        <v>3.1681459566074953E-8</v>
      </c>
      <c r="B33" t="s">
        <v>57</v>
      </c>
      <c r="C33" t="s">
        <v>676</v>
      </c>
      <c r="D33" t="s">
        <v>498</v>
      </c>
      <c r="E33" t="s">
        <v>516</v>
      </c>
      <c r="F33" t="s">
        <v>13</v>
      </c>
      <c r="G33" t="s">
        <v>525</v>
      </c>
      <c r="H33" t="s">
        <v>626</v>
      </c>
    </row>
    <row r="34" spans="1:8" x14ac:dyDescent="0.3">
      <c r="A34">
        <v>7.725180802103879E-6</v>
      </c>
      <c r="B34" t="s">
        <v>57</v>
      </c>
      <c r="C34" t="s">
        <v>677</v>
      </c>
      <c r="D34" t="s">
        <v>498</v>
      </c>
      <c r="E34" t="s">
        <v>516</v>
      </c>
      <c r="F34" t="s">
        <v>13</v>
      </c>
      <c r="G34" t="s">
        <v>525</v>
      </c>
      <c r="H34" t="s">
        <v>626</v>
      </c>
    </row>
    <row r="35" spans="1:8" x14ac:dyDescent="0.3">
      <c r="A35">
        <v>7.725180802103879E-6</v>
      </c>
      <c r="B35" t="s">
        <v>57</v>
      </c>
      <c r="C35" t="s">
        <v>678</v>
      </c>
      <c r="D35" t="s">
        <v>498</v>
      </c>
      <c r="E35" t="s">
        <v>516</v>
      </c>
      <c r="F35" t="s">
        <v>13</v>
      </c>
      <c r="G35" t="s">
        <v>525</v>
      </c>
      <c r="H35" t="s">
        <v>626</v>
      </c>
    </row>
    <row r="36" spans="1:8" x14ac:dyDescent="0.3">
      <c r="A36">
        <v>3.7310979618671928E-5</v>
      </c>
      <c r="B36" t="s">
        <v>57</v>
      </c>
      <c r="C36" t="s">
        <v>679</v>
      </c>
      <c r="D36" t="s">
        <v>498</v>
      </c>
      <c r="E36" t="s">
        <v>512</v>
      </c>
      <c r="F36" t="s">
        <v>13</v>
      </c>
      <c r="G36" t="s">
        <v>525</v>
      </c>
      <c r="H36" t="s">
        <v>626</v>
      </c>
    </row>
    <row r="37" spans="1:8" x14ac:dyDescent="0.3">
      <c r="A37">
        <v>0.1668310322156476</v>
      </c>
      <c r="B37" t="s">
        <v>57</v>
      </c>
      <c r="C37" t="s">
        <v>680</v>
      </c>
      <c r="D37" t="s">
        <v>498</v>
      </c>
      <c r="E37" t="s">
        <v>502</v>
      </c>
      <c r="F37" t="s">
        <v>13</v>
      </c>
      <c r="G37" t="s">
        <v>525</v>
      </c>
      <c r="H37" t="s">
        <v>626</v>
      </c>
    </row>
    <row r="38" spans="1:8" x14ac:dyDescent="0.3">
      <c r="A38">
        <v>4.602235371466141E-5</v>
      </c>
      <c r="B38" t="s">
        <v>57</v>
      </c>
      <c r="C38" t="s">
        <v>681</v>
      </c>
      <c r="D38" t="s">
        <v>498</v>
      </c>
      <c r="E38" t="s">
        <v>516</v>
      </c>
      <c r="F38" t="s">
        <v>13</v>
      </c>
      <c r="G38" t="s">
        <v>525</v>
      </c>
      <c r="H38" t="s">
        <v>626</v>
      </c>
    </row>
    <row r="39" spans="1:8" x14ac:dyDescent="0.3">
      <c r="A39">
        <v>1.1012491781722551E-2</v>
      </c>
      <c r="B39" t="s">
        <v>57</v>
      </c>
      <c r="C39" t="s">
        <v>112</v>
      </c>
      <c r="D39" t="s">
        <v>498</v>
      </c>
      <c r="E39" t="s">
        <v>516</v>
      </c>
      <c r="F39" t="s">
        <v>13</v>
      </c>
      <c r="G39" t="s">
        <v>525</v>
      </c>
      <c r="H39" t="s">
        <v>626</v>
      </c>
    </row>
    <row r="40" spans="1:8" x14ac:dyDescent="0.3">
      <c r="A40">
        <v>1.4710716633793556E-2</v>
      </c>
      <c r="B40" t="s">
        <v>57</v>
      </c>
      <c r="C40" t="s">
        <v>682</v>
      </c>
      <c r="D40" t="s">
        <v>498</v>
      </c>
      <c r="E40" t="s">
        <v>516</v>
      </c>
      <c r="F40" t="s">
        <v>13</v>
      </c>
      <c r="G40" t="s">
        <v>525</v>
      </c>
      <c r="H40" t="s">
        <v>626</v>
      </c>
    </row>
    <row r="41" spans="1:8" x14ac:dyDescent="0.3">
      <c r="A41">
        <v>6.3280736357659438E-4</v>
      </c>
      <c r="B41" t="s">
        <v>57</v>
      </c>
      <c r="C41" t="s">
        <v>683</v>
      </c>
      <c r="D41" t="s">
        <v>498</v>
      </c>
      <c r="E41" t="s">
        <v>516</v>
      </c>
      <c r="F41" t="s">
        <v>13</v>
      </c>
      <c r="G41" t="s">
        <v>525</v>
      </c>
      <c r="H41" t="s">
        <v>626</v>
      </c>
    </row>
    <row r="42" spans="1:8" x14ac:dyDescent="0.3">
      <c r="A42">
        <v>3.1188362919132145E-5</v>
      </c>
      <c r="B42" t="s">
        <v>57</v>
      </c>
      <c r="C42" t="s">
        <v>684</v>
      </c>
      <c r="D42" t="s">
        <v>498</v>
      </c>
      <c r="E42" t="s">
        <v>508</v>
      </c>
      <c r="F42" t="s">
        <v>13</v>
      </c>
      <c r="G42" t="s">
        <v>525</v>
      </c>
      <c r="H42" t="s">
        <v>626</v>
      </c>
    </row>
    <row r="43" spans="1:8" x14ac:dyDescent="0.3">
      <c r="A43">
        <v>3.3284023668639053E-4</v>
      </c>
      <c r="B43" t="s">
        <v>57</v>
      </c>
      <c r="C43" t="s">
        <v>676</v>
      </c>
      <c r="D43" t="s">
        <v>498</v>
      </c>
      <c r="E43" t="s">
        <v>516</v>
      </c>
      <c r="F43" t="s">
        <v>13</v>
      </c>
      <c r="G43" t="s">
        <v>525</v>
      </c>
      <c r="H43" t="s">
        <v>626</v>
      </c>
    </row>
    <row r="44" spans="1:8" x14ac:dyDescent="0.3">
      <c r="A44">
        <v>2.6298487836949372E-3</v>
      </c>
      <c r="B44" t="s">
        <v>57</v>
      </c>
      <c r="C44" t="s">
        <v>676</v>
      </c>
      <c r="D44" t="s">
        <v>498</v>
      </c>
      <c r="E44" t="s">
        <v>516</v>
      </c>
      <c r="F44" t="s">
        <v>13</v>
      </c>
      <c r="G44" t="s">
        <v>525</v>
      </c>
      <c r="H44" t="s">
        <v>626</v>
      </c>
    </row>
    <row r="45" spans="1:8" x14ac:dyDescent="0.3">
      <c r="A45">
        <v>1.2615055884286653E-2</v>
      </c>
      <c r="B45" t="s">
        <v>57</v>
      </c>
      <c r="C45" t="s">
        <v>657</v>
      </c>
      <c r="D45" t="s">
        <v>498</v>
      </c>
      <c r="E45" t="s">
        <v>513</v>
      </c>
      <c r="F45" t="s">
        <v>13</v>
      </c>
      <c r="G45" t="s">
        <v>525</v>
      </c>
      <c r="H45" t="s">
        <v>626</v>
      </c>
    </row>
    <row r="46" spans="1:8" x14ac:dyDescent="0.3">
      <c r="A46">
        <v>3.4117357001972382E-3</v>
      </c>
      <c r="B46" t="s">
        <v>57</v>
      </c>
      <c r="C46" t="s">
        <v>535</v>
      </c>
      <c r="D46" t="s">
        <v>498</v>
      </c>
      <c r="E46" t="s">
        <v>502</v>
      </c>
      <c r="F46" t="s">
        <v>13</v>
      </c>
      <c r="G46" t="s">
        <v>525</v>
      </c>
      <c r="H46" t="s">
        <v>658</v>
      </c>
    </row>
    <row r="47" spans="1:8" x14ac:dyDescent="0.3">
      <c r="A47">
        <v>3.0407626561472713E-7</v>
      </c>
      <c r="B47" t="s">
        <v>57</v>
      </c>
      <c r="C47" t="s">
        <v>500</v>
      </c>
      <c r="D47" t="s">
        <v>498</v>
      </c>
      <c r="E47" t="s">
        <v>500</v>
      </c>
      <c r="F47" t="s">
        <v>13</v>
      </c>
      <c r="G47" t="s">
        <v>525</v>
      </c>
      <c r="H47" t="s">
        <v>658</v>
      </c>
    </row>
    <row r="48" spans="1:8" x14ac:dyDescent="0.3">
      <c r="A48">
        <v>6.081525312294543E-9</v>
      </c>
      <c r="B48" t="s">
        <v>57</v>
      </c>
      <c r="C48" t="s">
        <v>511</v>
      </c>
      <c r="D48" t="s">
        <v>498</v>
      </c>
      <c r="E48" t="s">
        <v>511</v>
      </c>
      <c r="F48" t="s">
        <v>13</v>
      </c>
      <c r="G48" t="s">
        <v>525</v>
      </c>
      <c r="H48" t="s">
        <v>658</v>
      </c>
    </row>
    <row r="49" spans="1:7" x14ac:dyDescent="0.3">
      <c r="A49">
        <v>0</v>
      </c>
      <c r="B49" t="s">
        <v>312</v>
      </c>
      <c r="C49" t="s">
        <v>483</v>
      </c>
      <c r="D49" t="s">
        <v>2</v>
      </c>
      <c r="E49" t="s">
        <v>483</v>
      </c>
      <c r="F49" t="s">
        <v>13</v>
      </c>
      <c r="G49" t="s">
        <v>525</v>
      </c>
    </row>
    <row r="50" spans="1:7" x14ac:dyDescent="0.3">
      <c r="A50">
        <v>0</v>
      </c>
      <c r="B50" t="s">
        <v>105</v>
      </c>
      <c r="C50" t="s">
        <v>125</v>
      </c>
      <c r="D50" t="s">
        <v>2</v>
      </c>
      <c r="E50" t="s">
        <v>125</v>
      </c>
      <c r="F50" t="s">
        <v>13</v>
      </c>
      <c r="G50" t="s">
        <v>525</v>
      </c>
    </row>
    <row r="51" spans="1:7" x14ac:dyDescent="0.3">
      <c r="A51">
        <v>0</v>
      </c>
      <c r="B51" t="s">
        <v>319</v>
      </c>
      <c r="C51" t="s">
        <v>461</v>
      </c>
      <c r="D51" t="s">
        <v>2</v>
      </c>
      <c r="E51" t="s">
        <v>461</v>
      </c>
      <c r="F51" t="s">
        <v>13</v>
      </c>
      <c r="G51" t="s">
        <v>525</v>
      </c>
    </row>
    <row r="52" spans="1:7" x14ac:dyDescent="0.3">
      <c r="A52">
        <v>0</v>
      </c>
      <c r="B52" t="s">
        <v>314</v>
      </c>
      <c r="C52" t="s">
        <v>395</v>
      </c>
      <c r="D52" t="s">
        <v>2</v>
      </c>
      <c r="E52" t="s">
        <v>395</v>
      </c>
      <c r="F52" t="s">
        <v>13</v>
      </c>
      <c r="G52" t="s">
        <v>525</v>
      </c>
    </row>
    <row r="53" spans="1:7" x14ac:dyDescent="0.3">
      <c r="A53">
        <v>0</v>
      </c>
      <c r="B53" t="s">
        <v>312</v>
      </c>
      <c r="C53" t="s">
        <v>399</v>
      </c>
      <c r="D53" t="s">
        <v>2</v>
      </c>
      <c r="E53" t="s">
        <v>399</v>
      </c>
      <c r="F53" t="s">
        <v>13</v>
      </c>
      <c r="G53" t="s">
        <v>525</v>
      </c>
    </row>
    <row r="54" spans="1:7" x14ac:dyDescent="0.3">
      <c r="A54">
        <v>0</v>
      </c>
      <c r="B54" t="s">
        <v>314</v>
      </c>
      <c r="C54" t="s">
        <v>432</v>
      </c>
      <c r="D54" t="s">
        <v>2</v>
      </c>
      <c r="E54" t="s">
        <v>432</v>
      </c>
      <c r="F54" t="s">
        <v>13</v>
      </c>
      <c r="G54" t="s">
        <v>525</v>
      </c>
    </row>
    <row r="55" spans="1:7" x14ac:dyDescent="0.3">
      <c r="A55">
        <v>0</v>
      </c>
      <c r="B55" t="s">
        <v>312</v>
      </c>
      <c r="C55" t="s">
        <v>325</v>
      </c>
      <c r="D55" t="s">
        <v>2</v>
      </c>
      <c r="E55" t="s">
        <v>325</v>
      </c>
      <c r="F55" t="s">
        <v>13</v>
      </c>
      <c r="G55" t="s">
        <v>525</v>
      </c>
    </row>
    <row r="56" spans="1:7" x14ac:dyDescent="0.3">
      <c r="A56">
        <v>0</v>
      </c>
      <c r="B56" t="s">
        <v>314</v>
      </c>
      <c r="C56" t="s">
        <v>372</v>
      </c>
      <c r="D56" t="s">
        <v>2</v>
      </c>
      <c r="E56" t="s">
        <v>372</v>
      </c>
      <c r="F56" t="s">
        <v>13</v>
      </c>
      <c r="G56" t="s">
        <v>525</v>
      </c>
    </row>
    <row r="57" spans="1:7" x14ac:dyDescent="0.3">
      <c r="A57">
        <v>0</v>
      </c>
      <c r="B57" t="s">
        <v>314</v>
      </c>
      <c r="C57" t="s">
        <v>260</v>
      </c>
      <c r="D57" t="s">
        <v>2</v>
      </c>
      <c r="E57" t="s">
        <v>260</v>
      </c>
      <c r="F57" t="s">
        <v>13</v>
      </c>
      <c r="G57" t="s">
        <v>525</v>
      </c>
    </row>
    <row r="58" spans="1:7" x14ac:dyDescent="0.3">
      <c r="A58">
        <v>0</v>
      </c>
      <c r="B58" t="s">
        <v>312</v>
      </c>
      <c r="C58" t="s">
        <v>330</v>
      </c>
      <c r="D58" t="s">
        <v>2</v>
      </c>
      <c r="E58" t="s">
        <v>330</v>
      </c>
      <c r="F58" t="s">
        <v>13</v>
      </c>
      <c r="G58" t="s">
        <v>525</v>
      </c>
    </row>
    <row r="59" spans="1:7" x14ac:dyDescent="0.3">
      <c r="A59">
        <v>0</v>
      </c>
      <c r="B59" t="s">
        <v>105</v>
      </c>
      <c r="C59" t="s">
        <v>401</v>
      </c>
      <c r="D59" t="s">
        <v>2</v>
      </c>
      <c r="E59" t="s">
        <v>401</v>
      </c>
      <c r="F59" t="s">
        <v>13</v>
      </c>
      <c r="G59" t="s">
        <v>525</v>
      </c>
    </row>
    <row r="60" spans="1:7" x14ac:dyDescent="0.3">
      <c r="A60">
        <v>0</v>
      </c>
      <c r="B60" t="s">
        <v>312</v>
      </c>
      <c r="C60" t="s">
        <v>416</v>
      </c>
      <c r="D60" t="s">
        <v>2</v>
      </c>
      <c r="E60" t="s">
        <v>416</v>
      </c>
      <c r="F60" t="s">
        <v>13</v>
      </c>
      <c r="G60" t="s">
        <v>525</v>
      </c>
    </row>
    <row r="61" spans="1:7" x14ac:dyDescent="0.3">
      <c r="A61">
        <v>0</v>
      </c>
      <c r="B61" t="s">
        <v>319</v>
      </c>
      <c r="C61" t="s">
        <v>375</v>
      </c>
      <c r="D61" t="s">
        <v>2</v>
      </c>
      <c r="E61" t="s">
        <v>375</v>
      </c>
      <c r="F61" t="s">
        <v>13</v>
      </c>
      <c r="G61" t="s">
        <v>525</v>
      </c>
    </row>
    <row r="62" spans="1:7" x14ac:dyDescent="0.3">
      <c r="A62">
        <v>0</v>
      </c>
      <c r="B62" t="s">
        <v>312</v>
      </c>
      <c r="C62" t="s">
        <v>333</v>
      </c>
      <c r="D62" t="s">
        <v>2</v>
      </c>
      <c r="E62" t="s">
        <v>333</v>
      </c>
      <c r="F62" t="s">
        <v>13</v>
      </c>
      <c r="G62" t="s">
        <v>525</v>
      </c>
    </row>
    <row r="63" spans="1:7" x14ac:dyDescent="0.3">
      <c r="A63">
        <v>0</v>
      </c>
      <c r="B63" t="s">
        <v>57</v>
      </c>
      <c r="C63" t="s">
        <v>118</v>
      </c>
      <c r="D63" t="s">
        <v>2</v>
      </c>
      <c r="E63" t="s">
        <v>118</v>
      </c>
      <c r="F63" t="s">
        <v>13</v>
      </c>
      <c r="G63" t="s">
        <v>525</v>
      </c>
    </row>
    <row r="64" spans="1:7" x14ac:dyDescent="0.3">
      <c r="A64">
        <v>0</v>
      </c>
      <c r="B64" t="s">
        <v>312</v>
      </c>
      <c r="C64" t="s">
        <v>406</v>
      </c>
      <c r="D64" t="s">
        <v>2</v>
      </c>
      <c r="E64" t="s">
        <v>406</v>
      </c>
      <c r="F64" t="s">
        <v>13</v>
      </c>
      <c r="G64" t="s">
        <v>525</v>
      </c>
    </row>
    <row r="65" spans="1:7" x14ac:dyDescent="0.3">
      <c r="A65">
        <v>0</v>
      </c>
      <c r="B65" t="s">
        <v>312</v>
      </c>
      <c r="C65" t="s">
        <v>315</v>
      </c>
      <c r="D65" t="s">
        <v>2</v>
      </c>
      <c r="E65" t="s">
        <v>315</v>
      </c>
      <c r="F65" t="s">
        <v>13</v>
      </c>
      <c r="G65" t="s">
        <v>525</v>
      </c>
    </row>
    <row r="66" spans="1:7" x14ac:dyDescent="0.3">
      <c r="A66">
        <v>0</v>
      </c>
      <c r="B66" t="s">
        <v>312</v>
      </c>
      <c r="C66" t="s">
        <v>358</v>
      </c>
      <c r="D66" t="s">
        <v>2</v>
      </c>
      <c r="E66" t="s">
        <v>358</v>
      </c>
      <c r="F66" t="s">
        <v>13</v>
      </c>
      <c r="G66" t="s">
        <v>525</v>
      </c>
    </row>
    <row r="67" spans="1:7" x14ac:dyDescent="0.3">
      <c r="A67">
        <v>0</v>
      </c>
      <c r="B67" t="s">
        <v>314</v>
      </c>
      <c r="C67" t="s">
        <v>444</v>
      </c>
      <c r="D67" t="s">
        <v>2</v>
      </c>
      <c r="E67" t="s">
        <v>444</v>
      </c>
      <c r="F67" t="s">
        <v>13</v>
      </c>
      <c r="G67" t="s">
        <v>525</v>
      </c>
    </row>
    <row r="68" spans="1:7" x14ac:dyDescent="0.3">
      <c r="A68">
        <v>0</v>
      </c>
      <c r="B68" t="s">
        <v>312</v>
      </c>
      <c r="C68" t="s">
        <v>439</v>
      </c>
      <c r="D68" t="s">
        <v>2</v>
      </c>
      <c r="E68" t="s">
        <v>439</v>
      </c>
      <c r="F68" t="s">
        <v>13</v>
      </c>
      <c r="G68" t="s">
        <v>525</v>
      </c>
    </row>
    <row r="69" spans="1:7" x14ac:dyDescent="0.3">
      <c r="A69">
        <v>0</v>
      </c>
      <c r="B69" t="s">
        <v>312</v>
      </c>
      <c r="C69" t="s">
        <v>381</v>
      </c>
      <c r="D69" t="s">
        <v>2</v>
      </c>
      <c r="E69" t="s">
        <v>381</v>
      </c>
      <c r="F69" t="s">
        <v>13</v>
      </c>
      <c r="G69" t="s">
        <v>525</v>
      </c>
    </row>
    <row r="70" spans="1:7" x14ac:dyDescent="0.3">
      <c r="A70">
        <v>0</v>
      </c>
      <c r="B70" t="s">
        <v>312</v>
      </c>
      <c r="C70" t="s">
        <v>418</v>
      </c>
      <c r="D70" t="s">
        <v>2</v>
      </c>
      <c r="E70" t="s">
        <v>418</v>
      </c>
      <c r="F70" t="s">
        <v>13</v>
      </c>
      <c r="G70" t="s">
        <v>525</v>
      </c>
    </row>
    <row r="71" spans="1:7" x14ac:dyDescent="0.3">
      <c r="A71">
        <v>0</v>
      </c>
      <c r="B71" t="s">
        <v>314</v>
      </c>
      <c r="C71" t="s">
        <v>465</v>
      </c>
      <c r="D71" t="s">
        <v>2</v>
      </c>
      <c r="E71" t="s">
        <v>465</v>
      </c>
      <c r="F71" t="s">
        <v>13</v>
      </c>
      <c r="G71" t="s">
        <v>525</v>
      </c>
    </row>
    <row r="72" spans="1:7" x14ac:dyDescent="0.3">
      <c r="A72">
        <v>0</v>
      </c>
      <c r="B72" t="s">
        <v>105</v>
      </c>
      <c r="C72" t="s">
        <v>103</v>
      </c>
      <c r="D72" t="s">
        <v>2</v>
      </c>
      <c r="E72" t="s">
        <v>103</v>
      </c>
      <c r="F72" t="s">
        <v>13</v>
      </c>
      <c r="G72" t="s">
        <v>525</v>
      </c>
    </row>
    <row r="73" spans="1:7" x14ac:dyDescent="0.3">
      <c r="A73">
        <v>0</v>
      </c>
      <c r="B73" t="s">
        <v>312</v>
      </c>
      <c r="C73" t="s">
        <v>320</v>
      </c>
      <c r="D73" t="s">
        <v>2</v>
      </c>
      <c r="E73" t="s">
        <v>320</v>
      </c>
      <c r="F73" t="s">
        <v>13</v>
      </c>
      <c r="G73" t="s">
        <v>525</v>
      </c>
    </row>
    <row r="74" spans="1:7" x14ac:dyDescent="0.3">
      <c r="A74">
        <v>0</v>
      </c>
      <c r="B74" t="s">
        <v>312</v>
      </c>
      <c r="C74" t="s">
        <v>334</v>
      </c>
      <c r="D74" t="s">
        <v>2</v>
      </c>
      <c r="E74" t="s">
        <v>334</v>
      </c>
      <c r="F74" t="s">
        <v>13</v>
      </c>
      <c r="G74" t="s">
        <v>525</v>
      </c>
    </row>
    <row r="75" spans="1:7" x14ac:dyDescent="0.3">
      <c r="A75">
        <v>0</v>
      </c>
      <c r="B75" t="s">
        <v>312</v>
      </c>
      <c r="C75" t="s">
        <v>435</v>
      </c>
      <c r="D75" t="s">
        <v>2</v>
      </c>
      <c r="E75" t="s">
        <v>435</v>
      </c>
      <c r="F75" t="s">
        <v>13</v>
      </c>
      <c r="G75" t="s">
        <v>525</v>
      </c>
    </row>
    <row r="76" spans="1:7" x14ac:dyDescent="0.3">
      <c r="A76">
        <v>0</v>
      </c>
      <c r="B76" t="s">
        <v>319</v>
      </c>
      <c r="C76" t="s">
        <v>456</v>
      </c>
      <c r="D76" t="s">
        <v>2</v>
      </c>
      <c r="E76" t="s">
        <v>456</v>
      </c>
      <c r="F76" t="s">
        <v>13</v>
      </c>
      <c r="G76" t="s">
        <v>525</v>
      </c>
    </row>
    <row r="77" spans="1:7" x14ac:dyDescent="0.3">
      <c r="A77">
        <v>0</v>
      </c>
      <c r="B77" t="s">
        <v>312</v>
      </c>
      <c r="C77" t="s">
        <v>474</v>
      </c>
      <c r="D77" t="s">
        <v>2</v>
      </c>
      <c r="E77" t="s">
        <v>474</v>
      </c>
      <c r="F77" t="s">
        <v>13</v>
      </c>
      <c r="G77" t="s">
        <v>525</v>
      </c>
    </row>
    <row r="78" spans="1:7" x14ac:dyDescent="0.3">
      <c r="A78">
        <v>0</v>
      </c>
      <c r="B78" t="s">
        <v>319</v>
      </c>
      <c r="C78" t="s">
        <v>318</v>
      </c>
      <c r="D78" t="s">
        <v>2</v>
      </c>
      <c r="E78" t="s">
        <v>318</v>
      </c>
      <c r="F78" t="s">
        <v>13</v>
      </c>
      <c r="G78" t="s">
        <v>525</v>
      </c>
    </row>
    <row r="79" spans="1:7" x14ac:dyDescent="0.3">
      <c r="A79">
        <v>0</v>
      </c>
      <c r="B79" t="s">
        <v>314</v>
      </c>
      <c r="C79" t="s">
        <v>475</v>
      </c>
      <c r="D79" t="s">
        <v>2</v>
      </c>
      <c r="E79" t="s">
        <v>475</v>
      </c>
      <c r="F79" t="s">
        <v>13</v>
      </c>
      <c r="G79" t="s">
        <v>525</v>
      </c>
    </row>
    <row r="80" spans="1:7" x14ac:dyDescent="0.3">
      <c r="A80">
        <v>0</v>
      </c>
      <c r="B80" t="s">
        <v>314</v>
      </c>
      <c r="C80" t="s">
        <v>449</v>
      </c>
      <c r="D80" t="s">
        <v>2</v>
      </c>
      <c r="E80" t="s">
        <v>449</v>
      </c>
      <c r="F80" t="s">
        <v>13</v>
      </c>
      <c r="G80" t="s">
        <v>525</v>
      </c>
    </row>
    <row r="81" spans="1:7" x14ac:dyDescent="0.3">
      <c r="A81">
        <v>0</v>
      </c>
      <c r="B81" t="s">
        <v>314</v>
      </c>
      <c r="C81" t="s">
        <v>176</v>
      </c>
      <c r="D81" t="s">
        <v>2</v>
      </c>
      <c r="E81" t="s">
        <v>176</v>
      </c>
      <c r="F81" t="s">
        <v>13</v>
      </c>
      <c r="G81" t="s">
        <v>525</v>
      </c>
    </row>
    <row r="82" spans="1:7" x14ac:dyDescent="0.3">
      <c r="A82">
        <v>0</v>
      </c>
      <c r="B82" t="s">
        <v>312</v>
      </c>
      <c r="C82" t="s">
        <v>388</v>
      </c>
      <c r="D82" t="s">
        <v>2</v>
      </c>
      <c r="E82" t="s">
        <v>388</v>
      </c>
      <c r="F82" t="s">
        <v>13</v>
      </c>
      <c r="G82" t="s">
        <v>525</v>
      </c>
    </row>
    <row r="83" spans="1:7" x14ac:dyDescent="0.3">
      <c r="A83">
        <v>0</v>
      </c>
      <c r="B83" t="s">
        <v>319</v>
      </c>
      <c r="C83" t="s">
        <v>429</v>
      </c>
      <c r="D83" t="s">
        <v>2</v>
      </c>
      <c r="E83" t="s">
        <v>429</v>
      </c>
      <c r="F83" t="s">
        <v>13</v>
      </c>
      <c r="G83" t="s">
        <v>525</v>
      </c>
    </row>
    <row r="84" spans="1:7" x14ac:dyDescent="0.3">
      <c r="A84">
        <v>0</v>
      </c>
      <c r="B84" t="s">
        <v>312</v>
      </c>
      <c r="C84" t="s">
        <v>272</v>
      </c>
      <c r="D84" t="s">
        <v>2</v>
      </c>
      <c r="E84" t="s">
        <v>272</v>
      </c>
      <c r="F84" t="s">
        <v>13</v>
      </c>
      <c r="G84" t="s">
        <v>525</v>
      </c>
    </row>
    <row r="85" spans="1:7" x14ac:dyDescent="0.3">
      <c r="A85">
        <v>0</v>
      </c>
      <c r="B85" t="s">
        <v>312</v>
      </c>
      <c r="C85" t="s">
        <v>410</v>
      </c>
      <c r="D85" t="s">
        <v>2</v>
      </c>
      <c r="E85" t="s">
        <v>410</v>
      </c>
      <c r="F85" t="s">
        <v>13</v>
      </c>
      <c r="G85" t="s">
        <v>525</v>
      </c>
    </row>
    <row r="86" spans="1:7" x14ac:dyDescent="0.3">
      <c r="A86">
        <v>0</v>
      </c>
      <c r="B86" t="s">
        <v>319</v>
      </c>
      <c r="C86" t="s">
        <v>363</v>
      </c>
      <c r="D86" t="s">
        <v>2</v>
      </c>
      <c r="E86" t="s">
        <v>363</v>
      </c>
      <c r="F86" t="s">
        <v>13</v>
      </c>
      <c r="G86" t="s">
        <v>525</v>
      </c>
    </row>
    <row r="87" spans="1:7" x14ac:dyDescent="0.3">
      <c r="A87">
        <v>0</v>
      </c>
      <c r="B87" t="s">
        <v>312</v>
      </c>
      <c r="C87" t="s">
        <v>382</v>
      </c>
      <c r="D87" t="s">
        <v>2</v>
      </c>
      <c r="E87" t="s">
        <v>382</v>
      </c>
      <c r="F87" t="s">
        <v>13</v>
      </c>
      <c r="G87" t="s">
        <v>525</v>
      </c>
    </row>
    <row r="88" spans="1:7" x14ac:dyDescent="0.3">
      <c r="A88">
        <v>0</v>
      </c>
      <c r="B88" t="s">
        <v>312</v>
      </c>
      <c r="C88" t="s">
        <v>424</v>
      </c>
      <c r="D88" t="s">
        <v>2</v>
      </c>
      <c r="E88" t="s">
        <v>424</v>
      </c>
      <c r="F88" t="s">
        <v>13</v>
      </c>
      <c r="G88" t="s">
        <v>525</v>
      </c>
    </row>
    <row r="89" spans="1:7" x14ac:dyDescent="0.3">
      <c r="A89">
        <v>0</v>
      </c>
      <c r="B89" t="s">
        <v>314</v>
      </c>
      <c r="C89" t="s">
        <v>351</v>
      </c>
      <c r="D89" t="s">
        <v>2</v>
      </c>
      <c r="E89" t="s">
        <v>351</v>
      </c>
      <c r="F89" t="s">
        <v>13</v>
      </c>
      <c r="G89" t="s">
        <v>525</v>
      </c>
    </row>
    <row r="90" spans="1:7" x14ac:dyDescent="0.3">
      <c r="A90">
        <v>0</v>
      </c>
      <c r="B90" t="s">
        <v>312</v>
      </c>
      <c r="C90" t="s">
        <v>347</v>
      </c>
      <c r="D90" t="s">
        <v>2</v>
      </c>
      <c r="E90" t="s">
        <v>347</v>
      </c>
      <c r="F90" t="s">
        <v>13</v>
      </c>
      <c r="G90" t="s">
        <v>525</v>
      </c>
    </row>
    <row r="91" spans="1:7" x14ac:dyDescent="0.3">
      <c r="A91">
        <v>0</v>
      </c>
      <c r="B91" t="s">
        <v>314</v>
      </c>
      <c r="C91" t="s">
        <v>453</v>
      </c>
      <c r="D91" t="s">
        <v>2</v>
      </c>
      <c r="E91" t="s">
        <v>453</v>
      </c>
      <c r="F91" t="s">
        <v>13</v>
      </c>
      <c r="G91" t="s">
        <v>525</v>
      </c>
    </row>
    <row r="92" spans="1:7" x14ac:dyDescent="0.3">
      <c r="A92">
        <v>0</v>
      </c>
      <c r="B92" t="s">
        <v>319</v>
      </c>
      <c r="C92" t="s">
        <v>457</v>
      </c>
      <c r="D92" t="s">
        <v>2</v>
      </c>
      <c r="E92" t="s">
        <v>457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485</v>
      </c>
      <c r="D93" t="s">
        <v>2</v>
      </c>
      <c r="E93" t="s">
        <v>485</v>
      </c>
      <c r="F93" t="s">
        <v>13</v>
      </c>
      <c r="G93" t="s">
        <v>525</v>
      </c>
    </row>
    <row r="94" spans="1:7" x14ac:dyDescent="0.3">
      <c r="A94">
        <v>0</v>
      </c>
      <c r="B94" t="s">
        <v>312</v>
      </c>
      <c r="C94" t="s">
        <v>355</v>
      </c>
      <c r="D94" t="s">
        <v>2</v>
      </c>
      <c r="E94" t="s">
        <v>355</v>
      </c>
      <c r="F94" t="s">
        <v>13</v>
      </c>
      <c r="G94" t="s">
        <v>525</v>
      </c>
    </row>
    <row r="95" spans="1:7" x14ac:dyDescent="0.3">
      <c r="A95">
        <v>0</v>
      </c>
      <c r="B95" t="s">
        <v>312</v>
      </c>
      <c r="C95" t="s">
        <v>338</v>
      </c>
      <c r="D95" t="s">
        <v>2</v>
      </c>
      <c r="E95" t="s">
        <v>338</v>
      </c>
      <c r="F95" t="s">
        <v>13</v>
      </c>
      <c r="G95" t="s">
        <v>525</v>
      </c>
    </row>
    <row r="96" spans="1:7" x14ac:dyDescent="0.3">
      <c r="A96">
        <v>0</v>
      </c>
      <c r="B96" t="s">
        <v>312</v>
      </c>
      <c r="C96" t="s">
        <v>394</v>
      </c>
      <c r="D96" t="s">
        <v>2</v>
      </c>
      <c r="E96" t="s">
        <v>394</v>
      </c>
      <c r="F96" t="s">
        <v>13</v>
      </c>
      <c r="G96" t="s">
        <v>525</v>
      </c>
    </row>
    <row r="97" spans="1:7" x14ac:dyDescent="0.3">
      <c r="A97">
        <v>0</v>
      </c>
      <c r="B97" t="s">
        <v>312</v>
      </c>
      <c r="C97" t="s">
        <v>438</v>
      </c>
      <c r="D97" t="s">
        <v>2</v>
      </c>
      <c r="E97" t="s">
        <v>438</v>
      </c>
      <c r="F97" t="s">
        <v>13</v>
      </c>
      <c r="G97" t="s">
        <v>525</v>
      </c>
    </row>
    <row r="98" spans="1:7" x14ac:dyDescent="0.3">
      <c r="A98">
        <v>0</v>
      </c>
      <c r="B98" t="s">
        <v>312</v>
      </c>
      <c r="C98" t="s">
        <v>486</v>
      </c>
      <c r="D98" t="s">
        <v>2</v>
      </c>
      <c r="E98" t="s">
        <v>486</v>
      </c>
      <c r="F98" t="s">
        <v>13</v>
      </c>
      <c r="G98" t="s">
        <v>525</v>
      </c>
    </row>
    <row r="99" spans="1:7" x14ac:dyDescent="0.3">
      <c r="A99">
        <v>0</v>
      </c>
      <c r="B99" t="s">
        <v>319</v>
      </c>
      <c r="C99" t="s">
        <v>419</v>
      </c>
      <c r="D99" t="s">
        <v>2</v>
      </c>
      <c r="E99" t="s">
        <v>419</v>
      </c>
      <c r="F99" t="s">
        <v>13</v>
      </c>
      <c r="G99" t="s">
        <v>525</v>
      </c>
    </row>
    <row r="100" spans="1:7" x14ac:dyDescent="0.3">
      <c r="A100">
        <v>0</v>
      </c>
      <c r="B100" t="s">
        <v>57</v>
      </c>
      <c r="C100" t="s">
        <v>353</v>
      </c>
      <c r="D100" t="s">
        <v>2</v>
      </c>
      <c r="E100" t="s">
        <v>353</v>
      </c>
      <c r="F100" t="s">
        <v>13</v>
      </c>
      <c r="G100" t="s">
        <v>525</v>
      </c>
    </row>
    <row r="101" spans="1:7" x14ac:dyDescent="0.3">
      <c r="A101">
        <v>0</v>
      </c>
      <c r="B101" t="s">
        <v>319</v>
      </c>
      <c r="C101" t="s">
        <v>489</v>
      </c>
      <c r="D101" t="s">
        <v>2</v>
      </c>
      <c r="E101" t="s">
        <v>489</v>
      </c>
      <c r="F101" t="s">
        <v>13</v>
      </c>
      <c r="G101" t="s">
        <v>525</v>
      </c>
    </row>
    <row r="102" spans="1:7" x14ac:dyDescent="0.3">
      <c r="A102">
        <v>0</v>
      </c>
      <c r="B102" t="s">
        <v>312</v>
      </c>
      <c r="C102" t="s">
        <v>386</v>
      </c>
      <c r="D102" t="s">
        <v>2</v>
      </c>
      <c r="E102" t="s">
        <v>386</v>
      </c>
      <c r="F102" t="s">
        <v>13</v>
      </c>
      <c r="G102" t="s">
        <v>525</v>
      </c>
    </row>
    <row r="103" spans="1:7" x14ac:dyDescent="0.3">
      <c r="A103">
        <v>0</v>
      </c>
      <c r="B103" t="s">
        <v>319</v>
      </c>
      <c r="C103" t="s">
        <v>389</v>
      </c>
      <c r="D103" t="s">
        <v>2</v>
      </c>
      <c r="E103" t="s">
        <v>389</v>
      </c>
      <c r="F103" t="s">
        <v>13</v>
      </c>
      <c r="G103" t="s">
        <v>525</v>
      </c>
    </row>
    <row r="104" spans="1:7" x14ac:dyDescent="0.3">
      <c r="A104">
        <v>0</v>
      </c>
      <c r="B104" t="s">
        <v>312</v>
      </c>
      <c r="C104" t="s">
        <v>340</v>
      </c>
      <c r="D104" t="s">
        <v>2</v>
      </c>
      <c r="E104" t="s">
        <v>340</v>
      </c>
      <c r="F104" t="s">
        <v>13</v>
      </c>
      <c r="G104" t="s">
        <v>525</v>
      </c>
    </row>
    <row r="105" spans="1:7" x14ac:dyDescent="0.3">
      <c r="A105">
        <v>0</v>
      </c>
      <c r="B105" t="s">
        <v>312</v>
      </c>
      <c r="C105" t="s">
        <v>368</v>
      </c>
      <c r="D105" t="s">
        <v>2</v>
      </c>
      <c r="E105" t="s">
        <v>368</v>
      </c>
      <c r="F105" t="s">
        <v>13</v>
      </c>
      <c r="G105" t="s">
        <v>525</v>
      </c>
    </row>
    <row r="106" spans="1:7" x14ac:dyDescent="0.3">
      <c r="A106">
        <v>0</v>
      </c>
      <c r="B106" t="s">
        <v>312</v>
      </c>
      <c r="C106" t="s">
        <v>328</v>
      </c>
      <c r="D106" t="s">
        <v>2</v>
      </c>
      <c r="E106" t="s">
        <v>328</v>
      </c>
      <c r="F106" t="s">
        <v>13</v>
      </c>
      <c r="G106" t="s">
        <v>525</v>
      </c>
    </row>
    <row r="107" spans="1:7" x14ac:dyDescent="0.3">
      <c r="A107">
        <v>0</v>
      </c>
      <c r="B107" t="s">
        <v>312</v>
      </c>
      <c r="C107" t="s">
        <v>479</v>
      </c>
      <c r="D107" t="s">
        <v>2</v>
      </c>
      <c r="E107" t="s">
        <v>479</v>
      </c>
      <c r="F107" t="s">
        <v>13</v>
      </c>
      <c r="G107" t="s">
        <v>525</v>
      </c>
    </row>
    <row r="108" spans="1:7" x14ac:dyDescent="0.3">
      <c r="A108">
        <v>0</v>
      </c>
      <c r="B108" t="s">
        <v>57</v>
      </c>
      <c r="C108" t="s">
        <v>116</v>
      </c>
      <c r="D108" t="s">
        <v>2</v>
      </c>
      <c r="E108" t="s">
        <v>116</v>
      </c>
      <c r="F108" t="s">
        <v>13</v>
      </c>
      <c r="G108" t="s">
        <v>525</v>
      </c>
    </row>
    <row r="109" spans="1:7" x14ac:dyDescent="0.3">
      <c r="A109">
        <v>0</v>
      </c>
      <c r="B109" t="s">
        <v>312</v>
      </c>
      <c r="C109" t="s">
        <v>352</v>
      </c>
      <c r="D109" t="s">
        <v>2</v>
      </c>
      <c r="E109" t="s">
        <v>352</v>
      </c>
      <c r="F109" t="s">
        <v>13</v>
      </c>
      <c r="G109" t="s">
        <v>525</v>
      </c>
    </row>
    <row r="110" spans="1:7" x14ac:dyDescent="0.3">
      <c r="A110">
        <v>0</v>
      </c>
      <c r="B110" t="s">
        <v>312</v>
      </c>
      <c r="C110" t="s">
        <v>417</v>
      </c>
      <c r="D110" t="s">
        <v>2</v>
      </c>
      <c r="E110" t="s">
        <v>417</v>
      </c>
      <c r="F110" t="s">
        <v>13</v>
      </c>
      <c r="G110" t="s">
        <v>525</v>
      </c>
    </row>
    <row r="111" spans="1:7" x14ac:dyDescent="0.3">
      <c r="A111">
        <v>0</v>
      </c>
      <c r="B111" t="s">
        <v>312</v>
      </c>
      <c r="C111" t="s">
        <v>447</v>
      </c>
      <c r="D111" t="s">
        <v>2</v>
      </c>
      <c r="E111" t="s">
        <v>447</v>
      </c>
      <c r="F111" t="s">
        <v>13</v>
      </c>
      <c r="G111" t="s">
        <v>525</v>
      </c>
    </row>
    <row r="112" spans="1:7" x14ac:dyDescent="0.3">
      <c r="A112">
        <v>0</v>
      </c>
      <c r="B112" t="s">
        <v>319</v>
      </c>
      <c r="C112" t="s">
        <v>329</v>
      </c>
      <c r="D112" t="s">
        <v>2</v>
      </c>
      <c r="E112" t="s">
        <v>329</v>
      </c>
      <c r="F112" t="s">
        <v>13</v>
      </c>
      <c r="G112" t="s">
        <v>525</v>
      </c>
    </row>
    <row r="113" spans="1:7" x14ac:dyDescent="0.3">
      <c r="A113">
        <v>0</v>
      </c>
      <c r="B113" t="s">
        <v>312</v>
      </c>
      <c r="C113" t="s">
        <v>252</v>
      </c>
      <c r="D113" t="s">
        <v>2</v>
      </c>
      <c r="E113" t="s">
        <v>252</v>
      </c>
      <c r="F113" t="s">
        <v>13</v>
      </c>
      <c r="G113" t="s">
        <v>525</v>
      </c>
    </row>
    <row r="114" spans="1:7" x14ac:dyDescent="0.3">
      <c r="A114">
        <v>0</v>
      </c>
      <c r="B114" t="s">
        <v>312</v>
      </c>
      <c r="C114" t="s">
        <v>317</v>
      </c>
      <c r="D114" t="s">
        <v>2</v>
      </c>
      <c r="E114" t="s">
        <v>317</v>
      </c>
      <c r="F114" t="s">
        <v>13</v>
      </c>
      <c r="G114" t="s">
        <v>525</v>
      </c>
    </row>
    <row r="115" spans="1:7" x14ac:dyDescent="0.3">
      <c r="A115">
        <v>0</v>
      </c>
      <c r="B115" t="s">
        <v>312</v>
      </c>
      <c r="C115" t="s">
        <v>436</v>
      </c>
      <c r="D115" t="s">
        <v>2</v>
      </c>
      <c r="E115" t="s">
        <v>436</v>
      </c>
      <c r="F115" t="s">
        <v>13</v>
      </c>
      <c r="G115" t="s">
        <v>525</v>
      </c>
    </row>
    <row r="116" spans="1:7" x14ac:dyDescent="0.3">
      <c r="A116">
        <v>0</v>
      </c>
      <c r="B116" t="s">
        <v>319</v>
      </c>
      <c r="C116" t="s">
        <v>490</v>
      </c>
      <c r="D116" t="s">
        <v>2</v>
      </c>
      <c r="E116" t="s">
        <v>490</v>
      </c>
      <c r="F116" t="s">
        <v>13</v>
      </c>
      <c r="G116" t="s">
        <v>525</v>
      </c>
    </row>
    <row r="117" spans="1:7" x14ac:dyDescent="0.3">
      <c r="A117">
        <v>0</v>
      </c>
      <c r="B117" t="s">
        <v>312</v>
      </c>
      <c r="C117" t="s">
        <v>391</v>
      </c>
      <c r="D117" t="s">
        <v>2</v>
      </c>
      <c r="E117" t="s">
        <v>391</v>
      </c>
      <c r="F117" t="s">
        <v>13</v>
      </c>
      <c r="G117" t="s">
        <v>525</v>
      </c>
    </row>
    <row r="118" spans="1:7" x14ac:dyDescent="0.3">
      <c r="A118">
        <v>0</v>
      </c>
      <c r="B118" t="s">
        <v>312</v>
      </c>
      <c r="C118" t="s">
        <v>235</v>
      </c>
      <c r="D118" t="s">
        <v>2</v>
      </c>
      <c r="E118" t="s">
        <v>235</v>
      </c>
      <c r="F118" t="s">
        <v>13</v>
      </c>
      <c r="G118" t="s">
        <v>525</v>
      </c>
    </row>
    <row r="119" spans="1:7" x14ac:dyDescent="0.3">
      <c r="A119">
        <v>0</v>
      </c>
      <c r="B119" t="s">
        <v>312</v>
      </c>
      <c r="C119" t="s">
        <v>493</v>
      </c>
      <c r="D119" t="s">
        <v>2</v>
      </c>
      <c r="E119" t="s">
        <v>493</v>
      </c>
      <c r="F119" t="s">
        <v>13</v>
      </c>
      <c r="G119" t="s">
        <v>525</v>
      </c>
    </row>
    <row r="120" spans="1:7" x14ac:dyDescent="0.3">
      <c r="A120">
        <v>0</v>
      </c>
      <c r="B120" t="s">
        <v>312</v>
      </c>
      <c r="C120" t="s">
        <v>335</v>
      </c>
      <c r="D120" t="s">
        <v>2</v>
      </c>
      <c r="E120" t="s">
        <v>335</v>
      </c>
      <c r="F120" t="s">
        <v>13</v>
      </c>
      <c r="G120" t="s">
        <v>525</v>
      </c>
    </row>
    <row r="121" spans="1:7" x14ac:dyDescent="0.3">
      <c r="A121">
        <v>0</v>
      </c>
      <c r="B121" t="s">
        <v>312</v>
      </c>
      <c r="C121" t="s">
        <v>354</v>
      </c>
      <c r="D121" t="s">
        <v>2</v>
      </c>
      <c r="E121" t="s">
        <v>354</v>
      </c>
      <c r="F121" t="s">
        <v>13</v>
      </c>
      <c r="G121" t="s">
        <v>525</v>
      </c>
    </row>
    <row r="122" spans="1:7" x14ac:dyDescent="0.3">
      <c r="A122">
        <v>0</v>
      </c>
      <c r="B122" t="s">
        <v>319</v>
      </c>
      <c r="C122" t="s">
        <v>360</v>
      </c>
      <c r="D122" t="s">
        <v>2</v>
      </c>
      <c r="E122" t="s">
        <v>360</v>
      </c>
      <c r="F122" t="s">
        <v>13</v>
      </c>
      <c r="G122" t="s">
        <v>525</v>
      </c>
    </row>
    <row r="123" spans="1:7" x14ac:dyDescent="0.3">
      <c r="A123">
        <v>0</v>
      </c>
      <c r="B123" t="s">
        <v>314</v>
      </c>
      <c r="C123" t="s">
        <v>356</v>
      </c>
      <c r="D123" t="s">
        <v>2</v>
      </c>
      <c r="E123" t="s">
        <v>356</v>
      </c>
      <c r="F123" t="s">
        <v>13</v>
      </c>
      <c r="G123" t="s">
        <v>525</v>
      </c>
    </row>
    <row r="124" spans="1:7" x14ac:dyDescent="0.3">
      <c r="A124">
        <v>0</v>
      </c>
      <c r="B124" t="s">
        <v>312</v>
      </c>
      <c r="C124" t="s">
        <v>405</v>
      </c>
      <c r="D124" t="s">
        <v>2</v>
      </c>
      <c r="E124" t="s">
        <v>405</v>
      </c>
      <c r="F124" t="s">
        <v>13</v>
      </c>
      <c r="G124" t="s">
        <v>525</v>
      </c>
    </row>
    <row r="125" spans="1:7" x14ac:dyDescent="0.3">
      <c r="A125">
        <v>0</v>
      </c>
      <c r="B125" t="s">
        <v>312</v>
      </c>
      <c r="C125" t="s">
        <v>471</v>
      </c>
      <c r="D125" t="s">
        <v>2</v>
      </c>
      <c r="E125" t="s">
        <v>471</v>
      </c>
      <c r="F125" t="s">
        <v>13</v>
      </c>
      <c r="G125" t="s">
        <v>525</v>
      </c>
    </row>
    <row r="126" spans="1:7" x14ac:dyDescent="0.3">
      <c r="A126">
        <v>0</v>
      </c>
      <c r="B126" t="s">
        <v>319</v>
      </c>
      <c r="C126" t="s">
        <v>421</v>
      </c>
      <c r="D126" t="s">
        <v>2</v>
      </c>
      <c r="E126" t="s">
        <v>421</v>
      </c>
      <c r="F126" t="s">
        <v>13</v>
      </c>
      <c r="G126" t="s">
        <v>525</v>
      </c>
    </row>
    <row r="127" spans="1:7" x14ac:dyDescent="0.3">
      <c r="A127">
        <v>0</v>
      </c>
      <c r="B127" t="s">
        <v>312</v>
      </c>
      <c r="C127" t="s">
        <v>321</v>
      </c>
      <c r="D127" t="s">
        <v>2</v>
      </c>
      <c r="E127" t="s">
        <v>321</v>
      </c>
      <c r="F127" t="s">
        <v>13</v>
      </c>
      <c r="G127" t="s">
        <v>525</v>
      </c>
    </row>
    <row r="128" spans="1:7" x14ac:dyDescent="0.3">
      <c r="A128">
        <v>0</v>
      </c>
      <c r="B128" t="s">
        <v>105</v>
      </c>
      <c r="C128" t="s">
        <v>113</v>
      </c>
      <c r="D128" t="s">
        <v>2</v>
      </c>
      <c r="E128" t="s">
        <v>113</v>
      </c>
      <c r="F128" t="s">
        <v>13</v>
      </c>
      <c r="G128" t="s">
        <v>525</v>
      </c>
    </row>
    <row r="129" spans="1:7" x14ac:dyDescent="0.3">
      <c r="A129">
        <v>0</v>
      </c>
      <c r="B129" t="s">
        <v>312</v>
      </c>
      <c r="C129" t="s">
        <v>348</v>
      </c>
      <c r="D129" t="s">
        <v>2</v>
      </c>
      <c r="E129" t="s">
        <v>348</v>
      </c>
      <c r="F129" t="s">
        <v>13</v>
      </c>
      <c r="G129" t="s">
        <v>525</v>
      </c>
    </row>
    <row r="130" spans="1:7" x14ac:dyDescent="0.3">
      <c r="A130">
        <v>0</v>
      </c>
      <c r="B130" t="s">
        <v>105</v>
      </c>
      <c r="C130" t="s">
        <v>469</v>
      </c>
      <c r="D130" t="s">
        <v>2</v>
      </c>
      <c r="E130" t="s">
        <v>469</v>
      </c>
      <c r="F130" t="s">
        <v>13</v>
      </c>
      <c r="G130" t="s">
        <v>525</v>
      </c>
    </row>
    <row r="131" spans="1:7" x14ac:dyDescent="0.3">
      <c r="A131">
        <v>0</v>
      </c>
      <c r="B131" t="s">
        <v>314</v>
      </c>
      <c r="C131" t="s">
        <v>481</v>
      </c>
      <c r="D131" t="s">
        <v>2</v>
      </c>
      <c r="E131" t="s">
        <v>481</v>
      </c>
      <c r="F131" t="s">
        <v>13</v>
      </c>
      <c r="G131" t="s">
        <v>525</v>
      </c>
    </row>
    <row r="132" spans="1:7" x14ac:dyDescent="0.3">
      <c r="A132">
        <v>0</v>
      </c>
      <c r="B132" t="s">
        <v>312</v>
      </c>
      <c r="C132" t="s">
        <v>398</v>
      </c>
      <c r="D132" t="s">
        <v>2</v>
      </c>
      <c r="E132" t="s">
        <v>398</v>
      </c>
      <c r="F132" t="s">
        <v>13</v>
      </c>
      <c r="G132" t="s">
        <v>525</v>
      </c>
    </row>
    <row r="133" spans="1:7" x14ac:dyDescent="0.3">
      <c r="A133">
        <v>0</v>
      </c>
      <c r="B133" t="s">
        <v>314</v>
      </c>
      <c r="C133" t="s">
        <v>342</v>
      </c>
      <c r="D133" t="s">
        <v>2</v>
      </c>
      <c r="E133" t="s">
        <v>342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322</v>
      </c>
      <c r="D134" t="s">
        <v>2</v>
      </c>
      <c r="E134" t="s">
        <v>322</v>
      </c>
      <c r="F134" t="s">
        <v>13</v>
      </c>
      <c r="G134" t="s">
        <v>525</v>
      </c>
    </row>
    <row r="135" spans="1:7" x14ac:dyDescent="0.3">
      <c r="A135">
        <v>0</v>
      </c>
      <c r="B135" t="s">
        <v>314</v>
      </c>
      <c r="C135" t="s">
        <v>409</v>
      </c>
      <c r="D135" t="s">
        <v>2</v>
      </c>
      <c r="E135" t="s">
        <v>409</v>
      </c>
      <c r="F135" t="s">
        <v>13</v>
      </c>
      <c r="G135" t="s">
        <v>525</v>
      </c>
    </row>
    <row r="136" spans="1:7" x14ac:dyDescent="0.3">
      <c r="A136">
        <v>0</v>
      </c>
      <c r="B136" t="s">
        <v>314</v>
      </c>
      <c r="C136" t="s">
        <v>480</v>
      </c>
      <c r="D136" t="s">
        <v>2</v>
      </c>
      <c r="E136" t="s">
        <v>480</v>
      </c>
      <c r="F136" t="s">
        <v>13</v>
      </c>
      <c r="G136" t="s">
        <v>525</v>
      </c>
    </row>
    <row r="137" spans="1:7" x14ac:dyDescent="0.3">
      <c r="A137">
        <v>0</v>
      </c>
      <c r="B137" t="s">
        <v>105</v>
      </c>
      <c r="C137" t="s">
        <v>121</v>
      </c>
      <c r="D137" t="s">
        <v>2</v>
      </c>
      <c r="E137" t="s">
        <v>121</v>
      </c>
      <c r="F137" t="s">
        <v>13</v>
      </c>
      <c r="G137" t="s">
        <v>525</v>
      </c>
    </row>
    <row r="138" spans="1:7" x14ac:dyDescent="0.3">
      <c r="A138">
        <v>0</v>
      </c>
      <c r="B138" t="s">
        <v>312</v>
      </c>
      <c r="C138" t="s">
        <v>359</v>
      </c>
      <c r="D138" t="s">
        <v>2</v>
      </c>
      <c r="E138" t="s">
        <v>359</v>
      </c>
      <c r="F138" t="s">
        <v>13</v>
      </c>
      <c r="G138" t="s">
        <v>525</v>
      </c>
    </row>
    <row r="139" spans="1:7" x14ac:dyDescent="0.3">
      <c r="A139">
        <v>0</v>
      </c>
      <c r="B139" t="s">
        <v>319</v>
      </c>
      <c r="C139" t="s">
        <v>468</v>
      </c>
      <c r="D139" t="s">
        <v>2</v>
      </c>
      <c r="E139" t="s">
        <v>468</v>
      </c>
      <c r="F139" t="s">
        <v>13</v>
      </c>
      <c r="G139" t="s">
        <v>525</v>
      </c>
    </row>
    <row r="140" spans="1:7" x14ac:dyDescent="0.3">
      <c r="A140">
        <v>0</v>
      </c>
      <c r="B140" t="s">
        <v>319</v>
      </c>
      <c r="C140" t="s">
        <v>458</v>
      </c>
      <c r="D140" t="s">
        <v>2</v>
      </c>
      <c r="E140" t="s">
        <v>458</v>
      </c>
      <c r="F140" t="s">
        <v>13</v>
      </c>
      <c r="G140" t="s">
        <v>525</v>
      </c>
    </row>
    <row r="141" spans="1:7" x14ac:dyDescent="0.3">
      <c r="A141">
        <v>0</v>
      </c>
      <c r="B141" t="s">
        <v>312</v>
      </c>
      <c r="C141" t="s">
        <v>370</v>
      </c>
      <c r="D141" t="s">
        <v>2</v>
      </c>
      <c r="E141" t="s">
        <v>370</v>
      </c>
      <c r="F141" t="s">
        <v>13</v>
      </c>
      <c r="G141" t="s">
        <v>525</v>
      </c>
    </row>
    <row r="142" spans="1:7" x14ac:dyDescent="0.3">
      <c r="A142">
        <v>0</v>
      </c>
      <c r="B142" t="s">
        <v>57</v>
      </c>
      <c r="C142" t="s">
        <v>114</v>
      </c>
      <c r="D142" t="s">
        <v>2</v>
      </c>
      <c r="E142" t="s">
        <v>114</v>
      </c>
      <c r="F142" t="s">
        <v>13</v>
      </c>
      <c r="G142" t="s">
        <v>525</v>
      </c>
    </row>
    <row r="143" spans="1:7" x14ac:dyDescent="0.3">
      <c r="A143">
        <v>0</v>
      </c>
      <c r="B143" t="s">
        <v>319</v>
      </c>
      <c r="C143" t="s">
        <v>404</v>
      </c>
      <c r="D143" t="s">
        <v>2</v>
      </c>
      <c r="E143" t="s">
        <v>404</v>
      </c>
      <c r="F143" t="s">
        <v>13</v>
      </c>
      <c r="G143" t="s">
        <v>525</v>
      </c>
    </row>
    <row r="144" spans="1:7" x14ac:dyDescent="0.3">
      <c r="A144">
        <v>0</v>
      </c>
      <c r="B144" t="s">
        <v>312</v>
      </c>
      <c r="C144" t="s">
        <v>369</v>
      </c>
      <c r="D144" t="s">
        <v>2</v>
      </c>
      <c r="E144" t="s">
        <v>369</v>
      </c>
      <c r="F144" t="s">
        <v>13</v>
      </c>
      <c r="G144" t="s">
        <v>525</v>
      </c>
    </row>
    <row r="145" spans="1:7" x14ac:dyDescent="0.3">
      <c r="A145">
        <v>0</v>
      </c>
      <c r="B145" t="s">
        <v>57</v>
      </c>
      <c r="C145" t="s">
        <v>122</v>
      </c>
      <c r="D145" t="s">
        <v>2</v>
      </c>
      <c r="E145" t="s">
        <v>122</v>
      </c>
      <c r="F145" t="s">
        <v>13</v>
      </c>
      <c r="G145" t="s">
        <v>525</v>
      </c>
    </row>
    <row r="146" spans="1:7" x14ac:dyDescent="0.3">
      <c r="A146">
        <v>0</v>
      </c>
      <c r="B146" t="s">
        <v>319</v>
      </c>
      <c r="C146" t="s">
        <v>390</v>
      </c>
      <c r="D146" t="s">
        <v>2</v>
      </c>
      <c r="E146" t="s">
        <v>390</v>
      </c>
      <c r="F146" t="s">
        <v>13</v>
      </c>
      <c r="G146" t="s">
        <v>525</v>
      </c>
    </row>
    <row r="147" spans="1:7" x14ac:dyDescent="0.3">
      <c r="A147">
        <v>0</v>
      </c>
      <c r="B147" t="s">
        <v>312</v>
      </c>
      <c r="C147" t="s">
        <v>492</v>
      </c>
      <c r="D147" t="s">
        <v>2</v>
      </c>
      <c r="E147" t="s">
        <v>492</v>
      </c>
      <c r="F147" t="s">
        <v>13</v>
      </c>
      <c r="G147" t="s">
        <v>525</v>
      </c>
    </row>
    <row r="148" spans="1:7" x14ac:dyDescent="0.3">
      <c r="A148">
        <v>0</v>
      </c>
      <c r="B148" t="s">
        <v>312</v>
      </c>
      <c r="C148" t="s">
        <v>345</v>
      </c>
      <c r="D148" t="s">
        <v>2</v>
      </c>
      <c r="E148" t="s">
        <v>345</v>
      </c>
      <c r="F148" t="s">
        <v>13</v>
      </c>
      <c r="G148" t="s">
        <v>525</v>
      </c>
    </row>
    <row r="149" spans="1:7" x14ac:dyDescent="0.3">
      <c r="A149">
        <v>0</v>
      </c>
      <c r="B149" t="s">
        <v>314</v>
      </c>
      <c r="C149" t="s">
        <v>374</v>
      </c>
      <c r="D149" t="s">
        <v>2</v>
      </c>
      <c r="E149" t="s">
        <v>374</v>
      </c>
      <c r="F149" t="s">
        <v>13</v>
      </c>
      <c r="G149" t="s">
        <v>525</v>
      </c>
    </row>
    <row r="150" spans="1:7" x14ac:dyDescent="0.3">
      <c r="A150">
        <v>0</v>
      </c>
      <c r="B150" t="s">
        <v>105</v>
      </c>
      <c r="C150" t="s">
        <v>124</v>
      </c>
      <c r="D150" t="s">
        <v>2</v>
      </c>
      <c r="E150" t="s">
        <v>124</v>
      </c>
      <c r="F150" t="s">
        <v>13</v>
      </c>
      <c r="G150" t="s">
        <v>525</v>
      </c>
    </row>
    <row r="151" spans="1:7" x14ac:dyDescent="0.3">
      <c r="A151">
        <v>0</v>
      </c>
      <c r="B151" t="s">
        <v>312</v>
      </c>
      <c r="C151" t="s">
        <v>440</v>
      </c>
      <c r="D151" t="s">
        <v>2</v>
      </c>
      <c r="E151" t="s">
        <v>440</v>
      </c>
      <c r="F151" t="s">
        <v>13</v>
      </c>
      <c r="G151" t="s">
        <v>525</v>
      </c>
    </row>
    <row r="152" spans="1:7" x14ac:dyDescent="0.3">
      <c r="A152">
        <v>0</v>
      </c>
      <c r="B152" t="s">
        <v>312</v>
      </c>
      <c r="C152" t="s">
        <v>316</v>
      </c>
      <c r="D152" t="s">
        <v>2</v>
      </c>
      <c r="E152" t="s">
        <v>316</v>
      </c>
      <c r="F152" t="s">
        <v>13</v>
      </c>
      <c r="G152" t="s">
        <v>525</v>
      </c>
    </row>
    <row r="153" spans="1:7" x14ac:dyDescent="0.3">
      <c r="A153">
        <v>0</v>
      </c>
      <c r="B153" t="s">
        <v>312</v>
      </c>
      <c r="C153" t="s">
        <v>427</v>
      </c>
      <c r="D153" t="s">
        <v>2</v>
      </c>
      <c r="E153" t="s">
        <v>427</v>
      </c>
      <c r="F153" t="s">
        <v>13</v>
      </c>
      <c r="G153" t="s">
        <v>525</v>
      </c>
    </row>
    <row r="154" spans="1:7" x14ac:dyDescent="0.3">
      <c r="A154">
        <v>0</v>
      </c>
      <c r="B154" t="s">
        <v>312</v>
      </c>
      <c r="C154" t="s">
        <v>332</v>
      </c>
      <c r="D154" t="s">
        <v>2</v>
      </c>
      <c r="E154" t="s">
        <v>332</v>
      </c>
      <c r="F154" t="s">
        <v>13</v>
      </c>
      <c r="G154" t="s">
        <v>525</v>
      </c>
    </row>
    <row r="155" spans="1:7" x14ac:dyDescent="0.3">
      <c r="A155">
        <v>0</v>
      </c>
      <c r="B155" t="s">
        <v>312</v>
      </c>
      <c r="C155" t="s">
        <v>336</v>
      </c>
      <c r="D155" t="s">
        <v>2</v>
      </c>
      <c r="E155" t="s">
        <v>336</v>
      </c>
      <c r="F155" t="s">
        <v>13</v>
      </c>
      <c r="G155" t="s">
        <v>525</v>
      </c>
    </row>
    <row r="156" spans="1:7" x14ac:dyDescent="0.3">
      <c r="A156">
        <v>0</v>
      </c>
      <c r="B156" t="s">
        <v>314</v>
      </c>
      <c r="C156" t="s">
        <v>393</v>
      </c>
      <c r="D156" t="s">
        <v>2</v>
      </c>
      <c r="E156" t="s">
        <v>393</v>
      </c>
      <c r="F156" t="s">
        <v>13</v>
      </c>
      <c r="G156" t="s">
        <v>525</v>
      </c>
    </row>
    <row r="157" spans="1:7" x14ac:dyDescent="0.3">
      <c r="A157">
        <v>0</v>
      </c>
      <c r="B157" t="s">
        <v>312</v>
      </c>
      <c r="C157" t="s">
        <v>339</v>
      </c>
      <c r="D157" t="s">
        <v>2</v>
      </c>
      <c r="E157" t="s">
        <v>339</v>
      </c>
      <c r="F157" t="s">
        <v>13</v>
      </c>
      <c r="G157" t="s">
        <v>525</v>
      </c>
    </row>
    <row r="158" spans="1:7" x14ac:dyDescent="0.3">
      <c r="A158">
        <v>0</v>
      </c>
      <c r="B158" t="s">
        <v>312</v>
      </c>
      <c r="C158" t="s">
        <v>400</v>
      </c>
      <c r="D158" t="s">
        <v>2</v>
      </c>
      <c r="E158" t="s">
        <v>400</v>
      </c>
      <c r="F158" t="s">
        <v>13</v>
      </c>
      <c r="G158" t="s">
        <v>525</v>
      </c>
    </row>
    <row r="159" spans="1:7" x14ac:dyDescent="0.3">
      <c r="A159">
        <v>0</v>
      </c>
      <c r="B159" t="s">
        <v>312</v>
      </c>
      <c r="C159" t="s">
        <v>380</v>
      </c>
      <c r="D159" t="s">
        <v>2</v>
      </c>
      <c r="E159" t="s">
        <v>380</v>
      </c>
      <c r="F159" t="s">
        <v>13</v>
      </c>
      <c r="G159" t="s">
        <v>525</v>
      </c>
    </row>
    <row r="160" spans="1:7" x14ac:dyDescent="0.3">
      <c r="A160">
        <v>0</v>
      </c>
      <c r="B160" t="s">
        <v>312</v>
      </c>
      <c r="C160" t="s">
        <v>442</v>
      </c>
      <c r="D160" t="s">
        <v>2</v>
      </c>
      <c r="E160" t="s">
        <v>442</v>
      </c>
      <c r="F160" t="s">
        <v>13</v>
      </c>
      <c r="G160" t="s">
        <v>525</v>
      </c>
    </row>
    <row r="161" spans="1:7" x14ac:dyDescent="0.3">
      <c r="A161">
        <v>0</v>
      </c>
      <c r="B161" t="s">
        <v>314</v>
      </c>
      <c r="C161" t="s">
        <v>349</v>
      </c>
      <c r="D161" t="s">
        <v>2</v>
      </c>
      <c r="E161" t="s">
        <v>349</v>
      </c>
      <c r="F161" t="s">
        <v>13</v>
      </c>
      <c r="G161" t="s">
        <v>525</v>
      </c>
    </row>
    <row r="162" spans="1:7" x14ac:dyDescent="0.3">
      <c r="A162">
        <v>0</v>
      </c>
      <c r="B162" t="s">
        <v>57</v>
      </c>
      <c r="C162" t="s">
        <v>470</v>
      </c>
      <c r="D162" t="s">
        <v>2</v>
      </c>
      <c r="E162" t="s">
        <v>470</v>
      </c>
      <c r="F162" t="s">
        <v>13</v>
      </c>
      <c r="G162" t="s">
        <v>525</v>
      </c>
    </row>
    <row r="163" spans="1:7" x14ac:dyDescent="0.3">
      <c r="A163">
        <v>0</v>
      </c>
      <c r="B163" t="s">
        <v>319</v>
      </c>
      <c r="C163" t="s">
        <v>463</v>
      </c>
      <c r="D163" t="s">
        <v>2</v>
      </c>
      <c r="E163" t="s">
        <v>463</v>
      </c>
      <c r="F163" t="s">
        <v>13</v>
      </c>
      <c r="G163" t="s">
        <v>525</v>
      </c>
    </row>
    <row r="164" spans="1:7" x14ac:dyDescent="0.3">
      <c r="A164">
        <v>0</v>
      </c>
      <c r="B164" t="s">
        <v>314</v>
      </c>
      <c r="C164" t="s">
        <v>343</v>
      </c>
      <c r="D164" t="s">
        <v>2</v>
      </c>
      <c r="E164" t="s">
        <v>343</v>
      </c>
      <c r="F164" t="s">
        <v>13</v>
      </c>
      <c r="G164" t="s">
        <v>525</v>
      </c>
    </row>
    <row r="165" spans="1:7" x14ac:dyDescent="0.3">
      <c r="A165">
        <v>0</v>
      </c>
      <c r="B165" t="s">
        <v>312</v>
      </c>
      <c r="C165" t="s">
        <v>371</v>
      </c>
      <c r="D165" t="s">
        <v>2</v>
      </c>
      <c r="E165" t="s">
        <v>371</v>
      </c>
      <c r="F165" t="s">
        <v>13</v>
      </c>
      <c r="G165" t="s">
        <v>525</v>
      </c>
    </row>
    <row r="166" spans="1:7" x14ac:dyDescent="0.3">
      <c r="A166">
        <v>0</v>
      </c>
      <c r="B166" t="s">
        <v>312</v>
      </c>
      <c r="C166" t="s">
        <v>366</v>
      </c>
      <c r="D166" t="s">
        <v>2</v>
      </c>
      <c r="E166" t="s">
        <v>366</v>
      </c>
      <c r="F166" t="s">
        <v>13</v>
      </c>
      <c r="G166" t="s">
        <v>525</v>
      </c>
    </row>
    <row r="167" spans="1:7" x14ac:dyDescent="0.3">
      <c r="A167">
        <v>0</v>
      </c>
      <c r="B167" t="s">
        <v>312</v>
      </c>
      <c r="C167" t="s">
        <v>384</v>
      </c>
      <c r="D167" t="s">
        <v>2</v>
      </c>
      <c r="E167" t="s">
        <v>384</v>
      </c>
      <c r="F167" t="s">
        <v>13</v>
      </c>
      <c r="G167" t="s">
        <v>525</v>
      </c>
    </row>
    <row r="168" spans="1:7" x14ac:dyDescent="0.3">
      <c r="A168">
        <v>0</v>
      </c>
      <c r="B168" t="s">
        <v>319</v>
      </c>
      <c r="C168" t="s">
        <v>464</v>
      </c>
      <c r="D168" t="s">
        <v>2</v>
      </c>
      <c r="E168" t="s">
        <v>464</v>
      </c>
      <c r="F168" t="s">
        <v>13</v>
      </c>
      <c r="G168" t="s">
        <v>525</v>
      </c>
    </row>
    <row r="169" spans="1:7" x14ac:dyDescent="0.3">
      <c r="A169">
        <v>0</v>
      </c>
      <c r="B169" t="s">
        <v>312</v>
      </c>
      <c r="C169" t="s">
        <v>323</v>
      </c>
      <c r="D169" t="s">
        <v>2</v>
      </c>
      <c r="E169" t="s">
        <v>323</v>
      </c>
      <c r="F169" t="s">
        <v>13</v>
      </c>
      <c r="G169" t="s">
        <v>525</v>
      </c>
    </row>
    <row r="170" spans="1:7" x14ac:dyDescent="0.3">
      <c r="A170">
        <v>0</v>
      </c>
      <c r="B170" t="s">
        <v>314</v>
      </c>
      <c r="C170" t="s">
        <v>414</v>
      </c>
      <c r="D170" t="s">
        <v>2</v>
      </c>
      <c r="E170" t="s">
        <v>414</v>
      </c>
      <c r="F170" t="s">
        <v>13</v>
      </c>
      <c r="G170" t="s">
        <v>525</v>
      </c>
    </row>
    <row r="171" spans="1:7" x14ac:dyDescent="0.3">
      <c r="A171">
        <v>0</v>
      </c>
      <c r="B171" t="s">
        <v>312</v>
      </c>
      <c r="C171" t="s">
        <v>261</v>
      </c>
      <c r="D171" t="s">
        <v>2</v>
      </c>
      <c r="E171" t="s">
        <v>261</v>
      </c>
      <c r="F171" t="s">
        <v>13</v>
      </c>
      <c r="G171" t="s">
        <v>525</v>
      </c>
    </row>
    <row r="172" spans="1:7" x14ac:dyDescent="0.3">
      <c r="A172">
        <v>0</v>
      </c>
      <c r="B172" t="s">
        <v>319</v>
      </c>
      <c r="C172" t="s">
        <v>364</v>
      </c>
      <c r="D172" t="s">
        <v>2</v>
      </c>
      <c r="E172" t="s">
        <v>364</v>
      </c>
      <c r="F172" t="s">
        <v>13</v>
      </c>
      <c r="G172" t="s">
        <v>525</v>
      </c>
    </row>
    <row r="173" spans="1:7" x14ac:dyDescent="0.3">
      <c r="A173">
        <v>0</v>
      </c>
      <c r="B173" t="s">
        <v>312</v>
      </c>
      <c r="C173" t="s">
        <v>373</v>
      </c>
      <c r="D173" t="s">
        <v>2</v>
      </c>
      <c r="E173" t="s">
        <v>373</v>
      </c>
      <c r="F173" t="s">
        <v>13</v>
      </c>
      <c r="G173" t="s">
        <v>525</v>
      </c>
    </row>
    <row r="174" spans="1:7" x14ac:dyDescent="0.3">
      <c r="A174">
        <v>0</v>
      </c>
      <c r="B174" t="s">
        <v>312</v>
      </c>
      <c r="C174" t="s">
        <v>482</v>
      </c>
      <c r="D174" t="s">
        <v>2</v>
      </c>
      <c r="E174" t="s">
        <v>482</v>
      </c>
      <c r="F174" t="s">
        <v>13</v>
      </c>
      <c r="G174" t="s">
        <v>525</v>
      </c>
    </row>
    <row r="175" spans="1:7" x14ac:dyDescent="0.3">
      <c r="A175">
        <v>0</v>
      </c>
      <c r="B175" t="s">
        <v>312</v>
      </c>
      <c r="C175" t="s">
        <v>412</v>
      </c>
      <c r="D175" t="s">
        <v>2</v>
      </c>
      <c r="E175" t="s">
        <v>412</v>
      </c>
      <c r="F175" t="s">
        <v>13</v>
      </c>
      <c r="G175" t="s">
        <v>525</v>
      </c>
    </row>
    <row r="176" spans="1:7" x14ac:dyDescent="0.3">
      <c r="A176">
        <v>0</v>
      </c>
      <c r="B176" t="s">
        <v>312</v>
      </c>
      <c r="C176" t="s">
        <v>434</v>
      </c>
      <c r="D176" t="s">
        <v>2</v>
      </c>
      <c r="E176" t="s">
        <v>434</v>
      </c>
      <c r="F176" t="s">
        <v>13</v>
      </c>
      <c r="G176" t="s">
        <v>525</v>
      </c>
    </row>
    <row r="177" spans="1:7" x14ac:dyDescent="0.3">
      <c r="A177">
        <v>0</v>
      </c>
      <c r="B177" t="s">
        <v>314</v>
      </c>
      <c r="C177" t="s">
        <v>443</v>
      </c>
      <c r="D177" t="s">
        <v>2</v>
      </c>
      <c r="E177" t="s">
        <v>443</v>
      </c>
      <c r="F177" t="s">
        <v>13</v>
      </c>
      <c r="G177" t="s">
        <v>525</v>
      </c>
    </row>
    <row r="178" spans="1:7" x14ac:dyDescent="0.3">
      <c r="A178">
        <v>0</v>
      </c>
      <c r="B178" t="s">
        <v>319</v>
      </c>
      <c r="C178" t="s">
        <v>430</v>
      </c>
      <c r="D178" t="s">
        <v>2</v>
      </c>
      <c r="E178" t="s">
        <v>430</v>
      </c>
      <c r="F178" t="s">
        <v>13</v>
      </c>
      <c r="G178" t="s">
        <v>525</v>
      </c>
    </row>
    <row r="179" spans="1:7" x14ac:dyDescent="0.3">
      <c r="A179">
        <v>0</v>
      </c>
      <c r="B179" t="s">
        <v>314</v>
      </c>
      <c r="C179" t="s">
        <v>408</v>
      </c>
      <c r="D179" t="s">
        <v>2</v>
      </c>
      <c r="E179" t="s">
        <v>408</v>
      </c>
      <c r="F179" t="s">
        <v>13</v>
      </c>
      <c r="G179" t="s">
        <v>525</v>
      </c>
    </row>
    <row r="180" spans="1:7" x14ac:dyDescent="0.3">
      <c r="A180">
        <v>0</v>
      </c>
      <c r="B180" t="s">
        <v>312</v>
      </c>
      <c r="C180" t="s">
        <v>138</v>
      </c>
      <c r="D180" t="s">
        <v>2</v>
      </c>
      <c r="E180" t="s">
        <v>138</v>
      </c>
      <c r="F180" t="s">
        <v>13</v>
      </c>
      <c r="G180" t="s">
        <v>525</v>
      </c>
    </row>
    <row r="181" spans="1:7" x14ac:dyDescent="0.3">
      <c r="A181">
        <v>0</v>
      </c>
      <c r="B181" t="s">
        <v>312</v>
      </c>
      <c r="C181" t="s">
        <v>275</v>
      </c>
      <c r="D181" t="s">
        <v>2</v>
      </c>
      <c r="E181" t="s">
        <v>275</v>
      </c>
      <c r="F181" t="s">
        <v>13</v>
      </c>
      <c r="G181" t="s">
        <v>525</v>
      </c>
    </row>
    <row r="182" spans="1:7" x14ac:dyDescent="0.3">
      <c r="A182">
        <v>0</v>
      </c>
      <c r="B182" t="s">
        <v>312</v>
      </c>
      <c r="C182" t="s">
        <v>337</v>
      </c>
      <c r="D182" t="s">
        <v>2</v>
      </c>
      <c r="E182" t="s">
        <v>337</v>
      </c>
      <c r="F182" t="s">
        <v>13</v>
      </c>
      <c r="G182" t="s">
        <v>525</v>
      </c>
    </row>
    <row r="183" spans="1:7" x14ac:dyDescent="0.3">
      <c r="A183">
        <v>0</v>
      </c>
      <c r="B183" t="s">
        <v>312</v>
      </c>
      <c r="C183" t="s">
        <v>331</v>
      </c>
      <c r="D183" t="s">
        <v>2</v>
      </c>
      <c r="E183" t="s">
        <v>331</v>
      </c>
      <c r="F183" t="s">
        <v>13</v>
      </c>
      <c r="G183" t="s">
        <v>525</v>
      </c>
    </row>
    <row r="184" spans="1:7" x14ac:dyDescent="0.3">
      <c r="A184">
        <v>0</v>
      </c>
      <c r="B184" t="s">
        <v>312</v>
      </c>
      <c r="C184" t="s">
        <v>452</v>
      </c>
      <c r="D184" t="s">
        <v>2</v>
      </c>
      <c r="E184" t="s">
        <v>452</v>
      </c>
      <c r="F184" t="s">
        <v>13</v>
      </c>
      <c r="G184" t="s">
        <v>525</v>
      </c>
    </row>
    <row r="185" spans="1:7" x14ac:dyDescent="0.3">
      <c r="A185">
        <v>0</v>
      </c>
      <c r="B185" t="s">
        <v>319</v>
      </c>
      <c r="C185" t="s">
        <v>477</v>
      </c>
      <c r="D185" t="s">
        <v>2</v>
      </c>
      <c r="E185" t="s">
        <v>477</v>
      </c>
      <c r="F185" t="s">
        <v>13</v>
      </c>
      <c r="G185" t="s">
        <v>525</v>
      </c>
    </row>
    <row r="186" spans="1:7" x14ac:dyDescent="0.3">
      <c r="A186">
        <v>0</v>
      </c>
      <c r="B186" t="s">
        <v>312</v>
      </c>
      <c r="C186" t="s">
        <v>446</v>
      </c>
      <c r="D186" t="s">
        <v>2</v>
      </c>
      <c r="E186" t="s">
        <v>446</v>
      </c>
      <c r="F186" t="s">
        <v>13</v>
      </c>
      <c r="G186" t="s">
        <v>525</v>
      </c>
    </row>
    <row r="187" spans="1:7" x14ac:dyDescent="0.3">
      <c r="A187">
        <v>0</v>
      </c>
      <c r="B187" t="s">
        <v>319</v>
      </c>
      <c r="C187" t="s">
        <v>491</v>
      </c>
      <c r="D187" t="s">
        <v>2</v>
      </c>
      <c r="E187" t="s">
        <v>491</v>
      </c>
      <c r="F187" t="s">
        <v>13</v>
      </c>
      <c r="G187" t="s">
        <v>525</v>
      </c>
    </row>
    <row r="188" spans="1:7" x14ac:dyDescent="0.3">
      <c r="A188">
        <v>0</v>
      </c>
      <c r="B188" t="s">
        <v>312</v>
      </c>
      <c r="C188" t="s">
        <v>326</v>
      </c>
      <c r="D188" t="s">
        <v>2</v>
      </c>
      <c r="E188" t="s">
        <v>326</v>
      </c>
      <c r="F188" t="s">
        <v>13</v>
      </c>
      <c r="G188" t="s">
        <v>525</v>
      </c>
    </row>
    <row r="189" spans="1:7" x14ac:dyDescent="0.3">
      <c r="A189">
        <v>0</v>
      </c>
      <c r="B189" t="s">
        <v>319</v>
      </c>
      <c r="C189" t="s">
        <v>415</v>
      </c>
      <c r="D189" t="s">
        <v>2</v>
      </c>
      <c r="E189" t="s">
        <v>415</v>
      </c>
      <c r="F189" t="s">
        <v>13</v>
      </c>
      <c r="G189" t="s">
        <v>525</v>
      </c>
    </row>
    <row r="190" spans="1:7" x14ac:dyDescent="0.3">
      <c r="A190">
        <v>0</v>
      </c>
      <c r="B190" t="s">
        <v>314</v>
      </c>
      <c r="C190" t="s">
        <v>451</v>
      </c>
      <c r="D190" t="s">
        <v>2</v>
      </c>
      <c r="E190" t="s">
        <v>451</v>
      </c>
      <c r="F190" t="s">
        <v>13</v>
      </c>
      <c r="G190" t="s">
        <v>525</v>
      </c>
    </row>
    <row r="191" spans="1:7" x14ac:dyDescent="0.3">
      <c r="A191">
        <v>0</v>
      </c>
      <c r="B191" t="s">
        <v>314</v>
      </c>
      <c r="C191" t="s">
        <v>448</v>
      </c>
      <c r="D191" t="s">
        <v>2</v>
      </c>
      <c r="E191" t="s">
        <v>448</v>
      </c>
      <c r="F191" t="s">
        <v>13</v>
      </c>
      <c r="G191" t="s">
        <v>525</v>
      </c>
    </row>
    <row r="192" spans="1:7" x14ac:dyDescent="0.3">
      <c r="A192">
        <v>0</v>
      </c>
      <c r="B192" t="s">
        <v>312</v>
      </c>
      <c r="C192" t="s">
        <v>423</v>
      </c>
      <c r="D192" t="s">
        <v>2</v>
      </c>
      <c r="E192" t="s">
        <v>423</v>
      </c>
      <c r="F192" t="s">
        <v>13</v>
      </c>
      <c r="G192" t="s">
        <v>525</v>
      </c>
    </row>
    <row r="193" spans="1:7" x14ac:dyDescent="0.3">
      <c r="A193">
        <v>0</v>
      </c>
      <c r="B193" t="s">
        <v>319</v>
      </c>
      <c r="C193" t="s">
        <v>361</v>
      </c>
      <c r="D193" t="s">
        <v>2</v>
      </c>
      <c r="E193" t="s">
        <v>361</v>
      </c>
      <c r="F193" t="s">
        <v>13</v>
      </c>
      <c r="G193" t="s">
        <v>525</v>
      </c>
    </row>
    <row r="194" spans="1:7" x14ac:dyDescent="0.3">
      <c r="A194">
        <v>0</v>
      </c>
      <c r="B194" t="s">
        <v>314</v>
      </c>
      <c r="C194" t="s">
        <v>467</v>
      </c>
      <c r="D194" t="s">
        <v>2</v>
      </c>
      <c r="E194" t="s">
        <v>467</v>
      </c>
      <c r="F194" t="s">
        <v>13</v>
      </c>
      <c r="G194" t="s">
        <v>525</v>
      </c>
    </row>
    <row r="195" spans="1:7" x14ac:dyDescent="0.3">
      <c r="A195">
        <v>0</v>
      </c>
      <c r="B195" t="s">
        <v>319</v>
      </c>
      <c r="C195" t="s">
        <v>420</v>
      </c>
      <c r="D195" t="s">
        <v>2</v>
      </c>
      <c r="E195" t="s">
        <v>420</v>
      </c>
      <c r="F195" t="s">
        <v>13</v>
      </c>
      <c r="G195" t="s">
        <v>525</v>
      </c>
    </row>
    <row r="196" spans="1:7" x14ac:dyDescent="0.3">
      <c r="A196">
        <v>0</v>
      </c>
      <c r="B196" t="s">
        <v>314</v>
      </c>
      <c r="C196" t="s">
        <v>487</v>
      </c>
      <c r="D196" t="s">
        <v>2</v>
      </c>
      <c r="E196" t="s">
        <v>487</v>
      </c>
      <c r="F196" t="s">
        <v>13</v>
      </c>
      <c r="G196" t="s">
        <v>525</v>
      </c>
    </row>
    <row r="197" spans="1:7" x14ac:dyDescent="0.3">
      <c r="A197">
        <v>0</v>
      </c>
      <c r="B197" t="s">
        <v>312</v>
      </c>
      <c r="C197" t="s">
        <v>149</v>
      </c>
      <c r="D197" t="s">
        <v>2</v>
      </c>
      <c r="E197" t="s">
        <v>149</v>
      </c>
      <c r="F197" t="s">
        <v>13</v>
      </c>
      <c r="G197" t="s">
        <v>525</v>
      </c>
    </row>
    <row r="198" spans="1:7" x14ac:dyDescent="0.3">
      <c r="A198">
        <v>0</v>
      </c>
      <c r="B198" t="s">
        <v>314</v>
      </c>
      <c r="C198" t="s">
        <v>377</v>
      </c>
      <c r="D198" t="s">
        <v>2</v>
      </c>
      <c r="E198" t="s">
        <v>377</v>
      </c>
      <c r="F198" t="s">
        <v>13</v>
      </c>
      <c r="G198" t="s">
        <v>525</v>
      </c>
    </row>
    <row r="199" spans="1:7" x14ac:dyDescent="0.3">
      <c r="A199">
        <v>0</v>
      </c>
      <c r="B199" t="s">
        <v>312</v>
      </c>
      <c r="C199" t="s">
        <v>403</v>
      </c>
      <c r="D199" t="s">
        <v>2</v>
      </c>
      <c r="E199" t="s">
        <v>403</v>
      </c>
      <c r="F199" t="s">
        <v>13</v>
      </c>
      <c r="G199" t="s">
        <v>525</v>
      </c>
    </row>
    <row r="200" spans="1:7" x14ac:dyDescent="0.3">
      <c r="A200">
        <v>0</v>
      </c>
      <c r="B200" t="s">
        <v>312</v>
      </c>
      <c r="C200" t="s">
        <v>387</v>
      </c>
      <c r="D200" t="s">
        <v>2</v>
      </c>
      <c r="E200" t="s">
        <v>387</v>
      </c>
      <c r="F200" t="s">
        <v>13</v>
      </c>
      <c r="G200" t="s">
        <v>525</v>
      </c>
    </row>
    <row r="201" spans="1:7" x14ac:dyDescent="0.3">
      <c r="A201">
        <v>0</v>
      </c>
      <c r="B201" t="s">
        <v>312</v>
      </c>
      <c r="C201" t="s">
        <v>431</v>
      </c>
      <c r="D201" t="s">
        <v>2</v>
      </c>
      <c r="E201" t="s">
        <v>431</v>
      </c>
      <c r="F201" t="s">
        <v>13</v>
      </c>
      <c r="G201" t="s">
        <v>525</v>
      </c>
    </row>
    <row r="202" spans="1:7" x14ac:dyDescent="0.3">
      <c r="A202">
        <v>0</v>
      </c>
      <c r="B202" t="s">
        <v>319</v>
      </c>
      <c r="C202" t="s">
        <v>459</v>
      </c>
      <c r="D202" t="s">
        <v>2</v>
      </c>
      <c r="E202" t="s">
        <v>459</v>
      </c>
      <c r="F202" t="s">
        <v>13</v>
      </c>
      <c r="G202" t="s">
        <v>525</v>
      </c>
    </row>
    <row r="203" spans="1:7" x14ac:dyDescent="0.3">
      <c r="A203">
        <v>0</v>
      </c>
      <c r="B203" t="s">
        <v>314</v>
      </c>
      <c r="C203" t="s">
        <v>376</v>
      </c>
      <c r="D203" t="s">
        <v>2</v>
      </c>
      <c r="E203" t="s">
        <v>376</v>
      </c>
      <c r="F203" t="s">
        <v>13</v>
      </c>
      <c r="G203" t="s">
        <v>525</v>
      </c>
    </row>
    <row r="204" spans="1:7" x14ac:dyDescent="0.3">
      <c r="A204">
        <v>0</v>
      </c>
      <c r="B204" t="s">
        <v>312</v>
      </c>
      <c r="C204" t="s">
        <v>379</v>
      </c>
      <c r="D204" t="s">
        <v>2</v>
      </c>
      <c r="E204" t="s">
        <v>379</v>
      </c>
      <c r="F204" t="s">
        <v>13</v>
      </c>
      <c r="G204" t="s">
        <v>525</v>
      </c>
    </row>
    <row r="205" spans="1:7" x14ac:dyDescent="0.3">
      <c r="A205">
        <v>0</v>
      </c>
      <c r="B205" t="s">
        <v>314</v>
      </c>
      <c r="C205" t="s">
        <v>445</v>
      </c>
      <c r="D205" t="s">
        <v>2</v>
      </c>
      <c r="E205" t="s">
        <v>445</v>
      </c>
      <c r="F205" t="s">
        <v>13</v>
      </c>
      <c r="G205" t="s">
        <v>525</v>
      </c>
    </row>
    <row r="206" spans="1:7" x14ac:dyDescent="0.3">
      <c r="A206">
        <v>0</v>
      </c>
      <c r="B206" t="s">
        <v>319</v>
      </c>
      <c r="C206" t="s">
        <v>460</v>
      </c>
      <c r="D206" t="s">
        <v>2</v>
      </c>
      <c r="E206" t="s">
        <v>460</v>
      </c>
      <c r="F206" t="s">
        <v>13</v>
      </c>
      <c r="G206" t="s">
        <v>525</v>
      </c>
    </row>
    <row r="207" spans="1:7" x14ac:dyDescent="0.3">
      <c r="A207">
        <v>0</v>
      </c>
      <c r="B207" t="s">
        <v>314</v>
      </c>
      <c r="C207" t="s">
        <v>450</v>
      </c>
      <c r="D207" t="s">
        <v>2</v>
      </c>
      <c r="E207" t="s">
        <v>450</v>
      </c>
      <c r="F207" t="s">
        <v>13</v>
      </c>
      <c r="G207" t="s">
        <v>525</v>
      </c>
    </row>
    <row r="208" spans="1:7" x14ac:dyDescent="0.3">
      <c r="A208">
        <v>0</v>
      </c>
      <c r="B208" t="s">
        <v>312</v>
      </c>
      <c r="C208" t="s">
        <v>473</v>
      </c>
      <c r="D208" t="s">
        <v>2</v>
      </c>
      <c r="E208" t="s">
        <v>473</v>
      </c>
      <c r="F208" t="s">
        <v>13</v>
      </c>
      <c r="G208" t="s">
        <v>525</v>
      </c>
    </row>
    <row r="209" spans="1:7" x14ac:dyDescent="0.3">
      <c r="A209">
        <v>0</v>
      </c>
      <c r="B209" t="s">
        <v>314</v>
      </c>
      <c r="C209" t="s">
        <v>313</v>
      </c>
      <c r="D209" t="s">
        <v>2</v>
      </c>
      <c r="E209" t="s">
        <v>313</v>
      </c>
      <c r="F209" t="s">
        <v>13</v>
      </c>
      <c r="G209" t="s">
        <v>525</v>
      </c>
    </row>
    <row r="210" spans="1:7" x14ac:dyDescent="0.3">
      <c r="A210">
        <v>0</v>
      </c>
      <c r="B210" t="s">
        <v>312</v>
      </c>
      <c r="C210" t="s">
        <v>472</v>
      </c>
      <c r="D210" t="s">
        <v>2</v>
      </c>
      <c r="E210" t="s">
        <v>472</v>
      </c>
      <c r="F210" t="s">
        <v>13</v>
      </c>
      <c r="G210" t="s">
        <v>525</v>
      </c>
    </row>
    <row r="211" spans="1:7" x14ac:dyDescent="0.3">
      <c r="A211">
        <v>0</v>
      </c>
      <c r="B211" t="s">
        <v>312</v>
      </c>
      <c r="C211" t="s">
        <v>402</v>
      </c>
      <c r="D211" t="s">
        <v>2</v>
      </c>
      <c r="E211" t="s">
        <v>402</v>
      </c>
      <c r="F211" t="s">
        <v>13</v>
      </c>
      <c r="G211" t="s">
        <v>525</v>
      </c>
    </row>
    <row r="212" spans="1:7" x14ac:dyDescent="0.3">
      <c r="A212">
        <v>0</v>
      </c>
      <c r="B212" t="s">
        <v>314</v>
      </c>
      <c r="C212" t="s">
        <v>455</v>
      </c>
      <c r="D212" t="s">
        <v>2</v>
      </c>
      <c r="E212" t="s">
        <v>455</v>
      </c>
      <c r="F212" t="s">
        <v>13</v>
      </c>
      <c r="G212" t="s">
        <v>525</v>
      </c>
    </row>
    <row r="213" spans="1:7" x14ac:dyDescent="0.3">
      <c r="A213">
        <v>0</v>
      </c>
      <c r="B213" t="s">
        <v>312</v>
      </c>
      <c r="C213" t="s">
        <v>411</v>
      </c>
      <c r="D213" t="s">
        <v>2</v>
      </c>
      <c r="E213" t="s">
        <v>411</v>
      </c>
      <c r="F213" t="s">
        <v>13</v>
      </c>
      <c r="G213" t="s">
        <v>525</v>
      </c>
    </row>
    <row r="214" spans="1:7" x14ac:dyDescent="0.3">
      <c r="A214">
        <v>0</v>
      </c>
      <c r="B214" t="s">
        <v>312</v>
      </c>
      <c r="C214" t="s">
        <v>488</v>
      </c>
      <c r="D214" t="s">
        <v>2</v>
      </c>
      <c r="E214" t="s">
        <v>488</v>
      </c>
      <c r="F214" t="s">
        <v>13</v>
      </c>
      <c r="G214" t="s">
        <v>525</v>
      </c>
    </row>
    <row r="215" spans="1:7" x14ac:dyDescent="0.3">
      <c r="A215">
        <v>0</v>
      </c>
      <c r="B215" t="s">
        <v>319</v>
      </c>
      <c r="C215" t="s">
        <v>462</v>
      </c>
      <c r="D215" t="s">
        <v>2</v>
      </c>
      <c r="E215" t="s">
        <v>462</v>
      </c>
      <c r="F215" t="s">
        <v>13</v>
      </c>
      <c r="G215" t="s">
        <v>525</v>
      </c>
    </row>
    <row r="216" spans="1:7" x14ac:dyDescent="0.3">
      <c r="A216">
        <v>0</v>
      </c>
      <c r="B216" t="s">
        <v>312</v>
      </c>
      <c r="C216" t="s">
        <v>246</v>
      </c>
      <c r="D216" t="s">
        <v>2</v>
      </c>
      <c r="E216" t="s">
        <v>246</v>
      </c>
      <c r="F216" t="s">
        <v>13</v>
      </c>
      <c r="G216" t="s">
        <v>525</v>
      </c>
    </row>
    <row r="217" spans="1:7" x14ac:dyDescent="0.3">
      <c r="A217">
        <v>0</v>
      </c>
      <c r="B217" t="s">
        <v>312</v>
      </c>
      <c r="C217" t="s">
        <v>357</v>
      </c>
      <c r="D217" t="s">
        <v>2</v>
      </c>
      <c r="E217" t="s">
        <v>357</v>
      </c>
      <c r="F217" t="s">
        <v>13</v>
      </c>
      <c r="G217" t="s">
        <v>525</v>
      </c>
    </row>
    <row r="218" spans="1:7" x14ac:dyDescent="0.3">
      <c r="A218">
        <v>0</v>
      </c>
      <c r="B218" t="s">
        <v>314</v>
      </c>
      <c r="C218" t="s">
        <v>341</v>
      </c>
      <c r="D218" t="s">
        <v>2</v>
      </c>
      <c r="E218" t="s">
        <v>341</v>
      </c>
      <c r="F218" t="s">
        <v>13</v>
      </c>
      <c r="G218" t="s">
        <v>525</v>
      </c>
    </row>
    <row r="219" spans="1:7" x14ac:dyDescent="0.3">
      <c r="A219">
        <v>0</v>
      </c>
      <c r="B219" t="s">
        <v>319</v>
      </c>
      <c r="C219" t="s">
        <v>466</v>
      </c>
      <c r="D219" t="s">
        <v>2</v>
      </c>
      <c r="E219" t="s">
        <v>466</v>
      </c>
      <c r="F219" t="s">
        <v>13</v>
      </c>
      <c r="G219" t="s">
        <v>525</v>
      </c>
    </row>
    <row r="220" spans="1:7" x14ac:dyDescent="0.3">
      <c r="A220">
        <v>0</v>
      </c>
      <c r="B220" t="s">
        <v>319</v>
      </c>
      <c r="C220" t="s">
        <v>362</v>
      </c>
      <c r="D220" t="s">
        <v>2</v>
      </c>
      <c r="E220" t="s">
        <v>362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433</v>
      </c>
      <c r="D221" t="s">
        <v>2</v>
      </c>
      <c r="E221" t="s">
        <v>433</v>
      </c>
      <c r="F221" t="s">
        <v>13</v>
      </c>
      <c r="G221" t="s">
        <v>525</v>
      </c>
    </row>
    <row r="222" spans="1:7" x14ac:dyDescent="0.3">
      <c r="A222">
        <v>0</v>
      </c>
      <c r="B222" t="s">
        <v>312</v>
      </c>
      <c r="C222" t="s">
        <v>397</v>
      </c>
      <c r="D222" t="s">
        <v>2</v>
      </c>
      <c r="E222" t="s">
        <v>397</v>
      </c>
      <c r="F222" t="s">
        <v>13</v>
      </c>
      <c r="G222" t="s">
        <v>525</v>
      </c>
    </row>
    <row r="223" spans="1:7" x14ac:dyDescent="0.3">
      <c r="A223">
        <v>0</v>
      </c>
      <c r="B223" t="s">
        <v>319</v>
      </c>
      <c r="C223" t="s">
        <v>378</v>
      </c>
      <c r="D223" t="s">
        <v>2</v>
      </c>
      <c r="E223" t="s">
        <v>378</v>
      </c>
      <c r="F223" t="s">
        <v>13</v>
      </c>
      <c r="G223" t="s">
        <v>525</v>
      </c>
    </row>
    <row r="224" spans="1:7" x14ac:dyDescent="0.3">
      <c r="A224">
        <v>0</v>
      </c>
      <c r="B224" t="s">
        <v>105</v>
      </c>
      <c r="C224" t="s">
        <v>117</v>
      </c>
      <c r="D224" t="s">
        <v>2</v>
      </c>
      <c r="E224" t="s">
        <v>117</v>
      </c>
      <c r="F224" t="s">
        <v>13</v>
      </c>
      <c r="G224" t="s">
        <v>525</v>
      </c>
    </row>
    <row r="225" spans="1:7" x14ac:dyDescent="0.3">
      <c r="A225">
        <v>0</v>
      </c>
      <c r="B225" t="s">
        <v>312</v>
      </c>
      <c r="C225" t="s">
        <v>476</v>
      </c>
      <c r="D225" t="s">
        <v>2</v>
      </c>
      <c r="E225" t="s">
        <v>476</v>
      </c>
      <c r="F225" t="s">
        <v>13</v>
      </c>
      <c r="G225" t="s">
        <v>525</v>
      </c>
    </row>
    <row r="226" spans="1:7" x14ac:dyDescent="0.3">
      <c r="A226">
        <v>0</v>
      </c>
      <c r="B226" t="s">
        <v>319</v>
      </c>
      <c r="C226" t="s">
        <v>478</v>
      </c>
      <c r="D226" t="s">
        <v>2</v>
      </c>
      <c r="E226" t="s">
        <v>478</v>
      </c>
      <c r="F226" t="s">
        <v>13</v>
      </c>
      <c r="G226" t="s">
        <v>525</v>
      </c>
    </row>
    <row r="227" spans="1:7" x14ac:dyDescent="0.3">
      <c r="A227">
        <v>0</v>
      </c>
      <c r="B227" t="s">
        <v>312</v>
      </c>
      <c r="C227" t="s">
        <v>367</v>
      </c>
      <c r="D227" t="s">
        <v>2</v>
      </c>
      <c r="E227" t="s">
        <v>367</v>
      </c>
      <c r="F227" t="s">
        <v>13</v>
      </c>
      <c r="G227" t="s">
        <v>525</v>
      </c>
    </row>
    <row r="228" spans="1:7" x14ac:dyDescent="0.3">
      <c r="A228">
        <v>0</v>
      </c>
      <c r="B228" t="s">
        <v>312</v>
      </c>
      <c r="C228" t="s">
        <v>346</v>
      </c>
      <c r="D228" t="s">
        <v>2</v>
      </c>
      <c r="E228" t="s">
        <v>346</v>
      </c>
      <c r="F228" t="s">
        <v>13</v>
      </c>
      <c r="G228" t="s">
        <v>525</v>
      </c>
    </row>
    <row r="229" spans="1:7" x14ac:dyDescent="0.3">
      <c r="A229">
        <v>0</v>
      </c>
      <c r="B229" t="s">
        <v>105</v>
      </c>
      <c r="C229" t="s">
        <v>119</v>
      </c>
      <c r="D229" t="s">
        <v>2</v>
      </c>
      <c r="E229" t="s">
        <v>119</v>
      </c>
      <c r="F229" t="s">
        <v>13</v>
      </c>
      <c r="G229" t="s">
        <v>525</v>
      </c>
    </row>
    <row r="230" spans="1:7" x14ac:dyDescent="0.3">
      <c r="A230">
        <v>0</v>
      </c>
      <c r="B230" t="s">
        <v>312</v>
      </c>
      <c r="C230" t="s">
        <v>385</v>
      </c>
      <c r="D230" t="s">
        <v>2</v>
      </c>
      <c r="E230" t="s">
        <v>385</v>
      </c>
      <c r="F230" t="s">
        <v>13</v>
      </c>
      <c r="G230" t="s">
        <v>525</v>
      </c>
    </row>
    <row r="231" spans="1:7" x14ac:dyDescent="0.3">
      <c r="A231">
        <v>0</v>
      </c>
      <c r="B231" t="s">
        <v>57</v>
      </c>
      <c r="C231" t="s">
        <v>120</v>
      </c>
      <c r="D231" t="s">
        <v>2</v>
      </c>
      <c r="E231" t="s">
        <v>120</v>
      </c>
      <c r="F231" t="s">
        <v>13</v>
      </c>
      <c r="G231" t="s">
        <v>525</v>
      </c>
    </row>
    <row r="232" spans="1:7" x14ac:dyDescent="0.3">
      <c r="A232">
        <v>0</v>
      </c>
      <c r="B232" t="s">
        <v>312</v>
      </c>
      <c r="C232" t="s">
        <v>324</v>
      </c>
      <c r="D232" t="s">
        <v>2</v>
      </c>
      <c r="E232" t="s">
        <v>324</v>
      </c>
      <c r="F232" t="s">
        <v>13</v>
      </c>
      <c r="G232" t="s">
        <v>525</v>
      </c>
    </row>
    <row r="233" spans="1:7" x14ac:dyDescent="0.3">
      <c r="A233">
        <v>0</v>
      </c>
      <c r="B233" t="s">
        <v>312</v>
      </c>
      <c r="C233" t="s">
        <v>327</v>
      </c>
      <c r="D233" t="s">
        <v>2</v>
      </c>
      <c r="E233" t="s">
        <v>327</v>
      </c>
      <c r="F233" t="s">
        <v>13</v>
      </c>
      <c r="G233" t="s">
        <v>525</v>
      </c>
    </row>
    <row r="234" spans="1:7" x14ac:dyDescent="0.3">
      <c r="A234">
        <v>0</v>
      </c>
      <c r="B234" t="s">
        <v>314</v>
      </c>
      <c r="C234" t="s">
        <v>441</v>
      </c>
      <c r="D234" t="s">
        <v>2</v>
      </c>
      <c r="E234" t="s">
        <v>441</v>
      </c>
      <c r="F234" t="s">
        <v>13</v>
      </c>
      <c r="G234" t="s">
        <v>525</v>
      </c>
    </row>
    <row r="235" spans="1:7" x14ac:dyDescent="0.3">
      <c r="A235">
        <v>0</v>
      </c>
      <c r="B235" t="s">
        <v>105</v>
      </c>
      <c r="C235" t="s">
        <v>115</v>
      </c>
      <c r="D235" t="s">
        <v>2</v>
      </c>
      <c r="E235" t="s">
        <v>115</v>
      </c>
      <c r="F235" t="s">
        <v>13</v>
      </c>
      <c r="G235" t="s">
        <v>525</v>
      </c>
    </row>
    <row r="236" spans="1:7" x14ac:dyDescent="0.3">
      <c r="A236">
        <v>0</v>
      </c>
      <c r="B236" t="s">
        <v>312</v>
      </c>
      <c r="C236" t="s">
        <v>484</v>
      </c>
      <c r="D236" t="s">
        <v>2</v>
      </c>
      <c r="E236" t="s">
        <v>484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311</v>
      </c>
      <c r="D237" t="s">
        <v>2</v>
      </c>
      <c r="E237" t="s">
        <v>311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365</v>
      </c>
      <c r="D238" t="s">
        <v>2</v>
      </c>
      <c r="E238" t="s">
        <v>365</v>
      </c>
      <c r="F238" t="s">
        <v>13</v>
      </c>
      <c r="G238" t="s">
        <v>525</v>
      </c>
    </row>
    <row r="239" spans="1:7" x14ac:dyDescent="0.3">
      <c r="A239">
        <v>0</v>
      </c>
      <c r="B239" t="s">
        <v>314</v>
      </c>
      <c r="C239" t="s">
        <v>350</v>
      </c>
      <c r="D239" t="s">
        <v>2</v>
      </c>
      <c r="E239" t="s">
        <v>350</v>
      </c>
      <c r="F239" t="s">
        <v>13</v>
      </c>
      <c r="G239" t="s">
        <v>525</v>
      </c>
    </row>
    <row r="240" spans="1:7" x14ac:dyDescent="0.3">
      <c r="A240">
        <v>0</v>
      </c>
      <c r="B240" t="s">
        <v>105</v>
      </c>
      <c r="C240" t="s">
        <v>123</v>
      </c>
      <c r="D240" t="s">
        <v>2</v>
      </c>
      <c r="E240" t="s">
        <v>123</v>
      </c>
      <c r="F240" t="s">
        <v>13</v>
      </c>
      <c r="G240" t="s">
        <v>525</v>
      </c>
    </row>
    <row r="241" spans="1:7" x14ac:dyDescent="0.3">
      <c r="A241">
        <v>0</v>
      </c>
      <c r="B241" t="s">
        <v>312</v>
      </c>
      <c r="C241" t="s">
        <v>396</v>
      </c>
      <c r="D241" t="s">
        <v>2</v>
      </c>
      <c r="E241" t="s">
        <v>396</v>
      </c>
      <c r="F241" t="s">
        <v>13</v>
      </c>
      <c r="G241" t="s">
        <v>525</v>
      </c>
    </row>
    <row r="242" spans="1:7" x14ac:dyDescent="0.3">
      <c r="A242">
        <v>0</v>
      </c>
      <c r="B242" t="s">
        <v>312</v>
      </c>
      <c r="C242" t="s">
        <v>428</v>
      </c>
      <c r="D242" t="s">
        <v>2</v>
      </c>
      <c r="E242" t="s">
        <v>428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383</v>
      </c>
      <c r="D243" t="s">
        <v>2</v>
      </c>
      <c r="E243" t="s">
        <v>383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426</v>
      </c>
      <c r="D244" t="s">
        <v>2</v>
      </c>
      <c r="E244" t="s">
        <v>426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t="s">
        <v>437</v>
      </c>
      <c r="D245" t="s">
        <v>2</v>
      </c>
      <c r="E245" t="s">
        <v>437</v>
      </c>
      <c r="F245" t="s">
        <v>13</v>
      </c>
      <c r="G245" t="s">
        <v>525</v>
      </c>
    </row>
    <row r="246" spans="1:7" x14ac:dyDescent="0.3">
      <c r="A246">
        <v>0</v>
      </c>
      <c r="B246" t="s">
        <v>312</v>
      </c>
      <c r="C246" t="s">
        <v>454</v>
      </c>
      <c r="D246" t="s">
        <v>2</v>
      </c>
      <c r="E246" t="s">
        <v>454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425</v>
      </c>
      <c r="D247" t="s">
        <v>2</v>
      </c>
      <c r="E247" t="s">
        <v>425</v>
      </c>
      <c r="F247" t="s">
        <v>13</v>
      </c>
      <c r="G247" t="s">
        <v>525</v>
      </c>
    </row>
    <row r="248" spans="1:7" x14ac:dyDescent="0.3">
      <c r="A248">
        <v>0</v>
      </c>
      <c r="B248" t="s">
        <v>312</v>
      </c>
      <c r="C248" t="s">
        <v>344</v>
      </c>
      <c r="D248" t="s">
        <v>2</v>
      </c>
      <c r="E248" t="s">
        <v>344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407</v>
      </c>
      <c r="D249" t="s">
        <v>2</v>
      </c>
      <c r="E249" t="s">
        <v>407</v>
      </c>
      <c r="F249" t="s">
        <v>13</v>
      </c>
      <c r="G249" t="s">
        <v>525</v>
      </c>
    </row>
    <row r="250" spans="1:7" x14ac:dyDescent="0.3">
      <c r="A250">
        <v>0</v>
      </c>
      <c r="B250" t="s">
        <v>314</v>
      </c>
      <c r="C250" t="s">
        <v>413</v>
      </c>
      <c r="D250" t="s">
        <v>2</v>
      </c>
      <c r="E250" t="s">
        <v>413</v>
      </c>
      <c r="F250" t="s">
        <v>13</v>
      </c>
      <c r="G250" t="s">
        <v>525</v>
      </c>
    </row>
    <row r="251" spans="1:7" x14ac:dyDescent="0.3">
      <c r="A251">
        <v>0</v>
      </c>
      <c r="B251" t="s">
        <v>312</v>
      </c>
      <c r="C251" t="s">
        <v>392</v>
      </c>
      <c r="D251" t="s">
        <v>2</v>
      </c>
      <c r="E251" t="s">
        <v>392</v>
      </c>
      <c r="F251" t="s">
        <v>13</v>
      </c>
      <c r="G251" t="s">
        <v>525</v>
      </c>
    </row>
    <row r="252" spans="1:7" x14ac:dyDescent="0.3">
      <c r="A252">
        <v>0</v>
      </c>
      <c r="B252" t="s">
        <v>319</v>
      </c>
      <c r="C252" t="s">
        <v>422</v>
      </c>
      <c r="D252" t="s">
        <v>2</v>
      </c>
      <c r="E252" t="s">
        <v>422</v>
      </c>
      <c r="F252" t="s">
        <v>13</v>
      </c>
      <c r="G252" t="s">
        <v>525</v>
      </c>
    </row>
    <row r="253" spans="1:7" x14ac:dyDescent="0.3">
      <c r="A253">
        <v>0</v>
      </c>
      <c r="B253" t="s">
        <v>314</v>
      </c>
      <c r="C253" t="s">
        <v>495</v>
      </c>
      <c r="D253" t="s">
        <v>494</v>
      </c>
      <c r="E253" t="s">
        <v>495</v>
      </c>
      <c r="F253" t="s">
        <v>13</v>
      </c>
      <c r="G253" t="s">
        <v>525</v>
      </c>
    </row>
    <row r="254" spans="1:7" x14ac:dyDescent="0.3">
      <c r="A254">
        <v>0</v>
      </c>
      <c r="B254" t="s">
        <v>314</v>
      </c>
      <c r="C254" t="s">
        <v>497</v>
      </c>
      <c r="D254" t="s">
        <v>494</v>
      </c>
      <c r="E254" t="s">
        <v>497</v>
      </c>
      <c r="F254" t="s">
        <v>13</v>
      </c>
      <c r="G254" t="s">
        <v>525</v>
      </c>
    </row>
    <row r="255" spans="1:7" x14ac:dyDescent="0.3">
      <c r="A255">
        <v>0</v>
      </c>
      <c r="B255" t="s">
        <v>314</v>
      </c>
      <c r="C255" t="s">
        <v>496</v>
      </c>
      <c r="D255" t="s">
        <v>494</v>
      </c>
      <c r="E255" t="s">
        <v>496</v>
      </c>
      <c r="F255" t="s">
        <v>13</v>
      </c>
      <c r="G255" t="s">
        <v>525</v>
      </c>
    </row>
    <row r="256" spans="1:7" x14ac:dyDescent="0.3">
      <c r="A256">
        <v>0</v>
      </c>
      <c r="B256" t="s">
        <v>312</v>
      </c>
      <c r="C256" t="s">
        <v>513</v>
      </c>
      <c r="D256" t="s">
        <v>498</v>
      </c>
      <c r="E256" t="s">
        <v>513</v>
      </c>
      <c r="F256" t="s">
        <v>13</v>
      </c>
      <c r="G256" t="s">
        <v>525</v>
      </c>
    </row>
    <row r="257" spans="1:7" x14ac:dyDescent="0.3">
      <c r="A257">
        <v>0</v>
      </c>
      <c r="B257" t="s">
        <v>312</v>
      </c>
      <c r="C257" t="s">
        <v>515</v>
      </c>
      <c r="D257" t="s">
        <v>498</v>
      </c>
      <c r="E257" t="s">
        <v>515</v>
      </c>
      <c r="F257" t="s">
        <v>13</v>
      </c>
      <c r="G257" t="s">
        <v>525</v>
      </c>
    </row>
    <row r="258" spans="1:7" x14ac:dyDescent="0.3">
      <c r="A258">
        <v>0</v>
      </c>
      <c r="B258" t="s">
        <v>312</v>
      </c>
      <c r="C258" t="s">
        <v>509</v>
      </c>
      <c r="D258" t="s">
        <v>498</v>
      </c>
      <c r="E258" t="s">
        <v>509</v>
      </c>
      <c r="F258" t="s">
        <v>13</v>
      </c>
      <c r="G258" t="s">
        <v>525</v>
      </c>
    </row>
    <row r="259" spans="1:7" x14ac:dyDescent="0.3">
      <c r="A259">
        <v>0</v>
      </c>
      <c r="B259" t="s">
        <v>312</v>
      </c>
      <c r="C259" t="s">
        <v>502</v>
      </c>
      <c r="D259" t="s">
        <v>498</v>
      </c>
      <c r="E259" t="s">
        <v>502</v>
      </c>
      <c r="F259" t="s">
        <v>13</v>
      </c>
      <c r="G259" t="s">
        <v>525</v>
      </c>
    </row>
    <row r="260" spans="1:7" x14ac:dyDescent="0.3">
      <c r="A260">
        <v>0</v>
      </c>
      <c r="B260" t="s">
        <v>312</v>
      </c>
      <c r="C260" t="s">
        <v>500</v>
      </c>
      <c r="D260" t="s">
        <v>498</v>
      </c>
      <c r="E260" t="s">
        <v>500</v>
      </c>
      <c r="F260" t="s">
        <v>13</v>
      </c>
      <c r="G260" t="s">
        <v>525</v>
      </c>
    </row>
    <row r="261" spans="1:7" x14ac:dyDescent="0.3">
      <c r="A261">
        <v>0</v>
      </c>
      <c r="B261" t="s">
        <v>507</v>
      </c>
      <c r="C261" t="s">
        <v>506</v>
      </c>
      <c r="D261" t="s">
        <v>498</v>
      </c>
      <c r="E261" t="s">
        <v>506</v>
      </c>
      <c r="F261" t="s">
        <v>13</v>
      </c>
      <c r="G261" t="s">
        <v>525</v>
      </c>
    </row>
    <row r="262" spans="1:7" x14ac:dyDescent="0.3">
      <c r="A262">
        <v>0</v>
      </c>
      <c r="B262" t="s">
        <v>312</v>
      </c>
      <c r="C262" t="s">
        <v>514</v>
      </c>
      <c r="D262" t="s">
        <v>498</v>
      </c>
      <c r="E262" t="s">
        <v>514</v>
      </c>
      <c r="F262" t="s">
        <v>13</v>
      </c>
      <c r="G262" t="s">
        <v>525</v>
      </c>
    </row>
    <row r="263" spans="1:7" x14ac:dyDescent="0.3">
      <c r="A263">
        <v>0</v>
      </c>
      <c r="B263" t="s">
        <v>312</v>
      </c>
      <c r="C263" t="s">
        <v>499</v>
      </c>
      <c r="D263" t="s">
        <v>498</v>
      </c>
      <c r="E263" t="s">
        <v>499</v>
      </c>
      <c r="F263" t="s">
        <v>13</v>
      </c>
      <c r="G263" t="s">
        <v>525</v>
      </c>
    </row>
    <row r="264" spans="1:7" x14ac:dyDescent="0.3">
      <c r="A264">
        <v>0</v>
      </c>
      <c r="B264" t="s">
        <v>312</v>
      </c>
      <c r="C264" t="s">
        <v>508</v>
      </c>
      <c r="D264" t="s">
        <v>498</v>
      </c>
      <c r="E264" t="s">
        <v>508</v>
      </c>
      <c r="F264" t="s">
        <v>13</v>
      </c>
      <c r="G264" t="s">
        <v>525</v>
      </c>
    </row>
    <row r="265" spans="1:7" x14ac:dyDescent="0.3">
      <c r="A265">
        <v>0</v>
      </c>
      <c r="B265" t="s">
        <v>312</v>
      </c>
      <c r="C265" t="s">
        <v>519</v>
      </c>
      <c r="D265" t="s">
        <v>498</v>
      </c>
      <c r="E265" t="s">
        <v>519</v>
      </c>
      <c r="F265" t="s">
        <v>13</v>
      </c>
      <c r="G265" t="s">
        <v>525</v>
      </c>
    </row>
    <row r="266" spans="1:7" x14ac:dyDescent="0.3">
      <c r="A266">
        <v>0</v>
      </c>
      <c r="B266" t="s">
        <v>312</v>
      </c>
      <c r="C266" t="s">
        <v>510</v>
      </c>
      <c r="D266" t="s">
        <v>498</v>
      </c>
      <c r="E266" t="s">
        <v>510</v>
      </c>
      <c r="F266" t="s">
        <v>13</v>
      </c>
      <c r="G266" t="s">
        <v>525</v>
      </c>
    </row>
    <row r="267" spans="1:7" x14ac:dyDescent="0.3">
      <c r="A267">
        <v>0</v>
      </c>
      <c r="B267" t="s">
        <v>312</v>
      </c>
      <c r="C267" t="s">
        <v>521</v>
      </c>
      <c r="D267" t="s">
        <v>498</v>
      </c>
      <c r="E267" t="s">
        <v>521</v>
      </c>
      <c r="F267" t="s">
        <v>13</v>
      </c>
      <c r="G267" t="s">
        <v>525</v>
      </c>
    </row>
    <row r="268" spans="1:7" x14ac:dyDescent="0.3">
      <c r="A268">
        <v>0</v>
      </c>
      <c r="B268" t="s">
        <v>312</v>
      </c>
      <c r="C268" t="s">
        <v>501</v>
      </c>
      <c r="D268" t="s">
        <v>498</v>
      </c>
      <c r="E268" t="s">
        <v>501</v>
      </c>
      <c r="F268" t="s">
        <v>13</v>
      </c>
      <c r="G268" t="s">
        <v>525</v>
      </c>
    </row>
    <row r="269" spans="1:7" x14ac:dyDescent="0.3">
      <c r="A269">
        <v>0</v>
      </c>
      <c r="B269" t="s">
        <v>312</v>
      </c>
      <c r="C269" t="s">
        <v>504</v>
      </c>
      <c r="D269" t="s">
        <v>498</v>
      </c>
      <c r="E269" t="s">
        <v>504</v>
      </c>
      <c r="F269" t="s">
        <v>13</v>
      </c>
      <c r="G269" t="s">
        <v>525</v>
      </c>
    </row>
    <row r="270" spans="1:7" x14ac:dyDescent="0.3">
      <c r="A270">
        <v>0</v>
      </c>
      <c r="B270" t="s">
        <v>312</v>
      </c>
      <c r="C270" t="s">
        <v>520</v>
      </c>
      <c r="D270" t="s">
        <v>498</v>
      </c>
      <c r="E270" t="s">
        <v>520</v>
      </c>
      <c r="F270" t="s">
        <v>13</v>
      </c>
      <c r="G270" t="s">
        <v>525</v>
      </c>
    </row>
    <row r="271" spans="1:7" x14ac:dyDescent="0.3">
      <c r="A271">
        <v>0</v>
      </c>
      <c r="B271" t="s">
        <v>312</v>
      </c>
      <c r="C271" t="s">
        <v>523</v>
      </c>
      <c r="D271" t="s">
        <v>498</v>
      </c>
      <c r="E271" t="s">
        <v>523</v>
      </c>
      <c r="F271" t="s">
        <v>13</v>
      </c>
      <c r="G271" t="s">
        <v>525</v>
      </c>
    </row>
    <row r="272" spans="1:7" x14ac:dyDescent="0.3">
      <c r="A272">
        <v>0</v>
      </c>
      <c r="B272" t="s">
        <v>312</v>
      </c>
      <c r="C272" t="s">
        <v>503</v>
      </c>
      <c r="D272" t="s">
        <v>498</v>
      </c>
      <c r="E272" t="s">
        <v>503</v>
      </c>
      <c r="F272" t="s">
        <v>13</v>
      </c>
      <c r="G272" t="s">
        <v>525</v>
      </c>
    </row>
    <row r="273" spans="1:7" x14ac:dyDescent="0.3">
      <c r="A273">
        <v>0</v>
      </c>
      <c r="B273" t="s">
        <v>312</v>
      </c>
      <c r="C273" t="s">
        <v>512</v>
      </c>
      <c r="D273" t="s">
        <v>498</v>
      </c>
      <c r="E273" t="s">
        <v>512</v>
      </c>
      <c r="F273" t="s">
        <v>13</v>
      </c>
      <c r="G273" t="s">
        <v>525</v>
      </c>
    </row>
    <row r="274" spans="1:7" x14ac:dyDescent="0.3">
      <c r="A274">
        <v>0</v>
      </c>
      <c r="B274" t="s">
        <v>312</v>
      </c>
      <c r="C274" t="s">
        <v>505</v>
      </c>
      <c r="D274" t="s">
        <v>498</v>
      </c>
      <c r="E274" t="s">
        <v>505</v>
      </c>
      <c r="F274" t="s">
        <v>13</v>
      </c>
      <c r="G274" t="s">
        <v>525</v>
      </c>
    </row>
    <row r="275" spans="1:7" x14ac:dyDescent="0.3">
      <c r="A275">
        <v>0</v>
      </c>
      <c r="B275" t="s">
        <v>312</v>
      </c>
      <c r="C275" t="s">
        <v>518</v>
      </c>
      <c r="D275" t="s">
        <v>498</v>
      </c>
      <c r="E275" t="s">
        <v>518</v>
      </c>
      <c r="F275" t="s">
        <v>13</v>
      </c>
      <c r="G275" t="s">
        <v>525</v>
      </c>
    </row>
    <row r="276" spans="1:7" x14ac:dyDescent="0.3">
      <c r="A276">
        <v>0</v>
      </c>
      <c r="B276" t="s">
        <v>312</v>
      </c>
      <c r="C276" t="s">
        <v>522</v>
      </c>
      <c r="D276" t="s">
        <v>498</v>
      </c>
      <c r="E276" t="s">
        <v>522</v>
      </c>
      <c r="F276" t="s">
        <v>13</v>
      </c>
      <c r="G276" t="s">
        <v>525</v>
      </c>
    </row>
    <row r="277" spans="1:7" x14ac:dyDescent="0.3">
      <c r="A277">
        <v>0</v>
      </c>
      <c r="B277" t="s">
        <v>312</v>
      </c>
      <c r="C277" t="s">
        <v>516</v>
      </c>
      <c r="D277" t="s">
        <v>498</v>
      </c>
      <c r="E277" t="s">
        <v>516</v>
      </c>
      <c r="F277" t="s">
        <v>13</v>
      </c>
      <c r="G277" t="s">
        <v>525</v>
      </c>
    </row>
    <row r="278" spans="1:7" x14ac:dyDescent="0.3">
      <c r="A278">
        <v>0</v>
      </c>
      <c r="B278" t="s">
        <v>312</v>
      </c>
      <c r="C278" t="s">
        <v>517</v>
      </c>
      <c r="D278" t="s">
        <v>498</v>
      </c>
      <c r="E278" t="s">
        <v>517</v>
      </c>
      <c r="F278" t="s">
        <v>13</v>
      </c>
      <c r="G278" t="s">
        <v>525</v>
      </c>
    </row>
    <row r="279" spans="1:7" x14ac:dyDescent="0.3">
      <c r="A279">
        <v>0</v>
      </c>
      <c r="B279" t="s">
        <v>16</v>
      </c>
      <c r="C279" s="2" t="s">
        <v>22</v>
      </c>
      <c r="D279" t="s">
        <v>2</v>
      </c>
      <c r="E279" s="2" t="s">
        <v>22</v>
      </c>
      <c r="F279" t="s">
        <v>13</v>
      </c>
      <c r="G279" t="s">
        <v>525</v>
      </c>
    </row>
    <row r="280" spans="1:7" x14ac:dyDescent="0.3">
      <c r="A280">
        <v>0</v>
      </c>
      <c r="B280" t="s">
        <v>16</v>
      </c>
      <c r="C280" s="2" t="s">
        <v>49</v>
      </c>
      <c r="D280" t="s">
        <v>2</v>
      </c>
      <c r="E280" s="2" t="s">
        <v>49</v>
      </c>
      <c r="F280" t="s">
        <v>13</v>
      </c>
      <c r="G280" t="s">
        <v>525</v>
      </c>
    </row>
    <row r="281" spans="1:7" x14ac:dyDescent="0.3">
      <c r="A281">
        <v>0</v>
      </c>
      <c r="B281" t="s">
        <v>312</v>
      </c>
      <c r="C281" s="2" t="s">
        <v>55</v>
      </c>
      <c r="D281" t="s">
        <v>2</v>
      </c>
      <c r="E281" s="2" t="s">
        <v>55</v>
      </c>
      <c r="F281" t="s">
        <v>13</v>
      </c>
      <c r="G281" t="s">
        <v>525</v>
      </c>
    </row>
    <row r="282" spans="1:7" x14ac:dyDescent="0.3">
      <c r="A282">
        <v>0</v>
      </c>
      <c r="B282" t="s">
        <v>312</v>
      </c>
      <c r="C282" t="s">
        <v>59</v>
      </c>
      <c r="D282" t="s">
        <v>2</v>
      </c>
      <c r="E282" t="s">
        <v>59</v>
      </c>
      <c r="F282" t="s">
        <v>13</v>
      </c>
      <c r="G282" t="s">
        <v>525</v>
      </c>
    </row>
    <row r="283" spans="1:7" x14ac:dyDescent="0.3">
      <c r="A283">
        <v>0</v>
      </c>
      <c r="B283" t="s">
        <v>16</v>
      </c>
      <c r="C283" s="2" t="s">
        <v>61</v>
      </c>
      <c r="D283" t="s">
        <v>2</v>
      </c>
      <c r="E283" s="2" t="s">
        <v>61</v>
      </c>
      <c r="F283" t="s">
        <v>13</v>
      </c>
      <c r="G283" t="s">
        <v>525</v>
      </c>
    </row>
    <row r="284" spans="1:7" x14ac:dyDescent="0.3">
      <c r="A284">
        <v>0</v>
      </c>
      <c r="B284" t="s">
        <v>312</v>
      </c>
      <c r="C284" s="2" t="s">
        <v>67</v>
      </c>
      <c r="D284" t="s">
        <v>2</v>
      </c>
      <c r="E284" s="2" t="s">
        <v>67</v>
      </c>
      <c r="F284" t="s">
        <v>13</v>
      </c>
      <c r="G284" t="s">
        <v>525</v>
      </c>
    </row>
    <row r="285" spans="1:7" x14ac:dyDescent="0.3">
      <c r="A285">
        <v>0</v>
      </c>
      <c r="B285" t="s">
        <v>312</v>
      </c>
      <c r="C285" t="s">
        <v>73</v>
      </c>
      <c r="D285" t="s">
        <v>2</v>
      </c>
      <c r="E285" t="s">
        <v>73</v>
      </c>
      <c r="F285" t="s">
        <v>13</v>
      </c>
      <c r="G285" t="s">
        <v>525</v>
      </c>
    </row>
    <row r="286" spans="1:7" x14ac:dyDescent="0.3">
      <c r="A286">
        <v>0</v>
      </c>
      <c r="B286" t="s">
        <v>312</v>
      </c>
      <c r="C286" t="s">
        <v>79</v>
      </c>
      <c r="D286" t="s">
        <v>2</v>
      </c>
      <c r="E286" t="s">
        <v>79</v>
      </c>
      <c r="F286" t="s">
        <v>13</v>
      </c>
      <c r="G286" t="s">
        <v>525</v>
      </c>
    </row>
    <row r="287" spans="1:7" x14ac:dyDescent="0.3">
      <c r="A287">
        <v>0</v>
      </c>
      <c r="B287" t="s">
        <v>312</v>
      </c>
      <c r="C287" t="s">
        <v>82</v>
      </c>
      <c r="D287" t="s">
        <v>2</v>
      </c>
      <c r="E287" t="s">
        <v>82</v>
      </c>
      <c r="F287" t="s">
        <v>13</v>
      </c>
      <c r="G287" t="s">
        <v>525</v>
      </c>
    </row>
    <row r="288" spans="1:7" x14ac:dyDescent="0.3">
      <c r="A288">
        <v>0</v>
      </c>
      <c r="B288" t="s">
        <v>312</v>
      </c>
      <c r="C288" t="s">
        <v>85</v>
      </c>
      <c r="D288" t="s">
        <v>2</v>
      </c>
      <c r="E288" t="s">
        <v>85</v>
      </c>
      <c r="F288" t="s">
        <v>13</v>
      </c>
      <c r="G288" t="s">
        <v>525</v>
      </c>
    </row>
    <row r="289" spans="1:7" x14ac:dyDescent="0.3">
      <c r="A289">
        <v>0</v>
      </c>
      <c r="B289" t="s">
        <v>312</v>
      </c>
      <c r="C289" t="s">
        <v>88</v>
      </c>
      <c r="D289" t="s">
        <v>2</v>
      </c>
      <c r="E289" t="s">
        <v>88</v>
      </c>
      <c r="F289" t="s">
        <v>13</v>
      </c>
      <c r="G289" t="s">
        <v>525</v>
      </c>
    </row>
    <row r="290" spans="1:7" x14ac:dyDescent="0.3">
      <c r="A290">
        <v>0</v>
      </c>
      <c r="B290" t="s">
        <v>312</v>
      </c>
      <c r="C290" t="s">
        <v>91</v>
      </c>
      <c r="D290" t="s">
        <v>2</v>
      </c>
      <c r="E290" t="s">
        <v>91</v>
      </c>
      <c r="F290" t="s">
        <v>13</v>
      </c>
      <c r="G290" t="s">
        <v>525</v>
      </c>
    </row>
    <row r="291" spans="1:7" x14ac:dyDescent="0.3">
      <c r="A291">
        <v>0</v>
      </c>
      <c r="B291" t="s">
        <v>312</v>
      </c>
      <c r="C291" t="s">
        <v>94</v>
      </c>
      <c r="D291" t="s">
        <v>2</v>
      </c>
      <c r="E291" t="s">
        <v>94</v>
      </c>
      <c r="F291" t="s">
        <v>13</v>
      </c>
      <c r="G291" t="s">
        <v>525</v>
      </c>
    </row>
    <row r="292" spans="1:7" x14ac:dyDescent="0.3">
      <c r="A292">
        <v>0</v>
      </c>
      <c r="B292" t="s">
        <v>312</v>
      </c>
      <c r="C292" t="s">
        <v>97</v>
      </c>
      <c r="D292" t="s">
        <v>2</v>
      </c>
      <c r="E292" t="s">
        <v>97</v>
      </c>
      <c r="F292" t="s">
        <v>13</v>
      </c>
      <c r="G292" t="s">
        <v>525</v>
      </c>
    </row>
    <row r="293" spans="1:7" x14ac:dyDescent="0.3">
      <c r="A293">
        <v>0</v>
      </c>
      <c r="B293" t="s">
        <v>312</v>
      </c>
      <c r="C293" t="s">
        <v>100</v>
      </c>
      <c r="D293" t="s">
        <v>2</v>
      </c>
      <c r="E293" t="s">
        <v>100</v>
      </c>
      <c r="F293" t="s">
        <v>13</v>
      </c>
      <c r="G293" t="s">
        <v>525</v>
      </c>
    </row>
  </sheetData>
  <pageMargins left="0.75" right="0.75" top="1" bottom="1" header="0.5" footer="0.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56"/>
  <sheetViews>
    <sheetView workbookViewId="0">
      <selection activeCell="E11" sqref="E11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5.9759947992371283E-2</v>
      </c>
      <c r="B2" t="s">
        <v>57</v>
      </c>
      <c r="C2" t="s">
        <v>685</v>
      </c>
      <c r="D2" t="s">
        <v>2</v>
      </c>
      <c r="E2" s="2" t="s">
        <v>435</v>
      </c>
      <c r="F2" t="s">
        <v>13</v>
      </c>
      <c r="G2" t="s">
        <v>525</v>
      </c>
      <c r="H2" t="s">
        <v>626</v>
      </c>
    </row>
    <row r="3" spans="1:9" x14ac:dyDescent="0.3">
      <c r="A3">
        <v>4.3426498988969834E-3</v>
      </c>
      <c r="B3" t="s">
        <v>57</v>
      </c>
      <c r="C3" t="s">
        <v>632</v>
      </c>
      <c r="D3" t="s">
        <v>2</v>
      </c>
      <c r="E3" s="2" t="s">
        <v>382</v>
      </c>
      <c r="F3" t="s">
        <v>13</v>
      </c>
      <c r="G3" t="s">
        <v>525</v>
      </c>
      <c r="H3" t="s">
        <v>626</v>
      </c>
    </row>
    <row r="4" spans="1:9" x14ac:dyDescent="0.3">
      <c r="A4">
        <v>0.74751070094602656</v>
      </c>
      <c r="B4" t="s">
        <v>57</v>
      </c>
      <c r="C4" t="s">
        <v>686</v>
      </c>
      <c r="D4" t="s">
        <v>2</v>
      </c>
      <c r="E4" s="2" t="s">
        <v>315</v>
      </c>
      <c r="F4" t="s">
        <v>13</v>
      </c>
      <c r="G4" t="s">
        <v>525</v>
      </c>
      <c r="H4" t="s">
        <v>626</v>
      </c>
    </row>
    <row r="5" spans="1:9" x14ac:dyDescent="0.3">
      <c r="A5">
        <v>2.8031651285475995E-2</v>
      </c>
      <c r="B5" t="s">
        <v>57</v>
      </c>
      <c r="C5" t="s">
        <v>687</v>
      </c>
      <c r="D5" t="s">
        <v>2</v>
      </c>
      <c r="E5" s="4" t="s">
        <v>454</v>
      </c>
      <c r="F5" t="s">
        <v>13</v>
      </c>
      <c r="G5" t="s">
        <v>525</v>
      </c>
      <c r="H5" t="s">
        <v>626</v>
      </c>
    </row>
    <row r="6" spans="1:9" x14ac:dyDescent="0.3">
      <c r="A6">
        <v>0.17035504987722916</v>
      </c>
      <c r="B6" t="s">
        <v>57</v>
      </c>
      <c r="C6" t="s">
        <v>688</v>
      </c>
      <c r="D6" t="s">
        <v>2</v>
      </c>
      <c r="E6" t="s">
        <v>149</v>
      </c>
      <c r="F6" t="s">
        <v>13</v>
      </c>
      <c r="G6" t="s">
        <v>525</v>
      </c>
      <c r="H6" t="s">
        <v>626</v>
      </c>
    </row>
    <row r="7" spans="1:9" x14ac:dyDescent="0.3">
      <c r="A7">
        <v>0.25</v>
      </c>
      <c r="B7" t="s">
        <v>542</v>
      </c>
      <c r="C7" t="s">
        <v>689</v>
      </c>
      <c r="D7" t="s">
        <v>2</v>
      </c>
      <c r="E7" t="s">
        <v>111</v>
      </c>
      <c r="F7" t="s">
        <v>13</v>
      </c>
      <c r="G7" t="s">
        <v>525</v>
      </c>
      <c r="H7" t="s">
        <v>626</v>
      </c>
    </row>
    <row r="8" spans="1:9" x14ac:dyDescent="0.3">
      <c r="A8">
        <f>0.828/48</f>
        <v>1.7249999999999998E-2</v>
      </c>
      <c r="B8" t="s">
        <v>57</v>
      </c>
      <c r="C8" t="s">
        <v>671</v>
      </c>
      <c r="D8" t="s">
        <v>2</v>
      </c>
      <c r="E8" t="s">
        <v>398</v>
      </c>
      <c r="F8" t="s">
        <v>13</v>
      </c>
      <c r="G8" t="s">
        <v>525</v>
      </c>
      <c r="H8" t="s">
        <v>626</v>
      </c>
    </row>
    <row r="9" spans="1:9" x14ac:dyDescent="0.3">
      <c r="A9">
        <v>4.64508E-2</v>
      </c>
      <c r="B9" t="s">
        <v>57</v>
      </c>
      <c r="C9" t="s">
        <v>535</v>
      </c>
      <c r="D9" t="s">
        <v>498</v>
      </c>
      <c r="E9" t="s">
        <v>502</v>
      </c>
      <c r="F9" t="s">
        <v>13</v>
      </c>
      <c r="G9" t="s">
        <v>525</v>
      </c>
      <c r="H9" t="s">
        <v>658</v>
      </c>
    </row>
    <row r="10" spans="1:9" x14ac:dyDescent="0.3">
      <c r="A10">
        <v>4.1399999999999993E-6</v>
      </c>
      <c r="B10" t="s">
        <v>57</v>
      </c>
      <c r="C10" t="s">
        <v>500</v>
      </c>
      <c r="D10" t="s">
        <v>498</v>
      </c>
      <c r="E10" t="s">
        <v>500</v>
      </c>
      <c r="F10" t="s">
        <v>13</v>
      </c>
      <c r="G10" t="s">
        <v>525</v>
      </c>
      <c r="H10" t="s">
        <v>658</v>
      </c>
    </row>
    <row r="11" spans="1:9" x14ac:dyDescent="0.3">
      <c r="A11">
        <v>8.28E-8</v>
      </c>
      <c r="B11" t="s">
        <v>57</v>
      </c>
      <c r="C11" t="s">
        <v>511</v>
      </c>
      <c r="D11" t="s">
        <v>498</v>
      </c>
      <c r="E11" t="s">
        <v>511</v>
      </c>
      <c r="F11" t="s">
        <v>13</v>
      </c>
      <c r="G11" t="s">
        <v>525</v>
      </c>
      <c r="H11" t="s">
        <v>658</v>
      </c>
    </row>
    <row r="12" spans="1:9" x14ac:dyDescent="0.3">
      <c r="A12">
        <v>0</v>
      </c>
      <c r="B12" t="s">
        <v>312</v>
      </c>
      <c r="C12" t="s">
        <v>483</v>
      </c>
      <c r="D12" t="s">
        <v>2</v>
      </c>
      <c r="E12" t="s">
        <v>483</v>
      </c>
      <c r="F12" t="s">
        <v>13</v>
      </c>
      <c r="G12" t="s">
        <v>525</v>
      </c>
    </row>
    <row r="13" spans="1:9" x14ac:dyDescent="0.3">
      <c r="A13">
        <v>0</v>
      </c>
      <c r="B13" t="s">
        <v>105</v>
      </c>
      <c r="C13" t="s">
        <v>125</v>
      </c>
      <c r="D13" t="s">
        <v>2</v>
      </c>
      <c r="E13" t="s">
        <v>125</v>
      </c>
      <c r="F13" t="s">
        <v>13</v>
      </c>
      <c r="G13" t="s">
        <v>525</v>
      </c>
    </row>
    <row r="14" spans="1:9" x14ac:dyDescent="0.3">
      <c r="A14">
        <v>0</v>
      </c>
      <c r="B14" t="s">
        <v>319</v>
      </c>
      <c r="C14" t="s">
        <v>461</v>
      </c>
      <c r="D14" t="s">
        <v>2</v>
      </c>
      <c r="E14" t="s">
        <v>461</v>
      </c>
      <c r="F14" t="s">
        <v>13</v>
      </c>
      <c r="G14" t="s">
        <v>525</v>
      </c>
    </row>
    <row r="15" spans="1:9" x14ac:dyDescent="0.3">
      <c r="A15">
        <v>0</v>
      </c>
      <c r="B15" t="s">
        <v>314</v>
      </c>
      <c r="C15" t="s">
        <v>395</v>
      </c>
      <c r="D15" t="s">
        <v>2</v>
      </c>
      <c r="E15" t="s">
        <v>395</v>
      </c>
      <c r="F15" t="s">
        <v>13</v>
      </c>
      <c r="G15" t="s">
        <v>525</v>
      </c>
    </row>
    <row r="16" spans="1:9" x14ac:dyDescent="0.3">
      <c r="A16">
        <v>0</v>
      </c>
      <c r="B16" t="s">
        <v>312</v>
      </c>
      <c r="C16" t="s">
        <v>399</v>
      </c>
      <c r="D16" t="s">
        <v>2</v>
      </c>
      <c r="E16" t="s">
        <v>399</v>
      </c>
      <c r="F16" t="s">
        <v>13</v>
      </c>
      <c r="G16" t="s">
        <v>525</v>
      </c>
    </row>
    <row r="17" spans="1:7" x14ac:dyDescent="0.3">
      <c r="A17">
        <v>0</v>
      </c>
      <c r="B17" t="s">
        <v>314</v>
      </c>
      <c r="C17" t="s">
        <v>432</v>
      </c>
      <c r="D17" t="s">
        <v>2</v>
      </c>
      <c r="E17" t="s">
        <v>432</v>
      </c>
      <c r="F17" t="s">
        <v>13</v>
      </c>
      <c r="G17" t="s">
        <v>525</v>
      </c>
    </row>
    <row r="18" spans="1:7" x14ac:dyDescent="0.3">
      <c r="A18">
        <v>0</v>
      </c>
      <c r="B18" t="s">
        <v>312</v>
      </c>
      <c r="C18" t="s">
        <v>325</v>
      </c>
      <c r="D18" t="s">
        <v>2</v>
      </c>
      <c r="E18" t="s">
        <v>325</v>
      </c>
      <c r="F18" t="s">
        <v>13</v>
      </c>
      <c r="G18" t="s">
        <v>525</v>
      </c>
    </row>
    <row r="19" spans="1:7" x14ac:dyDescent="0.3">
      <c r="A19">
        <v>0</v>
      </c>
      <c r="B19" t="s">
        <v>314</v>
      </c>
      <c r="C19" t="s">
        <v>372</v>
      </c>
      <c r="D19" t="s">
        <v>2</v>
      </c>
      <c r="E19" t="s">
        <v>372</v>
      </c>
      <c r="F19" t="s">
        <v>13</v>
      </c>
      <c r="G19" t="s">
        <v>525</v>
      </c>
    </row>
    <row r="20" spans="1:7" x14ac:dyDescent="0.3">
      <c r="A20">
        <v>0</v>
      </c>
      <c r="B20" t="s">
        <v>314</v>
      </c>
      <c r="C20" t="s">
        <v>260</v>
      </c>
      <c r="D20" t="s">
        <v>2</v>
      </c>
      <c r="E20" t="s">
        <v>260</v>
      </c>
      <c r="F20" t="s">
        <v>13</v>
      </c>
      <c r="G20" t="s">
        <v>525</v>
      </c>
    </row>
    <row r="21" spans="1:7" x14ac:dyDescent="0.3">
      <c r="A21">
        <v>0</v>
      </c>
      <c r="B21" t="s">
        <v>312</v>
      </c>
      <c r="C21" t="s">
        <v>330</v>
      </c>
      <c r="D21" t="s">
        <v>2</v>
      </c>
      <c r="E21" t="s">
        <v>330</v>
      </c>
      <c r="F21" t="s">
        <v>13</v>
      </c>
      <c r="G21" t="s">
        <v>525</v>
      </c>
    </row>
    <row r="22" spans="1:7" x14ac:dyDescent="0.3">
      <c r="A22">
        <v>0</v>
      </c>
      <c r="B22" t="s">
        <v>105</v>
      </c>
      <c r="C22" t="s">
        <v>401</v>
      </c>
      <c r="D22" t="s">
        <v>2</v>
      </c>
      <c r="E22" t="s">
        <v>401</v>
      </c>
      <c r="F22" t="s">
        <v>13</v>
      </c>
      <c r="G22" t="s">
        <v>525</v>
      </c>
    </row>
    <row r="23" spans="1:7" x14ac:dyDescent="0.3">
      <c r="A23">
        <v>0</v>
      </c>
      <c r="B23" t="s">
        <v>312</v>
      </c>
      <c r="C23" t="s">
        <v>416</v>
      </c>
      <c r="D23" t="s">
        <v>2</v>
      </c>
      <c r="E23" t="s">
        <v>416</v>
      </c>
      <c r="F23" t="s">
        <v>13</v>
      </c>
      <c r="G23" t="s">
        <v>525</v>
      </c>
    </row>
    <row r="24" spans="1:7" x14ac:dyDescent="0.3">
      <c r="A24">
        <v>0</v>
      </c>
      <c r="B24" t="s">
        <v>319</v>
      </c>
      <c r="C24" t="s">
        <v>375</v>
      </c>
      <c r="D24" t="s">
        <v>2</v>
      </c>
      <c r="E24" t="s">
        <v>375</v>
      </c>
      <c r="F24" t="s">
        <v>13</v>
      </c>
      <c r="G24" t="s">
        <v>525</v>
      </c>
    </row>
    <row r="25" spans="1:7" x14ac:dyDescent="0.3">
      <c r="A25">
        <v>0</v>
      </c>
      <c r="B25" t="s">
        <v>312</v>
      </c>
      <c r="C25" t="s">
        <v>333</v>
      </c>
      <c r="D25" t="s">
        <v>2</v>
      </c>
      <c r="E25" t="s">
        <v>333</v>
      </c>
      <c r="F25" t="s">
        <v>13</v>
      </c>
      <c r="G25" t="s">
        <v>525</v>
      </c>
    </row>
    <row r="26" spans="1:7" x14ac:dyDescent="0.3">
      <c r="A26">
        <v>0</v>
      </c>
      <c r="B26" t="s">
        <v>57</v>
      </c>
      <c r="C26" t="s">
        <v>118</v>
      </c>
      <c r="D26" t="s">
        <v>2</v>
      </c>
      <c r="E26" t="s">
        <v>118</v>
      </c>
      <c r="F26" t="s">
        <v>13</v>
      </c>
      <c r="G26" t="s">
        <v>525</v>
      </c>
    </row>
    <row r="27" spans="1:7" x14ac:dyDescent="0.3">
      <c r="A27">
        <v>0</v>
      </c>
      <c r="B27" t="s">
        <v>312</v>
      </c>
      <c r="C27" t="s">
        <v>406</v>
      </c>
      <c r="D27" t="s">
        <v>2</v>
      </c>
      <c r="E27" t="s">
        <v>406</v>
      </c>
      <c r="F27" t="s">
        <v>13</v>
      </c>
      <c r="G27" t="s">
        <v>525</v>
      </c>
    </row>
    <row r="28" spans="1:7" x14ac:dyDescent="0.3">
      <c r="A28">
        <v>0</v>
      </c>
      <c r="B28" t="s">
        <v>312</v>
      </c>
      <c r="C28" t="s">
        <v>315</v>
      </c>
      <c r="D28" t="s">
        <v>2</v>
      </c>
      <c r="E28" t="s">
        <v>315</v>
      </c>
      <c r="F28" t="s">
        <v>13</v>
      </c>
      <c r="G28" t="s">
        <v>525</v>
      </c>
    </row>
    <row r="29" spans="1:7" x14ac:dyDescent="0.3">
      <c r="A29">
        <v>0</v>
      </c>
      <c r="B29" t="s">
        <v>312</v>
      </c>
      <c r="C29" t="s">
        <v>358</v>
      </c>
      <c r="D29" t="s">
        <v>2</v>
      </c>
      <c r="E29" t="s">
        <v>358</v>
      </c>
      <c r="F29" t="s">
        <v>13</v>
      </c>
      <c r="G29" t="s">
        <v>525</v>
      </c>
    </row>
    <row r="30" spans="1:7" x14ac:dyDescent="0.3">
      <c r="A30">
        <v>0</v>
      </c>
      <c r="B30" t="s">
        <v>314</v>
      </c>
      <c r="C30" t="s">
        <v>444</v>
      </c>
      <c r="D30" t="s">
        <v>2</v>
      </c>
      <c r="E30" t="s">
        <v>444</v>
      </c>
      <c r="F30" t="s">
        <v>13</v>
      </c>
      <c r="G30" t="s">
        <v>525</v>
      </c>
    </row>
    <row r="31" spans="1:7" x14ac:dyDescent="0.3">
      <c r="A31">
        <v>0</v>
      </c>
      <c r="B31" t="s">
        <v>312</v>
      </c>
      <c r="C31" t="s">
        <v>439</v>
      </c>
      <c r="D31" t="s">
        <v>2</v>
      </c>
      <c r="E31" t="s">
        <v>439</v>
      </c>
      <c r="F31" t="s">
        <v>13</v>
      </c>
      <c r="G31" t="s">
        <v>525</v>
      </c>
    </row>
    <row r="32" spans="1:7" x14ac:dyDescent="0.3">
      <c r="A32">
        <v>0</v>
      </c>
      <c r="B32" t="s">
        <v>312</v>
      </c>
      <c r="C32" t="s">
        <v>381</v>
      </c>
      <c r="D32" t="s">
        <v>2</v>
      </c>
      <c r="E32" t="s">
        <v>381</v>
      </c>
      <c r="F32" t="s">
        <v>13</v>
      </c>
      <c r="G32" t="s">
        <v>525</v>
      </c>
    </row>
    <row r="33" spans="1:7" x14ac:dyDescent="0.3">
      <c r="A33">
        <v>0</v>
      </c>
      <c r="B33" t="s">
        <v>312</v>
      </c>
      <c r="C33" t="s">
        <v>418</v>
      </c>
      <c r="D33" t="s">
        <v>2</v>
      </c>
      <c r="E33" t="s">
        <v>418</v>
      </c>
      <c r="F33" t="s">
        <v>13</v>
      </c>
      <c r="G33" t="s">
        <v>525</v>
      </c>
    </row>
    <row r="34" spans="1:7" x14ac:dyDescent="0.3">
      <c r="A34">
        <v>0</v>
      </c>
      <c r="B34" t="s">
        <v>314</v>
      </c>
      <c r="C34" t="s">
        <v>465</v>
      </c>
      <c r="D34" t="s">
        <v>2</v>
      </c>
      <c r="E34" t="s">
        <v>465</v>
      </c>
      <c r="F34" t="s">
        <v>13</v>
      </c>
      <c r="G34" t="s">
        <v>525</v>
      </c>
    </row>
    <row r="35" spans="1:7" x14ac:dyDescent="0.3">
      <c r="A35">
        <v>0</v>
      </c>
      <c r="B35" t="s">
        <v>105</v>
      </c>
      <c r="C35" t="s">
        <v>103</v>
      </c>
      <c r="D35" t="s">
        <v>2</v>
      </c>
      <c r="E35" t="s">
        <v>103</v>
      </c>
      <c r="F35" t="s">
        <v>13</v>
      </c>
      <c r="G35" t="s">
        <v>525</v>
      </c>
    </row>
    <row r="36" spans="1:7" x14ac:dyDescent="0.3">
      <c r="A36">
        <v>0</v>
      </c>
      <c r="B36" t="s">
        <v>312</v>
      </c>
      <c r="C36" t="s">
        <v>320</v>
      </c>
      <c r="D36" t="s">
        <v>2</v>
      </c>
      <c r="E36" t="s">
        <v>320</v>
      </c>
      <c r="F36" t="s">
        <v>13</v>
      </c>
      <c r="G36" t="s">
        <v>525</v>
      </c>
    </row>
    <row r="37" spans="1:7" x14ac:dyDescent="0.3">
      <c r="A37">
        <v>0</v>
      </c>
      <c r="B37" t="s">
        <v>312</v>
      </c>
      <c r="C37" t="s">
        <v>334</v>
      </c>
      <c r="D37" t="s">
        <v>2</v>
      </c>
      <c r="E37" t="s">
        <v>334</v>
      </c>
      <c r="F37" t="s">
        <v>13</v>
      </c>
      <c r="G37" t="s">
        <v>525</v>
      </c>
    </row>
    <row r="38" spans="1:7" x14ac:dyDescent="0.3">
      <c r="A38">
        <v>0</v>
      </c>
      <c r="B38" t="s">
        <v>312</v>
      </c>
      <c r="C38" t="s">
        <v>435</v>
      </c>
      <c r="D38" t="s">
        <v>2</v>
      </c>
      <c r="E38" t="s">
        <v>435</v>
      </c>
      <c r="F38" t="s">
        <v>13</v>
      </c>
      <c r="G38" t="s">
        <v>525</v>
      </c>
    </row>
    <row r="39" spans="1:7" x14ac:dyDescent="0.3">
      <c r="A39">
        <v>0</v>
      </c>
      <c r="B39" t="s">
        <v>319</v>
      </c>
      <c r="C39" t="s">
        <v>456</v>
      </c>
      <c r="D39" t="s">
        <v>2</v>
      </c>
      <c r="E39" t="s">
        <v>456</v>
      </c>
      <c r="F39" t="s">
        <v>13</v>
      </c>
      <c r="G39" t="s">
        <v>525</v>
      </c>
    </row>
    <row r="40" spans="1:7" x14ac:dyDescent="0.3">
      <c r="A40">
        <v>0</v>
      </c>
      <c r="B40" t="s">
        <v>312</v>
      </c>
      <c r="C40" t="s">
        <v>474</v>
      </c>
      <c r="D40" t="s">
        <v>2</v>
      </c>
      <c r="E40" t="s">
        <v>474</v>
      </c>
      <c r="F40" t="s">
        <v>13</v>
      </c>
      <c r="G40" t="s">
        <v>525</v>
      </c>
    </row>
    <row r="41" spans="1:7" x14ac:dyDescent="0.3">
      <c r="A41">
        <v>0</v>
      </c>
      <c r="B41" t="s">
        <v>319</v>
      </c>
      <c r="C41" t="s">
        <v>318</v>
      </c>
      <c r="D41" t="s">
        <v>2</v>
      </c>
      <c r="E41" t="s">
        <v>318</v>
      </c>
      <c r="F41" t="s">
        <v>13</v>
      </c>
      <c r="G41" t="s">
        <v>525</v>
      </c>
    </row>
    <row r="42" spans="1:7" x14ac:dyDescent="0.3">
      <c r="A42">
        <v>0</v>
      </c>
      <c r="B42" t="s">
        <v>314</v>
      </c>
      <c r="C42" t="s">
        <v>475</v>
      </c>
      <c r="D42" t="s">
        <v>2</v>
      </c>
      <c r="E42" t="s">
        <v>475</v>
      </c>
      <c r="F42" t="s">
        <v>13</v>
      </c>
      <c r="G42" t="s">
        <v>525</v>
      </c>
    </row>
    <row r="43" spans="1:7" x14ac:dyDescent="0.3">
      <c r="A43">
        <v>0</v>
      </c>
      <c r="B43" t="s">
        <v>314</v>
      </c>
      <c r="C43" t="s">
        <v>449</v>
      </c>
      <c r="D43" t="s">
        <v>2</v>
      </c>
      <c r="E43" t="s">
        <v>449</v>
      </c>
      <c r="F43" t="s">
        <v>13</v>
      </c>
      <c r="G43" t="s">
        <v>525</v>
      </c>
    </row>
    <row r="44" spans="1:7" x14ac:dyDescent="0.3">
      <c r="A44">
        <v>0</v>
      </c>
      <c r="B44" t="s">
        <v>314</v>
      </c>
      <c r="C44" t="s">
        <v>176</v>
      </c>
      <c r="D44" t="s">
        <v>2</v>
      </c>
      <c r="E44" t="s">
        <v>176</v>
      </c>
      <c r="F44" t="s">
        <v>13</v>
      </c>
      <c r="G44" t="s">
        <v>525</v>
      </c>
    </row>
    <row r="45" spans="1:7" x14ac:dyDescent="0.3">
      <c r="A45">
        <v>0</v>
      </c>
      <c r="B45" t="s">
        <v>312</v>
      </c>
      <c r="C45" t="s">
        <v>388</v>
      </c>
      <c r="D45" t="s">
        <v>2</v>
      </c>
      <c r="E45" t="s">
        <v>388</v>
      </c>
      <c r="F45" t="s">
        <v>13</v>
      </c>
      <c r="G45" t="s">
        <v>525</v>
      </c>
    </row>
    <row r="46" spans="1:7" x14ac:dyDescent="0.3">
      <c r="A46">
        <v>0</v>
      </c>
      <c r="B46" t="s">
        <v>319</v>
      </c>
      <c r="C46" t="s">
        <v>429</v>
      </c>
      <c r="D46" t="s">
        <v>2</v>
      </c>
      <c r="E46" t="s">
        <v>429</v>
      </c>
      <c r="F46" t="s">
        <v>13</v>
      </c>
      <c r="G46" t="s">
        <v>525</v>
      </c>
    </row>
    <row r="47" spans="1:7" x14ac:dyDescent="0.3">
      <c r="A47">
        <v>0</v>
      </c>
      <c r="B47" t="s">
        <v>312</v>
      </c>
      <c r="C47" t="s">
        <v>272</v>
      </c>
      <c r="D47" t="s">
        <v>2</v>
      </c>
      <c r="E47" t="s">
        <v>272</v>
      </c>
      <c r="F47" t="s">
        <v>13</v>
      </c>
      <c r="G47" t="s">
        <v>525</v>
      </c>
    </row>
    <row r="48" spans="1:7" x14ac:dyDescent="0.3">
      <c r="A48">
        <v>0</v>
      </c>
      <c r="B48" t="s">
        <v>312</v>
      </c>
      <c r="C48" t="s">
        <v>410</v>
      </c>
      <c r="D48" t="s">
        <v>2</v>
      </c>
      <c r="E48" t="s">
        <v>410</v>
      </c>
      <c r="F48" t="s">
        <v>13</v>
      </c>
      <c r="G48" t="s">
        <v>525</v>
      </c>
    </row>
    <row r="49" spans="1:7" x14ac:dyDescent="0.3">
      <c r="A49">
        <v>0</v>
      </c>
      <c r="B49" t="s">
        <v>319</v>
      </c>
      <c r="C49" t="s">
        <v>363</v>
      </c>
      <c r="D49" t="s">
        <v>2</v>
      </c>
      <c r="E49" t="s">
        <v>363</v>
      </c>
      <c r="F49" t="s">
        <v>13</v>
      </c>
      <c r="G49" t="s">
        <v>525</v>
      </c>
    </row>
    <row r="50" spans="1:7" x14ac:dyDescent="0.3">
      <c r="A50">
        <v>0</v>
      </c>
      <c r="B50" t="s">
        <v>312</v>
      </c>
      <c r="C50" t="s">
        <v>382</v>
      </c>
      <c r="D50" t="s">
        <v>2</v>
      </c>
      <c r="E50" t="s">
        <v>382</v>
      </c>
      <c r="F50" t="s">
        <v>13</v>
      </c>
      <c r="G50" t="s">
        <v>525</v>
      </c>
    </row>
    <row r="51" spans="1:7" x14ac:dyDescent="0.3">
      <c r="A51">
        <v>0</v>
      </c>
      <c r="B51" t="s">
        <v>312</v>
      </c>
      <c r="C51" t="s">
        <v>424</v>
      </c>
      <c r="D51" t="s">
        <v>2</v>
      </c>
      <c r="E51" t="s">
        <v>424</v>
      </c>
      <c r="F51" t="s">
        <v>13</v>
      </c>
      <c r="G51" t="s">
        <v>525</v>
      </c>
    </row>
    <row r="52" spans="1:7" x14ac:dyDescent="0.3">
      <c r="A52">
        <v>0</v>
      </c>
      <c r="B52" t="s">
        <v>314</v>
      </c>
      <c r="C52" t="s">
        <v>351</v>
      </c>
      <c r="D52" t="s">
        <v>2</v>
      </c>
      <c r="E52" t="s">
        <v>351</v>
      </c>
      <c r="F52" t="s">
        <v>13</v>
      </c>
      <c r="G52" t="s">
        <v>525</v>
      </c>
    </row>
    <row r="53" spans="1:7" x14ac:dyDescent="0.3">
      <c r="A53">
        <v>0</v>
      </c>
      <c r="B53" t="s">
        <v>312</v>
      </c>
      <c r="C53" t="s">
        <v>347</v>
      </c>
      <c r="D53" t="s">
        <v>2</v>
      </c>
      <c r="E53" t="s">
        <v>347</v>
      </c>
      <c r="F53" t="s">
        <v>13</v>
      </c>
      <c r="G53" t="s">
        <v>525</v>
      </c>
    </row>
    <row r="54" spans="1:7" x14ac:dyDescent="0.3">
      <c r="A54">
        <v>0</v>
      </c>
      <c r="B54" t="s">
        <v>314</v>
      </c>
      <c r="C54" t="s">
        <v>453</v>
      </c>
      <c r="D54" t="s">
        <v>2</v>
      </c>
      <c r="E54" t="s">
        <v>453</v>
      </c>
      <c r="F54" t="s">
        <v>13</v>
      </c>
      <c r="G54" t="s">
        <v>525</v>
      </c>
    </row>
    <row r="55" spans="1:7" x14ac:dyDescent="0.3">
      <c r="A55">
        <v>0</v>
      </c>
      <c r="B55" t="s">
        <v>319</v>
      </c>
      <c r="C55" t="s">
        <v>457</v>
      </c>
      <c r="D55" t="s">
        <v>2</v>
      </c>
      <c r="E55" t="s">
        <v>457</v>
      </c>
      <c r="F55" t="s">
        <v>13</v>
      </c>
      <c r="G55" t="s">
        <v>525</v>
      </c>
    </row>
    <row r="56" spans="1:7" x14ac:dyDescent="0.3">
      <c r="A56">
        <v>0</v>
      </c>
      <c r="B56" t="s">
        <v>312</v>
      </c>
      <c r="C56" t="s">
        <v>485</v>
      </c>
      <c r="D56" t="s">
        <v>2</v>
      </c>
      <c r="E56" t="s">
        <v>485</v>
      </c>
      <c r="F56" t="s">
        <v>13</v>
      </c>
      <c r="G56" t="s">
        <v>525</v>
      </c>
    </row>
    <row r="57" spans="1:7" x14ac:dyDescent="0.3">
      <c r="A57">
        <v>0</v>
      </c>
      <c r="B57" t="s">
        <v>312</v>
      </c>
      <c r="C57" t="s">
        <v>355</v>
      </c>
      <c r="D57" t="s">
        <v>2</v>
      </c>
      <c r="E57" t="s">
        <v>355</v>
      </c>
      <c r="F57" t="s">
        <v>13</v>
      </c>
      <c r="G57" t="s">
        <v>525</v>
      </c>
    </row>
    <row r="58" spans="1:7" x14ac:dyDescent="0.3">
      <c r="A58">
        <v>0</v>
      </c>
      <c r="B58" t="s">
        <v>312</v>
      </c>
      <c r="C58" t="s">
        <v>338</v>
      </c>
      <c r="D58" t="s">
        <v>2</v>
      </c>
      <c r="E58" t="s">
        <v>338</v>
      </c>
      <c r="F58" t="s">
        <v>13</v>
      </c>
      <c r="G58" t="s">
        <v>525</v>
      </c>
    </row>
    <row r="59" spans="1:7" x14ac:dyDescent="0.3">
      <c r="A59">
        <v>0</v>
      </c>
      <c r="B59" t="s">
        <v>312</v>
      </c>
      <c r="C59" t="s">
        <v>394</v>
      </c>
      <c r="D59" t="s">
        <v>2</v>
      </c>
      <c r="E59" t="s">
        <v>394</v>
      </c>
      <c r="F59" t="s">
        <v>13</v>
      </c>
      <c r="G59" t="s">
        <v>525</v>
      </c>
    </row>
    <row r="60" spans="1:7" x14ac:dyDescent="0.3">
      <c r="A60">
        <v>0</v>
      </c>
      <c r="B60" t="s">
        <v>312</v>
      </c>
      <c r="C60" t="s">
        <v>438</v>
      </c>
      <c r="D60" t="s">
        <v>2</v>
      </c>
      <c r="E60" t="s">
        <v>438</v>
      </c>
      <c r="F60" t="s">
        <v>13</v>
      </c>
      <c r="G60" t="s">
        <v>525</v>
      </c>
    </row>
    <row r="61" spans="1:7" x14ac:dyDescent="0.3">
      <c r="A61">
        <v>0</v>
      </c>
      <c r="B61" t="s">
        <v>312</v>
      </c>
      <c r="C61" t="s">
        <v>486</v>
      </c>
      <c r="D61" t="s">
        <v>2</v>
      </c>
      <c r="E61" t="s">
        <v>486</v>
      </c>
      <c r="F61" t="s">
        <v>13</v>
      </c>
      <c r="G61" t="s">
        <v>525</v>
      </c>
    </row>
    <row r="62" spans="1:7" x14ac:dyDescent="0.3">
      <c r="A62">
        <v>0</v>
      </c>
      <c r="B62" t="s">
        <v>319</v>
      </c>
      <c r="C62" t="s">
        <v>419</v>
      </c>
      <c r="D62" t="s">
        <v>2</v>
      </c>
      <c r="E62" t="s">
        <v>419</v>
      </c>
      <c r="F62" t="s">
        <v>13</v>
      </c>
      <c r="G62" t="s">
        <v>525</v>
      </c>
    </row>
    <row r="63" spans="1:7" x14ac:dyDescent="0.3">
      <c r="A63">
        <v>0</v>
      </c>
      <c r="B63" t="s">
        <v>57</v>
      </c>
      <c r="C63" t="s">
        <v>353</v>
      </c>
      <c r="D63" t="s">
        <v>2</v>
      </c>
      <c r="E63" t="s">
        <v>353</v>
      </c>
      <c r="F63" t="s">
        <v>13</v>
      </c>
      <c r="G63" t="s">
        <v>525</v>
      </c>
    </row>
    <row r="64" spans="1:7" x14ac:dyDescent="0.3">
      <c r="A64">
        <v>0</v>
      </c>
      <c r="B64" t="s">
        <v>319</v>
      </c>
      <c r="C64" t="s">
        <v>489</v>
      </c>
      <c r="D64" t="s">
        <v>2</v>
      </c>
      <c r="E64" t="s">
        <v>489</v>
      </c>
      <c r="F64" t="s">
        <v>13</v>
      </c>
      <c r="G64" t="s">
        <v>525</v>
      </c>
    </row>
    <row r="65" spans="1:7" x14ac:dyDescent="0.3">
      <c r="A65">
        <v>0</v>
      </c>
      <c r="B65" t="s">
        <v>312</v>
      </c>
      <c r="C65" t="s">
        <v>386</v>
      </c>
      <c r="D65" t="s">
        <v>2</v>
      </c>
      <c r="E65" t="s">
        <v>386</v>
      </c>
      <c r="F65" t="s">
        <v>13</v>
      </c>
      <c r="G65" t="s">
        <v>525</v>
      </c>
    </row>
    <row r="66" spans="1:7" x14ac:dyDescent="0.3">
      <c r="A66">
        <v>0</v>
      </c>
      <c r="B66" t="s">
        <v>319</v>
      </c>
      <c r="C66" t="s">
        <v>389</v>
      </c>
      <c r="D66" t="s">
        <v>2</v>
      </c>
      <c r="E66" t="s">
        <v>389</v>
      </c>
      <c r="F66" t="s">
        <v>13</v>
      </c>
      <c r="G66" t="s">
        <v>525</v>
      </c>
    </row>
    <row r="67" spans="1:7" x14ac:dyDescent="0.3">
      <c r="A67">
        <v>0</v>
      </c>
      <c r="B67" t="s">
        <v>312</v>
      </c>
      <c r="C67" t="s">
        <v>340</v>
      </c>
      <c r="D67" t="s">
        <v>2</v>
      </c>
      <c r="E67" t="s">
        <v>340</v>
      </c>
      <c r="F67" t="s">
        <v>13</v>
      </c>
      <c r="G67" t="s">
        <v>525</v>
      </c>
    </row>
    <row r="68" spans="1:7" x14ac:dyDescent="0.3">
      <c r="A68">
        <v>0</v>
      </c>
      <c r="B68" t="s">
        <v>312</v>
      </c>
      <c r="C68" t="s">
        <v>368</v>
      </c>
      <c r="D68" t="s">
        <v>2</v>
      </c>
      <c r="E68" t="s">
        <v>368</v>
      </c>
      <c r="F68" t="s">
        <v>13</v>
      </c>
      <c r="G68" t="s">
        <v>525</v>
      </c>
    </row>
    <row r="69" spans="1:7" x14ac:dyDescent="0.3">
      <c r="A69">
        <v>0</v>
      </c>
      <c r="B69" t="s">
        <v>312</v>
      </c>
      <c r="C69" t="s">
        <v>328</v>
      </c>
      <c r="D69" t="s">
        <v>2</v>
      </c>
      <c r="E69" t="s">
        <v>328</v>
      </c>
      <c r="F69" t="s">
        <v>13</v>
      </c>
      <c r="G69" t="s">
        <v>525</v>
      </c>
    </row>
    <row r="70" spans="1:7" x14ac:dyDescent="0.3">
      <c r="A70">
        <v>0</v>
      </c>
      <c r="B70" t="s">
        <v>312</v>
      </c>
      <c r="C70" t="s">
        <v>479</v>
      </c>
      <c r="D70" t="s">
        <v>2</v>
      </c>
      <c r="E70" t="s">
        <v>479</v>
      </c>
      <c r="F70" t="s">
        <v>13</v>
      </c>
      <c r="G70" t="s">
        <v>525</v>
      </c>
    </row>
    <row r="71" spans="1:7" x14ac:dyDescent="0.3">
      <c r="A71">
        <v>0</v>
      </c>
      <c r="B71" t="s">
        <v>57</v>
      </c>
      <c r="C71" t="s">
        <v>116</v>
      </c>
      <c r="D71" t="s">
        <v>2</v>
      </c>
      <c r="E71" t="s">
        <v>116</v>
      </c>
      <c r="F71" t="s">
        <v>13</v>
      </c>
      <c r="G71" t="s">
        <v>525</v>
      </c>
    </row>
    <row r="72" spans="1:7" x14ac:dyDescent="0.3">
      <c r="A72">
        <v>0</v>
      </c>
      <c r="B72" t="s">
        <v>312</v>
      </c>
      <c r="C72" t="s">
        <v>352</v>
      </c>
      <c r="D72" t="s">
        <v>2</v>
      </c>
      <c r="E72" t="s">
        <v>352</v>
      </c>
      <c r="F72" t="s">
        <v>13</v>
      </c>
      <c r="G72" t="s">
        <v>525</v>
      </c>
    </row>
    <row r="73" spans="1:7" x14ac:dyDescent="0.3">
      <c r="A73">
        <v>0</v>
      </c>
      <c r="B73" t="s">
        <v>312</v>
      </c>
      <c r="C73" t="s">
        <v>417</v>
      </c>
      <c r="D73" t="s">
        <v>2</v>
      </c>
      <c r="E73" t="s">
        <v>417</v>
      </c>
      <c r="F73" t="s">
        <v>13</v>
      </c>
      <c r="G73" t="s">
        <v>525</v>
      </c>
    </row>
    <row r="74" spans="1:7" x14ac:dyDescent="0.3">
      <c r="A74">
        <v>0</v>
      </c>
      <c r="B74" t="s">
        <v>312</v>
      </c>
      <c r="C74" t="s">
        <v>447</v>
      </c>
      <c r="D74" t="s">
        <v>2</v>
      </c>
      <c r="E74" t="s">
        <v>447</v>
      </c>
      <c r="F74" t="s">
        <v>13</v>
      </c>
      <c r="G74" t="s">
        <v>525</v>
      </c>
    </row>
    <row r="75" spans="1:7" x14ac:dyDescent="0.3">
      <c r="A75">
        <v>0</v>
      </c>
      <c r="B75" t="s">
        <v>319</v>
      </c>
      <c r="C75" t="s">
        <v>329</v>
      </c>
      <c r="D75" t="s">
        <v>2</v>
      </c>
      <c r="E75" t="s">
        <v>329</v>
      </c>
      <c r="F75" t="s">
        <v>13</v>
      </c>
      <c r="G75" t="s">
        <v>525</v>
      </c>
    </row>
    <row r="76" spans="1:7" x14ac:dyDescent="0.3">
      <c r="A76">
        <v>0</v>
      </c>
      <c r="B76" t="s">
        <v>312</v>
      </c>
      <c r="C76" t="s">
        <v>252</v>
      </c>
      <c r="D76" t="s">
        <v>2</v>
      </c>
      <c r="E76" t="s">
        <v>252</v>
      </c>
      <c r="F76" t="s">
        <v>13</v>
      </c>
      <c r="G76" t="s">
        <v>525</v>
      </c>
    </row>
    <row r="77" spans="1:7" x14ac:dyDescent="0.3">
      <c r="A77">
        <v>0</v>
      </c>
      <c r="B77" t="s">
        <v>312</v>
      </c>
      <c r="C77" t="s">
        <v>317</v>
      </c>
      <c r="D77" t="s">
        <v>2</v>
      </c>
      <c r="E77" t="s">
        <v>317</v>
      </c>
      <c r="F77" t="s">
        <v>13</v>
      </c>
      <c r="G77" t="s">
        <v>525</v>
      </c>
    </row>
    <row r="78" spans="1:7" x14ac:dyDescent="0.3">
      <c r="A78">
        <v>0</v>
      </c>
      <c r="B78" t="s">
        <v>312</v>
      </c>
      <c r="C78" t="s">
        <v>436</v>
      </c>
      <c r="D78" t="s">
        <v>2</v>
      </c>
      <c r="E78" t="s">
        <v>436</v>
      </c>
      <c r="F78" t="s">
        <v>13</v>
      </c>
      <c r="G78" t="s">
        <v>525</v>
      </c>
    </row>
    <row r="79" spans="1:7" x14ac:dyDescent="0.3">
      <c r="A79">
        <v>0</v>
      </c>
      <c r="B79" t="s">
        <v>319</v>
      </c>
      <c r="C79" t="s">
        <v>490</v>
      </c>
      <c r="D79" t="s">
        <v>2</v>
      </c>
      <c r="E79" t="s">
        <v>490</v>
      </c>
      <c r="F79" t="s">
        <v>13</v>
      </c>
      <c r="G79" t="s">
        <v>525</v>
      </c>
    </row>
    <row r="80" spans="1:7" x14ac:dyDescent="0.3">
      <c r="A80">
        <v>0</v>
      </c>
      <c r="B80" t="s">
        <v>312</v>
      </c>
      <c r="C80" t="s">
        <v>391</v>
      </c>
      <c r="D80" t="s">
        <v>2</v>
      </c>
      <c r="E80" t="s">
        <v>391</v>
      </c>
      <c r="F80" t="s">
        <v>13</v>
      </c>
      <c r="G80" t="s">
        <v>525</v>
      </c>
    </row>
    <row r="81" spans="1:7" x14ac:dyDescent="0.3">
      <c r="A81">
        <v>0</v>
      </c>
      <c r="B81" t="s">
        <v>312</v>
      </c>
      <c r="C81" t="s">
        <v>235</v>
      </c>
      <c r="D81" t="s">
        <v>2</v>
      </c>
      <c r="E81" t="s">
        <v>235</v>
      </c>
      <c r="F81" t="s">
        <v>13</v>
      </c>
      <c r="G81" t="s">
        <v>525</v>
      </c>
    </row>
    <row r="82" spans="1:7" x14ac:dyDescent="0.3">
      <c r="A82">
        <v>0</v>
      </c>
      <c r="B82" t="s">
        <v>312</v>
      </c>
      <c r="C82" t="s">
        <v>493</v>
      </c>
      <c r="D82" t="s">
        <v>2</v>
      </c>
      <c r="E82" t="s">
        <v>493</v>
      </c>
      <c r="F82" t="s">
        <v>13</v>
      </c>
      <c r="G82" t="s">
        <v>525</v>
      </c>
    </row>
    <row r="83" spans="1:7" x14ac:dyDescent="0.3">
      <c r="A83">
        <v>0</v>
      </c>
      <c r="B83" t="s">
        <v>312</v>
      </c>
      <c r="C83" t="s">
        <v>335</v>
      </c>
      <c r="D83" t="s">
        <v>2</v>
      </c>
      <c r="E83" t="s">
        <v>335</v>
      </c>
      <c r="F83" t="s">
        <v>13</v>
      </c>
      <c r="G83" t="s">
        <v>525</v>
      </c>
    </row>
    <row r="84" spans="1:7" x14ac:dyDescent="0.3">
      <c r="A84">
        <v>0</v>
      </c>
      <c r="B84" t="s">
        <v>312</v>
      </c>
      <c r="C84" t="s">
        <v>354</v>
      </c>
      <c r="D84" t="s">
        <v>2</v>
      </c>
      <c r="E84" t="s">
        <v>354</v>
      </c>
      <c r="F84" t="s">
        <v>13</v>
      </c>
      <c r="G84" t="s">
        <v>525</v>
      </c>
    </row>
    <row r="85" spans="1:7" x14ac:dyDescent="0.3">
      <c r="A85">
        <v>0</v>
      </c>
      <c r="B85" t="s">
        <v>319</v>
      </c>
      <c r="C85" t="s">
        <v>360</v>
      </c>
      <c r="D85" t="s">
        <v>2</v>
      </c>
      <c r="E85" t="s">
        <v>360</v>
      </c>
      <c r="F85" t="s">
        <v>13</v>
      </c>
      <c r="G85" t="s">
        <v>525</v>
      </c>
    </row>
    <row r="86" spans="1:7" x14ac:dyDescent="0.3">
      <c r="A86">
        <v>0</v>
      </c>
      <c r="B86" t="s">
        <v>314</v>
      </c>
      <c r="C86" t="s">
        <v>356</v>
      </c>
      <c r="D86" t="s">
        <v>2</v>
      </c>
      <c r="E86" t="s">
        <v>356</v>
      </c>
      <c r="F86" t="s">
        <v>13</v>
      </c>
      <c r="G86" t="s">
        <v>525</v>
      </c>
    </row>
    <row r="87" spans="1:7" x14ac:dyDescent="0.3">
      <c r="A87">
        <v>0</v>
      </c>
      <c r="B87" t="s">
        <v>312</v>
      </c>
      <c r="C87" t="s">
        <v>405</v>
      </c>
      <c r="D87" t="s">
        <v>2</v>
      </c>
      <c r="E87" t="s">
        <v>405</v>
      </c>
      <c r="F87" t="s">
        <v>13</v>
      </c>
      <c r="G87" t="s">
        <v>525</v>
      </c>
    </row>
    <row r="88" spans="1:7" x14ac:dyDescent="0.3">
      <c r="A88">
        <v>0</v>
      </c>
      <c r="B88" t="s">
        <v>312</v>
      </c>
      <c r="C88" t="s">
        <v>471</v>
      </c>
      <c r="D88" t="s">
        <v>2</v>
      </c>
      <c r="E88" t="s">
        <v>471</v>
      </c>
      <c r="F88" t="s">
        <v>13</v>
      </c>
      <c r="G88" t="s">
        <v>525</v>
      </c>
    </row>
    <row r="89" spans="1:7" x14ac:dyDescent="0.3">
      <c r="A89">
        <v>0</v>
      </c>
      <c r="B89" t="s">
        <v>319</v>
      </c>
      <c r="C89" t="s">
        <v>421</v>
      </c>
      <c r="D89" t="s">
        <v>2</v>
      </c>
      <c r="E89" t="s">
        <v>421</v>
      </c>
      <c r="F89" t="s">
        <v>13</v>
      </c>
      <c r="G89" t="s">
        <v>525</v>
      </c>
    </row>
    <row r="90" spans="1:7" x14ac:dyDescent="0.3">
      <c r="A90">
        <v>0</v>
      </c>
      <c r="B90" t="s">
        <v>312</v>
      </c>
      <c r="C90" t="s">
        <v>321</v>
      </c>
      <c r="D90" t="s">
        <v>2</v>
      </c>
      <c r="E90" t="s">
        <v>321</v>
      </c>
      <c r="F90" t="s">
        <v>13</v>
      </c>
      <c r="G90" t="s">
        <v>525</v>
      </c>
    </row>
    <row r="91" spans="1:7" x14ac:dyDescent="0.3">
      <c r="A91">
        <v>0</v>
      </c>
      <c r="B91" t="s">
        <v>105</v>
      </c>
      <c r="C91" t="s">
        <v>113</v>
      </c>
      <c r="D91" t="s">
        <v>2</v>
      </c>
      <c r="E91" t="s">
        <v>113</v>
      </c>
      <c r="F91" t="s">
        <v>13</v>
      </c>
      <c r="G91" t="s">
        <v>525</v>
      </c>
    </row>
    <row r="92" spans="1:7" x14ac:dyDescent="0.3">
      <c r="A92">
        <v>0</v>
      </c>
      <c r="B92" t="s">
        <v>312</v>
      </c>
      <c r="C92" t="s">
        <v>348</v>
      </c>
      <c r="D92" t="s">
        <v>2</v>
      </c>
      <c r="E92" t="s">
        <v>348</v>
      </c>
      <c r="F92" t="s">
        <v>13</v>
      </c>
      <c r="G92" t="s">
        <v>525</v>
      </c>
    </row>
    <row r="93" spans="1:7" x14ac:dyDescent="0.3">
      <c r="A93">
        <v>0</v>
      </c>
      <c r="B93" t="s">
        <v>105</v>
      </c>
      <c r="C93" t="s">
        <v>469</v>
      </c>
      <c r="D93" t="s">
        <v>2</v>
      </c>
      <c r="E93" t="s">
        <v>469</v>
      </c>
      <c r="F93" t="s">
        <v>13</v>
      </c>
      <c r="G93" t="s">
        <v>525</v>
      </c>
    </row>
    <row r="94" spans="1:7" x14ac:dyDescent="0.3">
      <c r="A94">
        <v>0</v>
      </c>
      <c r="B94" t="s">
        <v>314</v>
      </c>
      <c r="C94" t="s">
        <v>481</v>
      </c>
      <c r="D94" t="s">
        <v>2</v>
      </c>
      <c r="E94" t="s">
        <v>481</v>
      </c>
      <c r="F94" t="s">
        <v>13</v>
      </c>
      <c r="G94" t="s">
        <v>525</v>
      </c>
    </row>
    <row r="95" spans="1:7" x14ac:dyDescent="0.3">
      <c r="A95">
        <v>0</v>
      </c>
      <c r="B95" t="s">
        <v>312</v>
      </c>
      <c r="C95" t="s">
        <v>398</v>
      </c>
      <c r="D95" t="s">
        <v>2</v>
      </c>
      <c r="E95" t="s">
        <v>398</v>
      </c>
      <c r="F95" t="s">
        <v>13</v>
      </c>
      <c r="G95" t="s">
        <v>525</v>
      </c>
    </row>
    <row r="96" spans="1:7" x14ac:dyDescent="0.3">
      <c r="A96">
        <v>0</v>
      </c>
      <c r="B96" t="s">
        <v>314</v>
      </c>
      <c r="C96" t="s">
        <v>342</v>
      </c>
      <c r="D96" t="s">
        <v>2</v>
      </c>
      <c r="E96" t="s">
        <v>342</v>
      </c>
      <c r="F96" t="s">
        <v>13</v>
      </c>
      <c r="G96" t="s">
        <v>525</v>
      </c>
    </row>
    <row r="97" spans="1:7" x14ac:dyDescent="0.3">
      <c r="A97">
        <v>0</v>
      </c>
      <c r="B97" t="s">
        <v>312</v>
      </c>
      <c r="C97" t="s">
        <v>322</v>
      </c>
      <c r="D97" t="s">
        <v>2</v>
      </c>
      <c r="E97" t="s">
        <v>322</v>
      </c>
      <c r="F97" t="s">
        <v>13</v>
      </c>
      <c r="G97" t="s">
        <v>525</v>
      </c>
    </row>
    <row r="98" spans="1:7" x14ac:dyDescent="0.3">
      <c r="A98">
        <v>0</v>
      </c>
      <c r="B98" t="s">
        <v>314</v>
      </c>
      <c r="C98" t="s">
        <v>409</v>
      </c>
      <c r="D98" t="s">
        <v>2</v>
      </c>
      <c r="E98" t="s">
        <v>409</v>
      </c>
      <c r="F98" t="s">
        <v>13</v>
      </c>
      <c r="G98" t="s">
        <v>525</v>
      </c>
    </row>
    <row r="99" spans="1:7" x14ac:dyDescent="0.3">
      <c r="A99">
        <v>0</v>
      </c>
      <c r="B99" t="s">
        <v>314</v>
      </c>
      <c r="C99" t="s">
        <v>480</v>
      </c>
      <c r="D99" t="s">
        <v>2</v>
      </c>
      <c r="E99" t="s">
        <v>480</v>
      </c>
      <c r="F99" t="s">
        <v>13</v>
      </c>
      <c r="G99" t="s">
        <v>525</v>
      </c>
    </row>
    <row r="100" spans="1:7" x14ac:dyDescent="0.3">
      <c r="A100">
        <v>0</v>
      </c>
      <c r="B100" t="s">
        <v>105</v>
      </c>
      <c r="C100" t="s">
        <v>121</v>
      </c>
      <c r="D100" t="s">
        <v>2</v>
      </c>
      <c r="E100" t="s">
        <v>121</v>
      </c>
      <c r="F100" t="s">
        <v>13</v>
      </c>
      <c r="G100" t="s">
        <v>525</v>
      </c>
    </row>
    <row r="101" spans="1:7" x14ac:dyDescent="0.3">
      <c r="A101">
        <v>0</v>
      </c>
      <c r="B101" t="s">
        <v>312</v>
      </c>
      <c r="C101" t="s">
        <v>359</v>
      </c>
      <c r="D101" t="s">
        <v>2</v>
      </c>
      <c r="E101" t="s">
        <v>359</v>
      </c>
      <c r="F101" t="s">
        <v>13</v>
      </c>
      <c r="G101" t="s">
        <v>525</v>
      </c>
    </row>
    <row r="102" spans="1:7" x14ac:dyDescent="0.3">
      <c r="A102">
        <v>0</v>
      </c>
      <c r="B102" t="s">
        <v>319</v>
      </c>
      <c r="C102" t="s">
        <v>468</v>
      </c>
      <c r="D102" t="s">
        <v>2</v>
      </c>
      <c r="E102" t="s">
        <v>468</v>
      </c>
      <c r="F102" t="s">
        <v>13</v>
      </c>
      <c r="G102" t="s">
        <v>525</v>
      </c>
    </row>
    <row r="103" spans="1:7" x14ac:dyDescent="0.3">
      <c r="A103">
        <v>0</v>
      </c>
      <c r="B103" t="s">
        <v>319</v>
      </c>
      <c r="C103" t="s">
        <v>458</v>
      </c>
      <c r="D103" t="s">
        <v>2</v>
      </c>
      <c r="E103" t="s">
        <v>458</v>
      </c>
      <c r="F103" t="s">
        <v>13</v>
      </c>
      <c r="G103" t="s">
        <v>525</v>
      </c>
    </row>
    <row r="104" spans="1:7" x14ac:dyDescent="0.3">
      <c r="A104">
        <v>0</v>
      </c>
      <c r="B104" t="s">
        <v>312</v>
      </c>
      <c r="C104" t="s">
        <v>370</v>
      </c>
      <c r="D104" t="s">
        <v>2</v>
      </c>
      <c r="E104" t="s">
        <v>370</v>
      </c>
      <c r="F104" t="s">
        <v>13</v>
      </c>
      <c r="G104" t="s">
        <v>525</v>
      </c>
    </row>
    <row r="105" spans="1:7" x14ac:dyDescent="0.3">
      <c r="A105">
        <v>0</v>
      </c>
      <c r="B105" t="s">
        <v>57</v>
      </c>
      <c r="C105" t="s">
        <v>114</v>
      </c>
      <c r="D105" t="s">
        <v>2</v>
      </c>
      <c r="E105" t="s">
        <v>114</v>
      </c>
      <c r="F105" t="s">
        <v>13</v>
      </c>
      <c r="G105" t="s">
        <v>525</v>
      </c>
    </row>
    <row r="106" spans="1:7" x14ac:dyDescent="0.3">
      <c r="A106">
        <v>0</v>
      </c>
      <c r="B106" t="s">
        <v>319</v>
      </c>
      <c r="C106" t="s">
        <v>404</v>
      </c>
      <c r="D106" t="s">
        <v>2</v>
      </c>
      <c r="E106" t="s">
        <v>404</v>
      </c>
      <c r="F106" t="s">
        <v>13</v>
      </c>
      <c r="G106" t="s">
        <v>525</v>
      </c>
    </row>
    <row r="107" spans="1:7" x14ac:dyDescent="0.3">
      <c r="A107">
        <v>0</v>
      </c>
      <c r="B107" t="s">
        <v>312</v>
      </c>
      <c r="C107" t="s">
        <v>369</v>
      </c>
      <c r="D107" t="s">
        <v>2</v>
      </c>
      <c r="E107" t="s">
        <v>369</v>
      </c>
      <c r="F107" t="s">
        <v>13</v>
      </c>
      <c r="G107" t="s">
        <v>525</v>
      </c>
    </row>
    <row r="108" spans="1:7" x14ac:dyDescent="0.3">
      <c r="A108">
        <v>0</v>
      </c>
      <c r="B108" t="s">
        <v>57</v>
      </c>
      <c r="C108" t="s">
        <v>122</v>
      </c>
      <c r="D108" t="s">
        <v>2</v>
      </c>
      <c r="E108" t="s">
        <v>122</v>
      </c>
      <c r="F108" t="s">
        <v>13</v>
      </c>
      <c r="G108" t="s">
        <v>525</v>
      </c>
    </row>
    <row r="109" spans="1:7" x14ac:dyDescent="0.3">
      <c r="A109">
        <v>0</v>
      </c>
      <c r="B109" t="s">
        <v>319</v>
      </c>
      <c r="C109" t="s">
        <v>390</v>
      </c>
      <c r="D109" t="s">
        <v>2</v>
      </c>
      <c r="E109" t="s">
        <v>390</v>
      </c>
      <c r="F109" t="s">
        <v>13</v>
      </c>
      <c r="G109" t="s">
        <v>525</v>
      </c>
    </row>
    <row r="110" spans="1:7" x14ac:dyDescent="0.3">
      <c r="A110">
        <v>0</v>
      </c>
      <c r="B110" t="s">
        <v>312</v>
      </c>
      <c r="C110" t="s">
        <v>492</v>
      </c>
      <c r="D110" t="s">
        <v>2</v>
      </c>
      <c r="E110" t="s">
        <v>492</v>
      </c>
      <c r="F110" t="s">
        <v>13</v>
      </c>
      <c r="G110" t="s">
        <v>525</v>
      </c>
    </row>
    <row r="111" spans="1:7" x14ac:dyDescent="0.3">
      <c r="A111">
        <v>0</v>
      </c>
      <c r="B111" t="s">
        <v>312</v>
      </c>
      <c r="C111" t="s">
        <v>345</v>
      </c>
      <c r="D111" t="s">
        <v>2</v>
      </c>
      <c r="E111" t="s">
        <v>345</v>
      </c>
      <c r="F111" t="s">
        <v>13</v>
      </c>
      <c r="G111" t="s">
        <v>525</v>
      </c>
    </row>
    <row r="112" spans="1:7" x14ac:dyDescent="0.3">
      <c r="A112">
        <v>0</v>
      </c>
      <c r="B112" t="s">
        <v>314</v>
      </c>
      <c r="C112" t="s">
        <v>374</v>
      </c>
      <c r="D112" t="s">
        <v>2</v>
      </c>
      <c r="E112" t="s">
        <v>374</v>
      </c>
      <c r="F112" t="s">
        <v>13</v>
      </c>
      <c r="G112" t="s">
        <v>525</v>
      </c>
    </row>
    <row r="113" spans="1:7" x14ac:dyDescent="0.3">
      <c r="A113">
        <v>0</v>
      </c>
      <c r="B113" t="s">
        <v>105</v>
      </c>
      <c r="C113" t="s">
        <v>124</v>
      </c>
      <c r="D113" t="s">
        <v>2</v>
      </c>
      <c r="E113" t="s">
        <v>124</v>
      </c>
      <c r="F113" t="s">
        <v>13</v>
      </c>
      <c r="G113" t="s">
        <v>525</v>
      </c>
    </row>
    <row r="114" spans="1:7" x14ac:dyDescent="0.3">
      <c r="A114">
        <v>0</v>
      </c>
      <c r="B114" t="s">
        <v>312</v>
      </c>
      <c r="C114" t="s">
        <v>440</v>
      </c>
      <c r="D114" t="s">
        <v>2</v>
      </c>
      <c r="E114" t="s">
        <v>440</v>
      </c>
      <c r="F114" t="s">
        <v>13</v>
      </c>
      <c r="G114" t="s">
        <v>525</v>
      </c>
    </row>
    <row r="115" spans="1:7" x14ac:dyDescent="0.3">
      <c r="A115">
        <v>0</v>
      </c>
      <c r="B115" t="s">
        <v>312</v>
      </c>
      <c r="C115" t="s">
        <v>316</v>
      </c>
      <c r="D115" t="s">
        <v>2</v>
      </c>
      <c r="E115" t="s">
        <v>316</v>
      </c>
      <c r="F115" t="s">
        <v>13</v>
      </c>
      <c r="G115" t="s">
        <v>525</v>
      </c>
    </row>
    <row r="116" spans="1:7" x14ac:dyDescent="0.3">
      <c r="A116">
        <v>0</v>
      </c>
      <c r="B116" t="s">
        <v>312</v>
      </c>
      <c r="C116" t="s">
        <v>427</v>
      </c>
      <c r="D116" t="s">
        <v>2</v>
      </c>
      <c r="E116" t="s">
        <v>427</v>
      </c>
      <c r="F116" t="s">
        <v>13</v>
      </c>
      <c r="G116" t="s">
        <v>525</v>
      </c>
    </row>
    <row r="117" spans="1:7" x14ac:dyDescent="0.3">
      <c r="A117">
        <v>0</v>
      </c>
      <c r="B117" t="s">
        <v>312</v>
      </c>
      <c r="C117" t="s">
        <v>332</v>
      </c>
      <c r="D117" t="s">
        <v>2</v>
      </c>
      <c r="E117" t="s">
        <v>332</v>
      </c>
      <c r="F117" t="s">
        <v>13</v>
      </c>
      <c r="G117" t="s">
        <v>525</v>
      </c>
    </row>
    <row r="118" spans="1:7" x14ac:dyDescent="0.3">
      <c r="A118">
        <v>0</v>
      </c>
      <c r="B118" t="s">
        <v>312</v>
      </c>
      <c r="C118" t="s">
        <v>336</v>
      </c>
      <c r="D118" t="s">
        <v>2</v>
      </c>
      <c r="E118" t="s">
        <v>336</v>
      </c>
      <c r="F118" t="s">
        <v>13</v>
      </c>
      <c r="G118" t="s">
        <v>525</v>
      </c>
    </row>
    <row r="119" spans="1:7" x14ac:dyDescent="0.3">
      <c r="A119">
        <v>0</v>
      </c>
      <c r="B119" t="s">
        <v>314</v>
      </c>
      <c r="C119" t="s">
        <v>393</v>
      </c>
      <c r="D119" t="s">
        <v>2</v>
      </c>
      <c r="E119" t="s">
        <v>393</v>
      </c>
      <c r="F119" t="s">
        <v>13</v>
      </c>
      <c r="G119" t="s">
        <v>525</v>
      </c>
    </row>
    <row r="120" spans="1:7" x14ac:dyDescent="0.3">
      <c r="A120">
        <v>0</v>
      </c>
      <c r="B120" t="s">
        <v>312</v>
      </c>
      <c r="C120" t="s">
        <v>339</v>
      </c>
      <c r="D120" t="s">
        <v>2</v>
      </c>
      <c r="E120" t="s">
        <v>339</v>
      </c>
      <c r="F120" t="s">
        <v>13</v>
      </c>
      <c r="G120" t="s">
        <v>525</v>
      </c>
    </row>
    <row r="121" spans="1:7" x14ac:dyDescent="0.3">
      <c r="A121">
        <v>0</v>
      </c>
      <c r="B121" t="s">
        <v>312</v>
      </c>
      <c r="C121" t="s">
        <v>400</v>
      </c>
      <c r="D121" t="s">
        <v>2</v>
      </c>
      <c r="E121" t="s">
        <v>400</v>
      </c>
      <c r="F121" t="s">
        <v>13</v>
      </c>
      <c r="G121" t="s">
        <v>525</v>
      </c>
    </row>
    <row r="122" spans="1:7" x14ac:dyDescent="0.3">
      <c r="A122">
        <v>0</v>
      </c>
      <c r="B122" t="s">
        <v>312</v>
      </c>
      <c r="C122" t="s">
        <v>380</v>
      </c>
      <c r="D122" t="s">
        <v>2</v>
      </c>
      <c r="E122" t="s">
        <v>380</v>
      </c>
      <c r="F122" t="s">
        <v>13</v>
      </c>
      <c r="G122" t="s">
        <v>525</v>
      </c>
    </row>
    <row r="123" spans="1:7" x14ac:dyDescent="0.3">
      <c r="A123">
        <v>0</v>
      </c>
      <c r="B123" t="s">
        <v>312</v>
      </c>
      <c r="C123" t="s">
        <v>442</v>
      </c>
      <c r="D123" t="s">
        <v>2</v>
      </c>
      <c r="E123" t="s">
        <v>442</v>
      </c>
      <c r="F123" t="s">
        <v>13</v>
      </c>
      <c r="G123" t="s">
        <v>525</v>
      </c>
    </row>
    <row r="124" spans="1:7" x14ac:dyDescent="0.3">
      <c r="A124">
        <v>0</v>
      </c>
      <c r="B124" t="s">
        <v>314</v>
      </c>
      <c r="C124" t="s">
        <v>349</v>
      </c>
      <c r="D124" t="s">
        <v>2</v>
      </c>
      <c r="E124" t="s">
        <v>349</v>
      </c>
      <c r="F124" t="s">
        <v>13</v>
      </c>
      <c r="G124" t="s">
        <v>525</v>
      </c>
    </row>
    <row r="125" spans="1:7" x14ac:dyDescent="0.3">
      <c r="A125">
        <v>0</v>
      </c>
      <c r="B125" t="s">
        <v>57</v>
      </c>
      <c r="C125" t="s">
        <v>470</v>
      </c>
      <c r="D125" t="s">
        <v>2</v>
      </c>
      <c r="E125" t="s">
        <v>470</v>
      </c>
      <c r="F125" t="s">
        <v>13</v>
      </c>
      <c r="G125" t="s">
        <v>525</v>
      </c>
    </row>
    <row r="126" spans="1:7" x14ac:dyDescent="0.3">
      <c r="A126">
        <v>0</v>
      </c>
      <c r="B126" t="s">
        <v>319</v>
      </c>
      <c r="C126" t="s">
        <v>463</v>
      </c>
      <c r="D126" t="s">
        <v>2</v>
      </c>
      <c r="E126" t="s">
        <v>463</v>
      </c>
      <c r="F126" t="s">
        <v>13</v>
      </c>
      <c r="G126" t="s">
        <v>525</v>
      </c>
    </row>
    <row r="127" spans="1:7" x14ac:dyDescent="0.3">
      <c r="A127">
        <v>0</v>
      </c>
      <c r="B127" t="s">
        <v>314</v>
      </c>
      <c r="C127" t="s">
        <v>343</v>
      </c>
      <c r="D127" t="s">
        <v>2</v>
      </c>
      <c r="E127" t="s">
        <v>343</v>
      </c>
      <c r="F127" t="s">
        <v>13</v>
      </c>
      <c r="G127" t="s">
        <v>525</v>
      </c>
    </row>
    <row r="128" spans="1:7" x14ac:dyDescent="0.3">
      <c r="A128">
        <v>0</v>
      </c>
      <c r="B128" t="s">
        <v>312</v>
      </c>
      <c r="C128" t="s">
        <v>371</v>
      </c>
      <c r="D128" t="s">
        <v>2</v>
      </c>
      <c r="E128" t="s">
        <v>371</v>
      </c>
      <c r="F128" t="s">
        <v>13</v>
      </c>
      <c r="G128" t="s">
        <v>525</v>
      </c>
    </row>
    <row r="129" spans="1:7" x14ac:dyDescent="0.3">
      <c r="A129">
        <v>0</v>
      </c>
      <c r="B129" t="s">
        <v>312</v>
      </c>
      <c r="C129" t="s">
        <v>366</v>
      </c>
      <c r="D129" t="s">
        <v>2</v>
      </c>
      <c r="E129" t="s">
        <v>366</v>
      </c>
      <c r="F129" t="s">
        <v>13</v>
      </c>
      <c r="G129" t="s">
        <v>525</v>
      </c>
    </row>
    <row r="130" spans="1:7" x14ac:dyDescent="0.3">
      <c r="A130">
        <v>0</v>
      </c>
      <c r="B130" t="s">
        <v>312</v>
      </c>
      <c r="C130" t="s">
        <v>384</v>
      </c>
      <c r="D130" t="s">
        <v>2</v>
      </c>
      <c r="E130" t="s">
        <v>384</v>
      </c>
      <c r="F130" t="s">
        <v>13</v>
      </c>
      <c r="G130" t="s">
        <v>525</v>
      </c>
    </row>
    <row r="131" spans="1:7" x14ac:dyDescent="0.3">
      <c r="A131">
        <v>0</v>
      </c>
      <c r="B131" t="s">
        <v>319</v>
      </c>
      <c r="C131" t="s">
        <v>464</v>
      </c>
      <c r="D131" t="s">
        <v>2</v>
      </c>
      <c r="E131" t="s">
        <v>464</v>
      </c>
      <c r="F131" t="s">
        <v>13</v>
      </c>
      <c r="G131" t="s">
        <v>525</v>
      </c>
    </row>
    <row r="132" spans="1:7" x14ac:dyDescent="0.3">
      <c r="A132">
        <v>0</v>
      </c>
      <c r="B132" t="s">
        <v>312</v>
      </c>
      <c r="C132" t="s">
        <v>323</v>
      </c>
      <c r="D132" t="s">
        <v>2</v>
      </c>
      <c r="E132" t="s">
        <v>323</v>
      </c>
      <c r="F132" t="s">
        <v>13</v>
      </c>
      <c r="G132" t="s">
        <v>525</v>
      </c>
    </row>
    <row r="133" spans="1:7" x14ac:dyDescent="0.3">
      <c r="A133">
        <v>0</v>
      </c>
      <c r="B133" t="s">
        <v>314</v>
      </c>
      <c r="C133" t="s">
        <v>414</v>
      </c>
      <c r="D133" t="s">
        <v>2</v>
      </c>
      <c r="E133" t="s">
        <v>414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261</v>
      </c>
      <c r="D134" t="s">
        <v>2</v>
      </c>
      <c r="E134" t="s">
        <v>261</v>
      </c>
      <c r="F134" t="s">
        <v>13</v>
      </c>
      <c r="G134" t="s">
        <v>525</v>
      </c>
    </row>
    <row r="135" spans="1:7" x14ac:dyDescent="0.3">
      <c r="A135">
        <v>0</v>
      </c>
      <c r="B135" t="s">
        <v>319</v>
      </c>
      <c r="C135" t="s">
        <v>364</v>
      </c>
      <c r="D135" t="s">
        <v>2</v>
      </c>
      <c r="E135" t="s">
        <v>364</v>
      </c>
      <c r="F135" t="s">
        <v>13</v>
      </c>
      <c r="G135" t="s">
        <v>525</v>
      </c>
    </row>
    <row r="136" spans="1:7" x14ac:dyDescent="0.3">
      <c r="A136">
        <v>0</v>
      </c>
      <c r="B136" t="s">
        <v>312</v>
      </c>
      <c r="C136" t="s">
        <v>373</v>
      </c>
      <c r="D136" t="s">
        <v>2</v>
      </c>
      <c r="E136" t="s">
        <v>373</v>
      </c>
      <c r="F136" t="s">
        <v>13</v>
      </c>
      <c r="G136" t="s">
        <v>525</v>
      </c>
    </row>
    <row r="137" spans="1:7" x14ac:dyDescent="0.3">
      <c r="A137">
        <v>0</v>
      </c>
      <c r="B137" t="s">
        <v>312</v>
      </c>
      <c r="C137" t="s">
        <v>482</v>
      </c>
      <c r="D137" t="s">
        <v>2</v>
      </c>
      <c r="E137" t="s">
        <v>482</v>
      </c>
      <c r="F137" t="s">
        <v>13</v>
      </c>
      <c r="G137" t="s">
        <v>525</v>
      </c>
    </row>
    <row r="138" spans="1:7" x14ac:dyDescent="0.3">
      <c r="A138">
        <v>0</v>
      </c>
      <c r="B138" t="s">
        <v>312</v>
      </c>
      <c r="C138" t="s">
        <v>412</v>
      </c>
      <c r="D138" t="s">
        <v>2</v>
      </c>
      <c r="E138" t="s">
        <v>412</v>
      </c>
      <c r="F138" t="s">
        <v>13</v>
      </c>
      <c r="G138" t="s">
        <v>525</v>
      </c>
    </row>
    <row r="139" spans="1:7" x14ac:dyDescent="0.3">
      <c r="A139">
        <v>0</v>
      </c>
      <c r="B139" t="s">
        <v>312</v>
      </c>
      <c r="C139" t="s">
        <v>434</v>
      </c>
      <c r="D139" t="s">
        <v>2</v>
      </c>
      <c r="E139" t="s">
        <v>434</v>
      </c>
      <c r="F139" t="s">
        <v>13</v>
      </c>
      <c r="G139" t="s">
        <v>525</v>
      </c>
    </row>
    <row r="140" spans="1:7" x14ac:dyDescent="0.3">
      <c r="A140">
        <v>0</v>
      </c>
      <c r="B140" t="s">
        <v>314</v>
      </c>
      <c r="C140" t="s">
        <v>443</v>
      </c>
      <c r="D140" t="s">
        <v>2</v>
      </c>
      <c r="E140" t="s">
        <v>443</v>
      </c>
      <c r="F140" t="s">
        <v>13</v>
      </c>
      <c r="G140" t="s">
        <v>525</v>
      </c>
    </row>
    <row r="141" spans="1:7" x14ac:dyDescent="0.3">
      <c r="A141">
        <v>0</v>
      </c>
      <c r="B141" t="s">
        <v>319</v>
      </c>
      <c r="C141" t="s">
        <v>430</v>
      </c>
      <c r="D141" t="s">
        <v>2</v>
      </c>
      <c r="E141" t="s">
        <v>430</v>
      </c>
      <c r="F141" t="s">
        <v>13</v>
      </c>
      <c r="G141" t="s">
        <v>525</v>
      </c>
    </row>
    <row r="142" spans="1:7" x14ac:dyDescent="0.3">
      <c r="A142">
        <v>0</v>
      </c>
      <c r="B142" t="s">
        <v>314</v>
      </c>
      <c r="C142" t="s">
        <v>408</v>
      </c>
      <c r="D142" t="s">
        <v>2</v>
      </c>
      <c r="E142" t="s">
        <v>408</v>
      </c>
      <c r="F142" t="s">
        <v>13</v>
      </c>
      <c r="G142" t="s">
        <v>525</v>
      </c>
    </row>
    <row r="143" spans="1:7" x14ac:dyDescent="0.3">
      <c r="A143">
        <v>0</v>
      </c>
      <c r="B143" t="s">
        <v>312</v>
      </c>
      <c r="C143" t="s">
        <v>138</v>
      </c>
      <c r="D143" t="s">
        <v>2</v>
      </c>
      <c r="E143" t="s">
        <v>138</v>
      </c>
      <c r="F143" t="s">
        <v>13</v>
      </c>
      <c r="G143" t="s">
        <v>525</v>
      </c>
    </row>
    <row r="144" spans="1:7" x14ac:dyDescent="0.3">
      <c r="A144">
        <v>0</v>
      </c>
      <c r="B144" t="s">
        <v>312</v>
      </c>
      <c r="C144" t="s">
        <v>275</v>
      </c>
      <c r="D144" t="s">
        <v>2</v>
      </c>
      <c r="E144" t="s">
        <v>275</v>
      </c>
      <c r="F144" t="s">
        <v>13</v>
      </c>
      <c r="G144" t="s">
        <v>525</v>
      </c>
    </row>
    <row r="145" spans="1:7" x14ac:dyDescent="0.3">
      <c r="A145">
        <v>0</v>
      </c>
      <c r="B145" t="s">
        <v>312</v>
      </c>
      <c r="C145" t="s">
        <v>337</v>
      </c>
      <c r="D145" t="s">
        <v>2</v>
      </c>
      <c r="E145" t="s">
        <v>337</v>
      </c>
      <c r="F145" t="s">
        <v>13</v>
      </c>
      <c r="G145" t="s">
        <v>525</v>
      </c>
    </row>
    <row r="146" spans="1:7" x14ac:dyDescent="0.3">
      <c r="A146">
        <v>0</v>
      </c>
      <c r="B146" t="s">
        <v>312</v>
      </c>
      <c r="C146" t="s">
        <v>331</v>
      </c>
      <c r="D146" t="s">
        <v>2</v>
      </c>
      <c r="E146" t="s">
        <v>331</v>
      </c>
      <c r="F146" t="s">
        <v>13</v>
      </c>
      <c r="G146" t="s">
        <v>525</v>
      </c>
    </row>
    <row r="147" spans="1:7" x14ac:dyDescent="0.3">
      <c r="A147">
        <v>0</v>
      </c>
      <c r="B147" t="s">
        <v>312</v>
      </c>
      <c r="C147" t="s">
        <v>452</v>
      </c>
      <c r="D147" t="s">
        <v>2</v>
      </c>
      <c r="E147" t="s">
        <v>452</v>
      </c>
      <c r="F147" t="s">
        <v>13</v>
      </c>
      <c r="G147" t="s">
        <v>525</v>
      </c>
    </row>
    <row r="148" spans="1:7" x14ac:dyDescent="0.3">
      <c r="A148">
        <v>0</v>
      </c>
      <c r="B148" t="s">
        <v>319</v>
      </c>
      <c r="C148" t="s">
        <v>477</v>
      </c>
      <c r="D148" t="s">
        <v>2</v>
      </c>
      <c r="E148" t="s">
        <v>477</v>
      </c>
      <c r="F148" t="s">
        <v>13</v>
      </c>
      <c r="G148" t="s">
        <v>525</v>
      </c>
    </row>
    <row r="149" spans="1:7" x14ac:dyDescent="0.3">
      <c r="A149">
        <v>0</v>
      </c>
      <c r="B149" t="s">
        <v>312</v>
      </c>
      <c r="C149" t="s">
        <v>446</v>
      </c>
      <c r="D149" t="s">
        <v>2</v>
      </c>
      <c r="E149" t="s">
        <v>446</v>
      </c>
      <c r="F149" t="s">
        <v>13</v>
      </c>
      <c r="G149" t="s">
        <v>525</v>
      </c>
    </row>
    <row r="150" spans="1:7" x14ac:dyDescent="0.3">
      <c r="A150">
        <v>0</v>
      </c>
      <c r="B150" t="s">
        <v>319</v>
      </c>
      <c r="C150" t="s">
        <v>491</v>
      </c>
      <c r="D150" t="s">
        <v>2</v>
      </c>
      <c r="E150" t="s">
        <v>491</v>
      </c>
      <c r="F150" t="s">
        <v>13</v>
      </c>
      <c r="G150" t="s">
        <v>525</v>
      </c>
    </row>
    <row r="151" spans="1:7" x14ac:dyDescent="0.3">
      <c r="A151">
        <v>0</v>
      </c>
      <c r="B151" t="s">
        <v>312</v>
      </c>
      <c r="C151" t="s">
        <v>326</v>
      </c>
      <c r="D151" t="s">
        <v>2</v>
      </c>
      <c r="E151" t="s">
        <v>326</v>
      </c>
      <c r="F151" t="s">
        <v>13</v>
      </c>
      <c r="G151" t="s">
        <v>525</v>
      </c>
    </row>
    <row r="152" spans="1:7" x14ac:dyDescent="0.3">
      <c r="A152">
        <v>0</v>
      </c>
      <c r="B152" t="s">
        <v>319</v>
      </c>
      <c r="C152" t="s">
        <v>415</v>
      </c>
      <c r="D152" t="s">
        <v>2</v>
      </c>
      <c r="E152" t="s">
        <v>415</v>
      </c>
      <c r="F152" t="s">
        <v>13</v>
      </c>
      <c r="G152" t="s">
        <v>525</v>
      </c>
    </row>
    <row r="153" spans="1:7" x14ac:dyDescent="0.3">
      <c r="A153">
        <v>0</v>
      </c>
      <c r="B153" t="s">
        <v>314</v>
      </c>
      <c r="C153" t="s">
        <v>451</v>
      </c>
      <c r="D153" t="s">
        <v>2</v>
      </c>
      <c r="E153" t="s">
        <v>451</v>
      </c>
      <c r="F153" t="s">
        <v>13</v>
      </c>
      <c r="G153" t="s">
        <v>525</v>
      </c>
    </row>
    <row r="154" spans="1:7" x14ac:dyDescent="0.3">
      <c r="A154">
        <v>0</v>
      </c>
      <c r="B154" t="s">
        <v>314</v>
      </c>
      <c r="C154" t="s">
        <v>448</v>
      </c>
      <c r="D154" t="s">
        <v>2</v>
      </c>
      <c r="E154" t="s">
        <v>448</v>
      </c>
      <c r="F154" t="s">
        <v>13</v>
      </c>
      <c r="G154" t="s">
        <v>525</v>
      </c>
    </row>
    <row r="155" spans="1:7" x14ac:dyDescent="0.3">
      <c r="A155">
        <v>0</v>
      </c>
      <c r="B155" t="s">
        <v>312</v>
      </c>
      <c r="C155" t="s">
        <v>423</v>
      </c>
      <c r="D155" t="s">
        <v>2</v>
      </c>
      <c r="E155" t="s">
        <v>423</v>
      </c>
      <c r="F155" t="s">
        <v>13</v>
      </c>
      <c r="G155" t="s">
        <v>525</v>
      </c>
    </row>
    <row r="156" spans="1:7" x14ac:dyDescent="0.3">
      <c r="A156">
        <v>0</v>
      </c>
      <c r="B156" t="s">
        <v>319</v>
      </c>
      <c r="C156" t="s">
        <v>361</v>
      </c>
      <c r="D156" t="s">
        <v>2</v>
      </c>
      <c r="E156" t="s">
        <v>361</v>
      </c>
      <c r="F156" t="s">
        <v>13</v>
      </c>
      <c r="G156" t="s">
        <v>525</v>
      </c>
    </row>
    <row r="157" spans="1:7" x14ac:dyDescent="0.3">
      <c r="A157">
        <v>0</v>
      </c>
      <c r="B157" t="s">
        <v>314</v>
      </c>
      <c r="C157" t="s">
        <v>467</v>
      </c>
      <c r="D157" t="s">
        <v>2</v>
      </c>
      <c r="E157" t="s">
        <v>467</v>
      </c>
      <c r="F157" t="s">
        <v>13</v>
      </c>
      <c r="G157" t="s">
        <v>525</v>
      </c>
    </row>
    <row r="158" spans="1:7" x14ac:dyDescent="0.3">
      <c r="A158">
        <v>0</v>
      </c>
      <c r="B158" t="s">
        <v>319</v>
      </c>
      <c r="C158" t="s">
        <v>420</v>
      </c>
      <c r="D158" t="s">
        <v>2</v>
      </c>
      <c r="E158" t="s">
        <v>420</v>
      </c>
      <c r="F158" t="s">
        <v>13</v>
      </c>
      <c r="G158" t="s">
        <v>525</v>
      </c>
    </row>
    <row r="159" spans="1:7" x14ac:dyDescent="0.3">
      <c r="A159">
        <v>0</v>
      </c>
      <c r="B159" t="s">
        <v>314</v>
      </c>
      <c r="C159" t="s">
        <v>487</v>
      </c>
      <c r="D159" t="s">
        <v>2</v>
      </c>
      <c r="E159" t="s">
        <v>487</v>
      </c>
      <c r="F159" t="s">
        <v>13</v>
      </c>
      <c r="G159" t="s">
        <v>525</v>
      </c>
    </row>
    <row r="160" spans="1:7" x14ac:dyDescent="0.3">
      <c r="A160">
        <v>0</v>
      </c>
      <c r="B160" t="s">
        <v>312</v>
      </c>
      <c r="C160" t="s">
        <v>149</v>
      </c>
      <c r="D160" t="s">
        <v>2</v>
      </c>
      <c r="E160" t="s">
        <v>149</v>
      </c>
      <c r="F160" t="s">
        <v>13</v>
      </c>
      <c r="G160" t="s">
        <v>525</v>
      </c>
    </row>
    <row r="161" spans="1:7" x14ac:dyDescent="0.3">
      <c r="A161">
        <v>0</v>
      </c>
      <c r="B161" t="s">
        <v>314</v>
      </c>
      <c r="C161" t="s">
        <v>377</v>
      </c>
      <c r="D161" t="s">
        <v>2</v>
      </c>
      <c r="E161" t="s">
        <v>377</v>
      </c>
      <c r="F161" t="s">
        <v>13</v>
      </c>
      <c r="G161" t="s">
        <v>525</v>
      </c>
    </row>
    <row r="162" spans="1:7" x14ac:dyDescent="0.3">
      <c r="A162">
        <v>0</v>
      </c>
      <c r="B162" t="s">
        <v>312</v>
      </c>
      <c r="C162" t="s">
        <v>403</v>
      </c>
      <c r="D162" t="s">
        <v>2</v>
      </c>
      <c r="E162" t="s">
        <v>403</v>
      </c>
      <c r="F162" t="s">
        <v>13</v>
      </c>
      <c r="G162" t="s">
        <v>525</v>
      </c>
    </row>
    <row r="163" spans="1:7" x14ac:dyDescent="0.3">
      <c r="A163">
        <v>0</v>
      </c>
      <c r="B163" t="s">
        <v>312</v>
      </c>
      <c r="C163" t="s">
        <v>387</v>
      </c>
      <c r="D163" t="s">
        <v>2</v>
      </c>
      <c r="E163" t="s">
        <v>387</v>
      </c>
      <c r="F163" t="s">
        <v>13</v>
      </c>
      <c r="G163" t="s">
        <v>525</v>
      </c>
    </row>
    <row r="164" spans="1:7" x14ac:dyDescent="0.3">
      <c r="A164">
        <v>0</v>
      </c>
      <c r="B164" t="s">
        <v>312</v>
      </c>
      <c r="C164" t="s">
        <v>431</v>
      </c>
      <c r="D164" t="s">
        <v>2</v>
      </c>
      <c r="E164" t="s">
        <v>431</v>
      </c>
      <c r="F164" t="s">
        <v>13</v>
      </c>
      <c r="G164" t="s">
        <v>525</v>
      </c>
    </row>
    <row r="165" spans="1:7" x14ac:dyDescent="0.3">
      <c r="A165">
        <v>0</v>
      </c>
      <c r="B165" t="s">
        <v>319</v>
      </c>
      <c r="C165" t="s">
        <v>459</v>
      </c>
      <c r="D165" t="s">
        <v>2</v>
      </c>
      <c r="E165" t="s">
        <v>459</v>
      </c>
      <c r="F165" t="s">
        <v>13</v>
      </c>
      <c r="G165" t="s">
        <v>525</v>
      </c>
    </row>
    <row r="166" spans="1:7" x14ac:dyDescent="0.3">
      <c r="A166">
        <v>0</v>
      </c>
      <c r="B166" t="s">
        <v>314</v>
      </c>
      <c r="C166" t="s">
        <v>376</v>
      </c>
      <c r="D166" t="s">
        <v>2</v>
      </c>
      <c r="E166" t="s">
        <v>376</v>
      </c>
      <c r="F166" t="s">
        <v>13</v>
      </c>
      <c r="G166" t="s">
        <v>525</v>
      </c>
    </row>
    <row r="167" spans="1:7" x14ac:dyDescent="0.3">
      <c r="A167">
        <v>0</v>
      </c>
      <c r="B167" t="s">
        <v>312</v>
      </c>
      <c r="C167" t="s">
        <v>379</v>
      </c>
      <c r="D167" t="s">
        <v>2</v>
      </c>
      <c r="E167" t="s">
        <v>379</v>
      </c>
      <c r="F167" t="s">
        <v>13</v>
      </c>
      <c r="G167" t="s">
        <v>525</v>
      </c>
    </row>
    <row r="168" spans="1:7" x14ac:dyDescent="0.3">
      <c r="A168">
        <v>0</v>
      </c>
      <c r="B168" t="s">
        <v>314</v>
      </c>
      <c r="C168" t="s">
        <v>445</v>
      </c>
      <c r="D168" t="s">
        <v>2</v>
      </c>
      <c r="E168" t="s">
        <v>445</v>
      </c>
      <c r="F168" t="s">
        <v>13</v>
      </c>
      <c r="G168" t="s">
        <v>525</v>
      </c>
    </row>
    <row r="169" spans="1:7" x14ac:dyDescent="0.3">
      <c r="A169">
        <v>0</v>
      </c>
      <c r="B169" t="s">
        <v>319</v>
      </c>
      <c r="C169" t="s">
        <v>460</v>
      </c>
      <c r="D169" t="s">
        <v>2</v>
      </c>
      <c r="E169" t="s">
        <v>460</v>
      </c>
      <c r="F169" t="s">
        <v>13</v>
      </c>
      <c r="G169" t="s">
        <v>525</v>
      </c>
    </row>
    <row r="170" spans="1:7" x14ac:dyDescent="0.3">
      <c r="A170">
        <v>0</v>
      </c>
      <c r="B170" t="s">
        <v>314</v>
      </c>
      <c r="C170" t="s">
        <v>450</v>
      </c>
      <c r="D170" t="s">
        <v>2</v>
      </c>
      <c r="E170" t="s">
        <v>450</v>
      </c>
      <c r="F170" t="s">
        <v>13</v>
      </c>
      <c r="G170" t="s">
        <v>525</v>
      </c>
    </row>
    <row r="171" spans="1:7" x14ac:dyDescent="0.3">
      <c r="A171">
        <v>0</v>
      </c>
      <c r="B171" t="s">
        <v>312</v>
      </c>
      <c r="C171" t="s">
        <v>473</v>
      </c>
      <c r="D171" t="s">
        <v>2</v>
      </c>
      <c r="E171" t="s">
        <v>473</v>
      </c>
      <c r="F171" t="s">
        <v>13</v>
      </c>
      <c r="G171" t="s">
        <v>525</v>
      </c>
    </row>
    <row r="172" spans="1:7" x14ac:dyDescent="0.3">
      <c r="A172">
        <v>0</v>
      </c>
      <c r="B172" t="s">
        <v>314</v>
      </c>
      <c r="C172" t="s">
        <v>313</v>
      </c>
      <c r="D172" t="s">
        <v>2</v>
      </c>
      <c r="E172" t="s">
        <v>313</v>
      </c>
      <c r="F172" t="s">
        <v>13</v>
      </c>
      <c r="G172" t="s">
        <v>525</v>
      </c>
    </row>
    <row r="173" spans="1:7" x14ac:dyDescent="0.3">
      <c r="A173">
        <v>0</v>
      </c>
      <c r="B173" t="s">
        <v>312</v>
      </c>
      <c r="C173" t="s">
        <v>472</v>
      </c>
      <c r="D173" t="s">
        <v>2</v>
      </c>
      <c r="E173" t="s">
        <v>472</v>
      </c>
      <c r="F173" t="s">
        <v>13</v>
      </c>
      <c r="G173" t="s">
        <v>525</v>
      </c>
    </row>
    <row r="174" spans="1:7" x14ac:dyDescent="0.3">
      <c r="A174">
        <v>0</v>
      </c>
      <c r="B174" t="s">
        <v>312</v>
      </c>
      <c r="C174" t="s">
        <v>402</v>
      </c>
      <c r="D174" t="s">
        <v>2</v>
      </c>
      <c r="E174" t="s">
        <v>402</v>
      </c>
      <c r="F174" t="s">
        <v>13</v>
      </c>
      <c r="G174" t="s">
        <v>525</v>
      </c>
    </row>
    <row r="175" spans="1:7" x14ac:dyDescent="0.3">
      <c r="A175">
        <v>0</v>
      </c>
      <c r="B175" t="s">
        <v>314</v>
      </c>
      <c r="C175" t="s">
        <v>455</v>
      </c>
      <c r="D175" t="s">
        <v>2</v>
      </c>
      <c r="E175" t="s">
        <v>455</v>
      </c>
      <c r="F175" t="s">
        <v>13</v>
      </c>
      <c r="G175" t="s">
        <v>525</v>
      </c>
    </row>
    <row r="176" spans="1:7" x14ac:dyDescent="0.3">
      <c r="A176">
        <v>0</v>
      </c>
      <c r="B176" t="s">
        <v>312</v>
      </c>
      <c r="C176" t="s">
        <v>411</v>
      </c>
      <c r="D176" t="s">
        <v>2</v>
      </c>
      <c r="E176" t="s">
        <v>411</v>
      </c>
      <c r="F176" t="s">
        <v>13</v>
      </c>
      <c r="G176" t="s">
        <v>525</v>
      </c>
    </row>
    <row r="177" spans="1:7" x14ac:dyDescent="0.3">
      <c r="A177">
        <v>0</v>
      </c>
      <c r="B177" t="s">
        <v>312</v>
      </c>
      <c r="C177" t="s">
        <v>488</v>
      </c>
      <c r="D177" t="s">
        <v>2</v>
      </c>
      <c r="E177" t="s">
        <v>488</v>
      </c>
      <c r="F177" t="s">
        <v>13</v>
      </c>
      <c r="G177" t="s">
        <v>525</v>
      </c>
    </row>
    <row r="178" spans="1:7" x14ac:dyDescent="0.3">
      <c r="A178">
        <v>0</v>
      </c>
      <c r="B178" t="s">
        <v>319</v>
      </c>
      <c r="C178" t="s">
        <v>462</v>
      </c>
      <c r="D178" t="s">
        <v>2</v>
      </c>
      <c r="E178" t="s">
        <v>462</v>
      </c>
      <c r="F178" t="s">
        <v>13</v>
      </c>
      <c r="G178" t="s">
        <v>525</v>
      </c>
    </row>
    <row r="179" spans="1:7" x14ac:dyDescent="0.3">
      <c r="A179">
        <v>0</v>
      </c>
      <c r="B179" t="s">
        <v>312</v>
      </c>
      <c r="C179" t="s">
        <v>246</v>
      </c>
      <c r="D179" t="s">
        <v>2</v>
      </c>
      <c r="E179" t="s">
        <v>246</v>
      </c>
      <c r="F179" t="s">
        <v>13</v>
      </c>
      <c r="G179" t="s">
        <v>525</v>
      </c>
    </row>
    <row r="180" spans="1:7" x14ac:dyDescent="0.3">
      <c r="A180">
        <v>0</v>
      </c>
      <c r="B180" t="s">
        <v>312</v>
      </c>
      <c r="C180" t="s">
        <v>357</v>
      </c>
      <c r="D180" t="s">
        <v>2</v>
      </c>
      <c r="E180" t="s">
        <v>357</v>
      </c>
      <c r="F180" t="s">
        <v>13</v>
      </c>
      <c r="G180" t="s">
        <v>525</v>
      </c>
    </row>
    <row r="181" spans="1:7" x14ac:dyDescent="0.3">
      <c r="A181">
        <v>0</v>
      </c>
      <c r="B181" t="s">
        <v>314</v>
      </c>
      <c r="C181" t="s">
        <v>341</v>
      </c>
      <c r="D181" t="s">
        <v>2</v>
      </c>
      <c r="E181" t="s">
        <v>341</v>
      </c>
      <c r="F181" t="s">
        <v>13</v>
      </c>
      <c r="G181" t="s">
        <v>525</v>
      </c>
    </row>
    <row r="182" spans="1:7" x14ac:dyDescent="0.3">
      <c r="A182">
        <v>0</v>
      </c>
      <c r="B182" t="s">
        <v>319</v>
      </c>
      <c r="C182" t="s">
        <v>466</v>
      </c>
      <c r="D182" t="s">
        <v>2</v>
      </c>
      <c r="E182" t="s">
        <v>466</v>
      </c>
      <c r="F182" t="s">
        <v>13</v>
      </c>
      <c r="G182" t="s">
        <v>525</v>
      </c>
    </row>
    <row r="183" spans="1:7" x14ac:dyDescent="0.3">
      <c r="A183">
        <v>0</v>
      </c>
      <c r="B183" t="s">
        <v>319</v>
      </c>
      <c r="C183" t="s">
        <v>362</v>
      </c>
      <c r="D183" t="s">
        <v>2</v>
      </c>
      <c r="E183" t="s">
        <v>362</v>
      </c>
      <c r="F183" t="s">
        <v>13</v>
      </c>
      <c r="G183" t="s">
        <v>525</v>
      </c>
    </row>
    <row r="184" spans="1:7" x14ac:dyDescent="0.3">
      <c r="A184">
        <v>0</v>
      </c>
      <c r="B184" t="s">
        <v>312</v>
      </c>
      <c r="C184" t="s">
        <v>433</v>
      </c>
      <c r="D184" t="s">
        <v>2</v>
      </c>
      <c r="E184" t="s">
        <v>433</v>
      </c>
      <c r="F184" t="s">
        <v>13</v>
      </c>
      <c r="G184" t="s">
        <v>525</v>
      </c>
    </row>
    <row r="185" spans="1:7" x14ac:dyDescent="0.3">
      <c r="A185">
        <v>0</v>
      </c>
      <c r="B185" t="s">
        <v>312</v>
      </c>
      <c r="C185" t="s">
        <v>397</v>
      </c>
      <c r="D185" t="s">
        <v>2</v>
      </c>
      <c r="E185" t="s">
        <v>397</v>
      </c>
      <c r="F185" t="s">
        <v>13</v>
      </c>
      <c r="G185" t="s">
        <v>525</v>
      </c>
    </row>
    <row r="186" spans="1:7" x14ac:dyDescent="0.3">
      <c r="A186">
        <v>0</v>
      </c>
      <c r="B186" t="s">
        <v>319</v>
      </c>
      <c r="C186" t="s">
        <v>378</v>
      </c>
      <c r="D186" t="s">
        <v>2</v>
      </c>
      <c r="E186" t="s">
        <v>378</v>
      </c>
      <c r="F186" t="s">
        <v>13</v>
      </c>
      <c r="G186" t="s">
        <v>525</v>
      </c>
    </row>
    <row r="187" spans="1:7" x14ac:dyDescent="0.3">
      <c r="A187">
        <v>0</v>
      </c>
      <c r="B187" t="s">
        <v>105</v>
      </c>
      <c r="C187" t="s">
        <v>117</v>
      </c>
      <c r="D187" t="s">
        <v>2</v>
      </c>
      <c r="E187" t="s">
        <v>117</v>
      </c>
      <c r="F187" t="s">
        <v>13</v>
      </c>
      <c r="G187" t="s">
        <v>525</v>
      </c>
    </row>
    <row r="188" spans="1:7" x14ac:dyDescent="0.3">
      <c r="A188">
        <v>0</v>
      </c>
      <c r="B188" t="s">
        <v>312</v>
      </c>
      <c r="C188" t="s">
        <v>476</v>
      </c>
      <c r="D188" t="s">
        <v>2</v>
      </c>
      <c r="E188" t="s">
        <v>476</v>
      </c>
      <c r="F188" t="s">
        <v>13</v>
      </c>
      <c r="G188" t="s">
        <v>525</v>
      </c>
    </row>
    <row r="189" spans="1:7" x14ac:dyDescent="0.3">
      <c r="A189">
        <v>0</v>
      </c>
      <c r="B189" t="s">
        <v>319</v>
      </c>
      <c r="C189" t="s">
        <v>478</v>
      </c>
      <c r="D189" t="s">
        <v>2</v>
      </c>
      <c r="E189" t="s">
        <v>478</v>
      </c>
      <c r="F189" t="s">
        <v>13</v>
      </c>
      <c r="G189" t="s">
        <v>525</v>
      </c>
    </row>
    <row r="190" spans="1:7" x14ac:dyDescent="0.3">
      <c r="A190">
        <v>0</v>
      </c>
      <c r="B190" t="s">
        <v>312</v>
      </c>
      <c r="C190" t="s">
        <v>367</v>
      </c>
      <c r="D190" t="s">
        <v>2</v>
      </c>
      <c r="E190" t="s">
        <v>367</v>
      </c>
      <c r="F190" t="s">
        <v>13</v>
      </c>
      <c r="G190" t="s">
        <v>525</v>
      </c>
    </row>
    <row r="191" spans="1:7" x14ac:dyDescent="0.3">
      <c r="A191">
        <v>0</v>
      </c>
      <c r="B191" t="s">
        <v>312</v>
      </c>
      <c r="C191" t="s">
        <v>346</v>
      </c>
      <c r="D191" t="s">
        <v>2</v>
      </c>
      <c r="E191" t="s">
        <v>346</v>
      </c>
      <c r="F191" t="s">
        <v>13</v>
      </c>
      <c r="G191" t="s">
        <v>525</v>
      </c>
    </row>
    <row r="192" spans="1:7" x14ac:dyDescent="0.3">
      <c r="A192">
        <v>0</v>
      </c>
      <c r="B192" t="s">
        <v>105</v>
      </c>
      <c r="C192" t="s">
        <v>119</v>
      </c>
      <c r="D192" t="s">
        <v>2</v>
      </c>
      <c r="E192" t="s">
        <v>119</v>
      </c>
      <c r="F192" t="s">
        <v>13</v>
      </c>
      <c r="G192" t="s">
        <v>525</v>
      </c>
    </row>
    <row r="193" spans="1:7" x14ac:dyDescent="0.3">
      <c r="A193">
        <v>0</v>
      </c>
      <c r="B193" t="s">
        <v>312</v>
      </c>
      <c r="C193" t="s">
        <v>385</v>
      </c>
      <c r="D193" t="s">
        <v>2</v>
      </c>
      <c r="E193" t="s">
        <v>385</v>
      </c>
      <c r="F193" t="s">
        <v>13</v>
      </c>
      <c r="G193" t="s">
        <v>525</v>
      </c>
    </row>
    <row r="194" spans="1:7" x14ac:dyDescent="0.3">
      <c r="A194">
        <v>0</v>
      </c>
      <c r="B194" t="s">
        <v>57</v>
      </c>
      <c r="C194" t="s">
        <v>120</v>
      </c>
      <c r="D194" t="s">
        <v>2</v>
      </c>
      <c r="E194" t="s">
        <v>120</v>
      </c>
      <c r="F194" t="s">
        <v>13</v>
      </c>
      <c r="G194" t="s">
        <v>525</v>
      </c>
    </row>
    <row r="195" spans="1:7" x14ac:dyDescent="0.3">
      <c r="A195">
        <v>0</v>
      </c>
      <c r="B195" t="s">
        <v>312</v>
      </c>
      <c r="C195" t="s">
        <v>324</v>
      </c>
      <c r="D195" t="s">
        <v>2</v>
      </c>
      <c r="E195" t="s">
        <v>324</v>
      </c>
      <c r="F195" t="s">
        <v>13</v>
      </c>
      <c r="G195" t="s">
        <v>525</v>
      </c>
    </row>
    <row r="196" spans="1:7" x14ac:dyDescent="0.3">
      <c r="A196">
        <v>0</v>
      </c>
      <c r="B196" t="s">
        <v>312</v>
      </c>
      <c r="C196" t="s">
        <v>327</v>
      </c>
      <c r="D196" t="s">
        <v>2</v>
      </c>
      <c r="E196" t="s">
        <v>327</v>
      </c>
      <c r="F196" t="s">
        <v>13</v>
      </c>
      <c r="G196" t="s">
        <v>525</v>
      </c>
    </row>
    <row r="197" spans="1:7" x14ac:dyDescent="0.3">
      <c r="A197">
        <v>0</v>
      </c>
      <c r="B197" t="s">
        <v>314</v>
      </c>
      <c r="C197" t="s">
        <v>441</v>
      </c>
      <c r="D197" t="s">
        <v>2</v>
      </c>
      <c r="E197" t="s">
        <v>441</v>
      </c>
      <c r="F197" t="s">
        <v>13</v>
      </c>
      <c r="G197" t="s">
        <v>525</v>
      </c>
    </row>
    <row r="198" spans="1:7" x14ac:dyDescent="0.3">
      <c r="A198">
        <v>0</v>
      </c>
      <c r="B198" t="s">
        <v>105</v>
      </c>
      <c r="C198" t="s">
        <v>115</v>
      </c>
      <c r="D198" t="s">
        <v>2</v>
      </c>
      <c r="E198" t="s">
        <v>115</v>
      </c>
      <c r="F198" t="s">
        <v>13</v>
      </c>
      <c r="G198" t="s">
        <v>525</v>
      </c>
    </row>
    <row r="199" spans="1:7" x14ac:dyDescent="0.3">
      <c r="A199">
        <v>0</v>
      </c>
      <c r="B199" t="s">
        <v>312</v>
      </c>
      <c r="C199" t="s">
        <v>484</v>
      </c>
      <c r="D199" t="s">
        <v>2</v>
      </c>
      <c r="E199" t="s">
        <v>484</v>
      </c>
      <c r="F199" t="s">
        <v>13</v>
      </c>
      <c r="G199" t="s">
        <v>525</v>
      </c>
    </row>
    <row r="200" spans="1:7" x14ac:dyDescent="0.3">
      <c r="A200">
        <v>0</v>
      </c>
      <c r="B200" t="s">
        <v>312</v>
      </c>
      <c r="C200" t="s">
        <v>311</v>
      </c>
      <c r="D200" t="s">
        <v>2</v>
      </c>
      <c r="E200" t="s">
        <v>311</v>
      </c>
      <c r="F200" t="s">
        <v>13</v>
      </c>
      <c r="G200" t="s">
        <v>525</v>
      </c>
    </row>
    <row r="201" spans="1:7" x14ac:dyDescent="0.3">
      <c r="A201">
        <v>0</v>
      </c>
      <c r="B201" t="s">
        <v>312</v>
      </c>
      <c r="C201" t="s">
        <v>365</v>
      </c>
      <c r="D201" t="s">
        <v>2</v>
      </c>
      <c r="E201" t="s">
        <v>365</v>
      </c>
      <c r="F201" t="s">
        <v>13</v>
      </c>
      <c r="G201" t="s">
        <v>525</v>
      </c>
    </row>
    <row r="202" spans="1:7" x14ac:dyDescent="0.3">
      <c r="A202">
        <v>0</v>
      </c>
      <c r="B202" t="s">
        <v>314</v>
      </c>
      <c r="C202" t="s">
        <v>350</v>
      </c>
      <c r="D202" t="s">
        <v>2</v>
      </c>
      <c r="E202" t="s">
        <v>350</v>
      </c>
      <c r="F202" t="s">
        <v>13</v>
      </c>
      <c r="G202" t="s">
        <v>525</v>
      </c>
    </row>
    <row r="203" spans="1:7" x14ac:dyDescent="0.3">
      <c r="A203">
        <v>0</v>
      </c>
      <c r="B203" t="s">
        <v>105</v>
      </c>
      <c r="C203" t="s">
        <v>123</v>
      </c>
      <c r="D203" t="s">
        <v>2</v>
      </c>
      <c r="E203" t="s">
        <v>123</v>
      </c>
      <c r="F203" t="s">
        <v>13</v>
      </c>
      <c r="G203" t="s">
        <v>525</v>
      </c>
    </row>
    <row r="204" spans="1:7" x14ac:dyDescent="0.3">
      <c r="A204">
        <v>0</v>
      </c>
      <c r="B204" t="s">
        <v>312</v>
      </c>
      <c r="C204" t="s">
        <v>396</v>
      </c>
      <c r="D204" t="s">
        <v>2</v>
      </c>
      <c r="E204" t="s">
        <v>396</v>
      </c>
      <c r="F204" t="s">
        <v>13</v>
      </c>
      <c r="G204" t="s">
        <v>525</v>
      </c>
    </row>
    <row r="205" spans="1:7" x14ac:dyDescent="0.3">
      <c r="A205">
        <v>0</v>
      </c>
      <c r="B205" t="s">
        <v>312</v>
      </c>
      <c r="C205" t="s">
        <v>428</v>
      </c>
      <c r="D205" t="s">
        <v>2</v>
      </c>
      <c r="E205" t="s">
        <v>428</v>
      </c>
      <c r="F205" t="s">
        <v>13</v>
      </c>
      <c r="G205" t="s">
        <v>525</v>
      </c>
    </row>
    <row r="206" spans="1:7" x14ac:dyDescent="0.3">
      <c r="A206">
        <v>0</v>
      </c>
      <c r="B206" t="s">
        <v>312</v>
      </c>
      <c r="C206" t="s">
        <v>383</v>
      </c>
      <c r="D206" t="s">
        <v>2</v>
      </c>
      <c r="E206" t="s">
        <v>383</v>
      </c>
      <c r="F206" t="s">
        <v>13</v>
      </c>
      <c r="G206" t="s">
        <v>525</v>
      </c>
    </row>
    <row r="207" spans="1:7" x14ac:dyDescent="0.3">
      <c r="A207">
        <v>0</v>
      </c>
      <c r="B207" t="s">
        <v>312</v>
      </c>
      <c r="C207" t="s">
        <v>426</v>
      </c>
      <c r="D207" t="s">
        <v>2</v>
      </c>
      <c r="E207" t="s">
        <v>426</v>
      </c>
      <c r="F207" t="s">
        <v>13</v>
      </c>
      <c r="G207" t="s">
        <v>525</v>
      </c>
    </row>
    <row r="208" spans="1:7" x14ac:dyDescent="0.3">
      <c r="A208">
        <v>0</v>
      </c>
      <c r="B208" t="s">
        <v>312</v>
      </c>
      <c r="C208" t="s">
        <v>437</v>
      </c>
      <c r="D208" t="s">
        <v>2</v>
      </c>
      <c r="E208" t="s">
        <v>437</v>
      </c>
      <c r="F208" t="s">
        <v>13</v>
      </c>
      <c r="G208" t="s">
        <v>525</v>
      </c>
    </row>
    <row r="209" spans="1:7" x14ac:dyDescent="0.3">
      <c r="A209">
        <v>0</v>
      </c>
      <c r="B209" t="s">
        <v>312</v>
      </c>
      <c r="C209" t="s">
        <v>454</v>
      </c>
      <c r="D209" t="s">
        <v>2</v>
      </c>
      <c r="E209" t="s">
        <v>454</v>
      </c>
      <c r="F209" t="s">
        <v>13</v>
      </c>
      <c r="G209" t="s">
        <v>525</v>
      </c>
    </row>
    <row r="210" spans="1:7" x14ac:dyDescent="0.3">
      <c r="A210">
        <v>0</v>
      </c>
      <c r="B210" t="s">
        <v>312</v>
      </c>
      <c r="C210" t="s">
        <v>425</v>
      </c>
      <c r="D210" t="s">
        <v>2</v>
      </c>
      <c r="E210" t="s">
        <v>425</v>
      </c>
      <c r="F210" t="s">
        <v>13</v>
      </c>
      <c r="G210" t="s">
        <v>525</v>
      </c>
    </row>
    <row r="211" spans="1:7" x14ac:dyDescent="0.3">
      <c r="A211">
        <v>0</v>
      </c>
      <c r="B211" t="s">
        <v>312</v>
      </c>
      <c r="C211" t="s">
        <v>344</v>
      </c>
      <c r="D211" t="s">
        <v>2</v>
      </c>
      <c r="E211" t="s">
        <v>344</v>
      </c>
      <c r="F211" t="s">
        <v>13</v>
      </c>
      <c r="G211" t="s">
        <v>525</v>
      </c>
    </row>
    <row r="212" spans="1:7" x14ac:dyDescent="0.3">
      <c r="A212">
        <v>0</v>
      </c>
      <c r="B212" t="s">
        <v>312</v>
      </c>
      <c r="C212" t="s">
        <v>407</v>
      </c>
      <c r="D212" t="s">
        <v>2</v>
      </c>
      <c r="E212" t="s">
        <v>407</v>
      </c>
      <c r="F212" t="s">
        <v>13</v>
      </c>
      <c r="G212" t="s">
        <v>525</v>
      </c>
    </row>
    <row r="213" spans="1:7" x14ac:dyDescent="0.3">
      <c r="A213">
        <v>0</v>
      </c>
      <c r="B213" t="s">
        <v>314</v>
      </c>
      <c r="C213" t="s">
        <v>413</v>
      </c>
      <c r="D213" t="s">
        <v>2</v>
      </c>
      <c r="E213" t="s">
        <v>413</v>
      </c>
      <c r="F213" t="s">
        <v>13</v>
      </c>
      <c r="G213" t="s">
        <v>525</v>
      </c>
    </row>
    <row r="214" spans="1:7" x14ac:dyDescent="0.3">
      <c r="A214">
        <v>0</v>
      </c>
      <c r="B214" t="s">
        <v>312</v>
      </c>
      <c r="C214" t="s">
        <v>392</v>
      </c>
      <c r="D214" t="s">
        <v>2</v>
      </c>
      <c r="E214" t="s">
        <v>392</v>
      </c>
      <c r="F214" t="s">
        <v>13</v>
      </c>
      <c r="G214" t="s">
        <v>525</v>
      </c>
    </row>
    <row r="215" spans="1:7" x14ac:dyDescent="0.3">
      <c r="A215">
        <v>0</v>
      </c>
      <c r="B215" t="s">
        <v>319</v>
      </c>
      <c r="C215" t="s">
        <v>422</v>
      </c>
      <c r="D215" t="s">
        <v>2</v>
      </c>
      <c r="E215" t="s">
        <v>422</v>
      </c>
      <c r="F215" t="s">
        <v>13</v>
      </c>
      <c r="G215" t="s">
        <v>525</v>
      </c>
    </row>
    <row r="216" spans="1:7" x14ac:dyDescent="0.3">
      <c r="A216">
        <v>0</v>
      </c>
      <c r="B216" t="s">
        <v>314</v>
      </c>
      <c r="C216" t="s">
        <v>495</v>
      </c>
      <c r="D216" t="s">
        <v>494</v>
      </c>
      <c r="E216" t="s">
        <v>495</v>
      </c>
      <c r="F216" t="s">
        <v>13</v>
      </c>
      <c r="G216" t="s">
        <v>525</v>
      </c>
    </row>
    <row r="217" spans="1:7" x14ac:dyDescent="0.3">
      <c r="A217">
        <v>0</v>
      </c>
      <c r="B217" t="s">
        <v>314</v>
      </c>
      <c r="C217" t="s">
        <v>497</v>
      </c>
      <c r="D217" t="s">
        <v>494</v>
      </c>
      <c r="E217" t="s">
        <v>497</v>
      </c>
      <c r="F217" t="s">
        <v>13</v>
      </c>
      <c r="G217" t="s">
        <v>525</v>
      </c>
    </row>
    <row r="218" spans="1:7" x14ac:dyDescent="0.3">
      <c r="A218">
        <v>0</v>
      </c>
      <c r="B218" t="s">
        <v>314</v>
      </c>
      <c r="C218" t="s">
        <v>496</v>
      </c>
      <c r="D218" t="s">
        <v>494</v>
      </c>
      <c r="E218" t="s">
        <v>496</v>
      </c>
      <c r="F218" t="s">
        <v>13</v>
      </c>
      <c r="G218" t="s">
        <v>525</v>
      </c>
    </row>
    <row r="219" spans="1:7" x14ac:dyDescent="0.3">
      <c r="A219">
        <v>0</v>
      </c>
      <c r="B219" t="s">
        <v>312</v>
      </c>
      <c r="C219" t="s">
        <v>513</v>
      </c>
      <c r="D219" t="s">
        <v>498</v>
      </c>
      <c r="E219" t="s">
        <v>513</v>
      </c>
      <c r="F219" t="s">
        <v>13</v>
      </c>
      <c r="G219" t="s">
        <v>525</v>
      </c>
    </row>
    <row r="220" spans="1:7" x14ac:dyDescent="0.3">
      <c r="A220">
        <v>0</v>
      </c>
      <c r="B220" t="s">
        <v>312</v>
      </c>
      <c r="C220" t="s">
        <v>515</v>
      </c>
      <c r="D220" t="s">
        <v>498</v>
      </c>
      <c r="E220" t="s">
        <v>515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509</v>
      </c>
      <c r="D221" t="s">
        <v>498</v>
      </c>
      <c r="E221" t="s">
        <v>509</v>
      </c>
      <c r="F221" t="s">
        <v>13</v>
      </c>
      <c r="G221" t="s">
        <v>525</v>
      </c>
    </row>
    <row r="222" spans="1:7" x14ac:dyDescent="0.3">
      <c r="A222">
        <v>0</v>
      </c>
      <c r="B222" t="s">
        <v>312</v>
      </c>
      <c r="C222" t="s">
        <v>502</v>
      </c>
      <c r="D222" t="s">
        <v>498</v>
      </c>
      <c r="E222" t="s">
        <v>502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500</v>
      </c>
      <c r="D223" t="s">
        <v>498</v>
      </c>
      <c r="E223" t="s">
        <v>500</v>
      </c>
      <c r="F223" t="s">
        <v>13</v>
      </c>
      <c r="G223" t="s">
        <v>525</v>
      </c>
    </row>
    <row r="224" spans="1:7" x14ac:dyDescent="0.3">
      <c r="A224">
        <v>0</v>
      </c>
      <c r="B224" t="s">
        <v>507</v>
      </c>
      <c r="C224" t="s">
        <v>506</v>
      </c>
      <c r="D224" t="s">
        <v>498</v>
      </c>
      <c r="E224" t="s">
        <v>506</v>
      </c>
      <c r="F224" t="s">
        <v>13</v>
      </c>
      <c r="G224" t="s">
        <v>525</v>
      </c>
    </row>
    <row r="225" spans="1:7" x14ac:dyDescent="0.3">
      <c r="A225">
        <v>0</v>
      </c>
      <c r="B225" t="s">
        <v>312</v>
      </c>
      <c r="C225" t="s">
        <v>514</v>
      </c>
      <c r="D225" t="s">
        <v>498</v>
      </c>
      <c r="E225" t="s">
        <v>514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499</v>
      </c>
      <c r="D226" t="s">
        <v>498</v>
      </c>
      <c r="E226" t="s">
        <v>499</v>
      </c>
      <c r="F226" t="s">
        <v>13</v>
      </c>
      <c r="G226" t="s">
        <v>525</v>
      </c>
    </row>
    <row r="227" spans="1:7" x14ac:dyDescent="0.3">
      <c r="A227">
        <v>0</v>
      </c>
      <c r="B227" t="s">
        <v>312</v>
      </c>
      <c r="C227" t="s">
        <v>508</v>
      </c>
      <c r="D227" t="s">
        <v>498</v>
      </c>
      <c r="E227" t="s">
        <v>508</v>
      </c>
      <c r="F227" t="s">
        <v>13</v>
      </c>
      <c r="G227" t="s">
        <v>525</v>
      </c>
    </row>
    <row r="228" spans="1:7" x14ac:dyDescent="0.3">
      <c r="A228">
        <v>0</v>
      </c>
      <c r="B228" t="s">
        <v>312</v>
      </c>
      <c r="C228" t="s">
        <v>519</v>
      </c>
      <c r="D228" t="s">
        <v>498</v>
      </c>
      <c r="E228" t="s">
        <v>519</v>
      </c>
      <c r="F228" t="s">
        <v>13</v>
      </c>
      <c r="G228" t="s">
        <v>525</v>
      </c>
    </row>
    <row r="229" spans="1:7" x14ac:dyDescent="0.3">
      <c r="A229">
        <v>0</v>
      </c>
      <c r="B229" t="s">
        <v>312</v>
      </c>
      <c r="C229" t="s">
        <v>510</v>
      </c>
      <c r="D229" t="s">
        <v>498</v>
      </c>
      <c r="E229" t="s">
        <v>510</v>
      </c>
      <c r="F229" t="s">
        <v>13</v>
      </c>
      <c r="G229" t="s">
        <v>525</v>
      </c>
    </row>
    <row r="230" spans="1:7" x14ac:dyDescent="0.3">
      <c r="A230">
        <v>0</v>
      </c>
      <c r="B230" t="s">
        <v>312</v>
      </c>
      <c r="C230" t="s">
        <v>521</v>
      </c>
      <c r="D230" t="s">
        <v>498</v>
      </c>
      <c r="E230" t="s">
        <v>521</v>
      </c>
      <c r="F230" t="s">
        <v>13</v>
      </c>
      <c r="G230" t="s">
        <v>525</v>
      </c>
    </row>
    <row r="231" spans="1:7" x14ac:dyDescent="0.3">
      <c r="A231">
        <v>0</v>
      </c>
      <c r="B231" t="s">
        <v>312</v>
      </c>
      <c r="C231" t="s">
        <v>501</v>
      </c>
      <c r="D231" t="s">
        <v>498</v>
      </c>
      <c r="E231" t="s">
        <v>501</v>
      </c>
      <c r="F231" t="s">
        <v>13</v>
      </c>
      <c r="G231" t="s">
        <v>525</v>
      </c>
    </row>
    <row r="232" spans="1:7" x14ac:dyDescent="0.3">
      <c r="A232">
        <v>0</v>
      </c>
      <c r="B232" t="s">
        <v>312</v>
      </c>
      <c r="C232" t="s">
        <v>504</v>
      </c>
      <c r="D232" t="s">
        <v>498</v>
      </c>
      <c r="E232" t="s">
        <v>504</v>
      </c>
      <c r="F232" t="s">
        <v>13</v>
      </c>
      <c r="G232" t="s">
        <v>525</v>
      </c>
    </row>
    <row r="233" spans="1:7" x14ac:dyDescent="0.3">
      <c r="A233">
        <v>0</v>
      </c>
      <c r="B233" t="s">
        <v>312</v>
      </c>
      <c r="C233" t="s">
        <v>520</v>
      </c>
      <c r="D233" t="s">
        <v>498</v>
      </c>
      <c r="E233" t="s">
        <v>520</v>
      </c>
      <c r="F233" t="s">
        <v>13</v>
      </c>
      <c r="G233" t="s">
        <v>525</v>
      </c>
    </row>
    <row r="234" spans="1:7" x14ac:dyDescent="0.3">
      <c r="A234">
        <v>0</v>
      </c>
      <c r="B234" t="s">
        <v>312</v>
      </c>
      <c r="C234" t="s">
        <v>523</v>
      </c>
      <c r="D234" t="s">
        <v>498</v>
      </c>
      <c r="E234" t="s">
        <v>523</v>
      </c>
      <c r="F234" t="s">
        <v>13</v>
      </c>
      <c r="G234" t="s">
        <v>525</v>
      </c>
    </row>
    <row r="235" spans="1:7" x14ac:dyDescent="0.3">
      <c r="A235">
        <v>0</v>
      </c>
      <c r="B235" t="s">
        <v>312</v>
      </c>
      <c r="C235" t="s">
        <v>503</v>
      </c>
      <c r="D235" t="s">
        <v>498</v>
      </c>
      <c r="E235" t="s">
        <v>503</v>
      </c>
      <c r="F235" t="s">
        <v>13</v>
      </c>
      <c r="G235" t="s">
        <v>525</v>
      </c>
    </row>
    <row r="236" spans="1:7" x14ac:dyDescent="0.3">
      <c r="A236">
        <v>0</v>
      </c>
      <c r="B236" t="s">
        <v>312</v>
      </c>
      <c r="C236" t="s">
        <v>512</v>
      </c>
      <c r="D236" t="s">
        <v>498</v>
      </c>
      <c r="E236" t="s">
        <v>512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505</v>
      </c>
      <c r="D237" t="s">
        <v>498</v>
      </c>
      <c r="E237" t="s">
        <v>505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518</v>
      </c>
      <c r="D238" t="s">
        <v>498</v>
      </c>
      <c r="E238" t="s">
        <v>518</v>
      </c>
      <c r="F238" t="s">
        <v>13</v>
      </c>
      <c r="G238" t="s">
        <v>525</v>
      </c>
    </row>
    <row r="239" spans="1:7" x14ac:dyDescent="0.3">
      <c r="A239">
        <v>0</v>
      </c>
      <c r="B239" t="s">
        <v>312</v>
      </c>
      <c r="C239" t="s">
        <v>522</v>
      </c>
      <c r="D239" t="s">
        <v>498</v>
      </c>
      <c r="E239" t="s">
        <v>522</v>
      </c>
      <c r="F239" t="s">
        <v>13</v>
      </c>
      <c r="G239" t="s">
        <v>525</v>
      </c>
    </row>
    <row r="240" spans="1:7" x14ac:dyDescent="0.3">
      <c r="A240">
        <v>0</v>
      </c>
      <c r="B240" t="s">
        <v>312</v>
      </c>
      <c r="C240" t="s">
        <v>516</v>
      </c>
      <c r="D240" t="s">
        <v>498</v>
      </c>
      <c r="E240" t="s">
        <v>516</v>
      </c>
      <c r="F240" t="s">
        <v>13</v>
      </c>
      <c r="G240" t="s">
        <v>525</v>
      </c>
    </row>
    <row r="241" spans="1:7" x14ac:dyDescent="0.3">
      <c r="A241">
        <v>0</v>
      </c>
      <c r="B241" t="s">
        <v>312</v>
      </c>
      <c r="C241" t="s">
        <v>517</v>
      </c>
      <c r="D241" t="s">
        <v>498</v>
      </c>
      <c r="E241" t="s">
        <v>517</v>
      </c>
      <c r="F241" t="s">
        <v>13</v>
      </c>
      <c r="G241" t="s">
        <v>525</v>
      </c>
    </row>
    <row r="242" spans="1:7" x14ac:dyDescent="0.3">
      <c r="A242">
        <v>0</v>
      </c>
      <c r="B242" t="s">
        <v>16</v>
      </c>
      <c r="C242" s="2" t="s">
        <v>22</v>
      </c>
      <c r="D242" t="s">
        <v>2</v>
      </c>
      <c r="E242" s="2" t="s">
        <v>22</v>
      </c>
      <c r="F242" t="s">
        <v>13</v>
      </c>
      <c r="G242" t="s">
        <v>525</v>
      </c>
    </row>
    <row r="243" spans="1:7" x14ac:dyDescent="0.3">
      <c r="A243">
        <v>0</v>
      </c>
      <c r="B243" t="s">
        <v>16</v>
      </c>
      <c r="C243" s="2" t="s">
        <v>49</v>
      </c>
      <c r="D243" t="s">
        <v>2</v>
      </c>
      <c r="E243" s="2" t="s">
        <v>49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s="2" t="s">
        <v>55</v>
      </c>
      <c r="D244" t="s">
        <v>2</v>
      </c>
      <c r="E244" s="2" t="s">
        <v>55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t="s">
        <v>59</v>
      </c>
      <c r="D245" t="s">
        <v>2</v>
      </c>
      <c r="E245" t="s">
        <v>59</v>
      </c>
      <c r="F245" t="s">
        <v>13</v>
      </c>
      <c r="G245" t="s">
        <v>525</v>
      </c>
    </row>
    <row r="246" spans="1:7" x14ac:dyDescent="0.3">
      <c r="A246">
        <v>0</v>
      </c>
      <c r="B246" t="s">
        <v>16</v>
      </c>
      <c r="C246" s="2" t="s">
        <v>61</v>
      </c>
      <c r="D246" t="s">
        <v>2</v>
      </c>
      <c r="E246" s="2" t="s">
        <v>61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s="2" t="s">
        <v>67</v>
      </c>
      <c r="D247" t="s">
        <v>2</v>
      </c>
      <c r="E247" s="2" t="s">
        <v>67</v>
      </c>
      <c r="F247" t="s">
        <v>13</v>
      </c>
      <c r="G247" t="s">
        <v>525</v>
      </c>
    </row>
    <row r="248" spans="1:7" x14ac:dyDescent="0.3">
      <c r="A248">
        <v>0</v>
      </c>
      <c r="B248" t="s">
        <v>312</v>
      </c>
      <c r="C248" t="s">
        <v>73</v>
      </c>
      <c r="D248" t="s">
        <v>2</v>
      </c>
      <c r="E248" t="s">
        <v>73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79</v>
      </c>
      <c r="D249" t="s">
        <v>2</v>
      </c>
      <c r="E249" t="s">
        <v>79</v>
      </c>
      <c r="F249" t="s">
        <v>13</v>
      </c>
      <c r="G249" t="s">
        <v>525</v>
      </c>
    </row>
    <row r="250" spans="1:7" x14ac:dyDescent="0.3">
      <c r="A250">
        <v>0</v>
      </c>
      <c r="B250" t="s">
        <v>312</v>
      </c>
      <c r="C250" t="s">
        <v>82</v>
      </c>
      <c r="D250" t="s">
        <v>2</v>
      </c>
      <c r="E250" t="s">
        <v>82</v>
      </c>
      <c r="F250" t="s">
        <v>13</v>
      </c>
      <c r="G250" t="s">
        <v>525</v>
      </c>
    </row>
    <row r="251" spans="1:7" x14ac:dyDescent="0.3">
      <c r="A251">
        <v>0</v>
      </c>
      <c r="B251" t="s">
        <v>312</v>
      </c>
      <c r="C251" t="s">
        <v>85</v>
      </c>
      <c r="D251" t="s">
        <v>2</v>
      </c>
      <c r="E251" t="s">
        <v>85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88</v>
      </c>
      <c r="D252" t="s">
        <v>2</v>
      </c>
      <c r="E252" t="s">
        <v>88</v>
      </c>
      <c r="F252" t="s">
        <v>13</v>
      </c>
      <c r="G252" t="s">
        <v>525</v>
      </c>
    </row>
    <row r="253" spans="1:7" x14ac:dyDescent="0.3">
      <c r="A253">
        <v>0</v>
      </c>
      <c r="B253" t="s">
        <v>312</v>
      </c>
      <c r="C253" t="s">
        <v>91</v>
      </c>
      <c r="D253" t="s">
        <v>2</v>
      </c>
      <c r="E253" t="s">
        <v>91</v>
      </c>
      <c r="F253" t="s">
        <v>13</v>
      </c>
      <c r="G253" t="s">
        <v>525</v>
      </c>
    </row>
    <row r="254" spans="1:7" x14ac:dyDescent="0.3">
      <c r="A254">
        <v>0</v>
      </c>
      <c r="B254" t="s">
        <v>312</v>
      </c>
      <c r="C254" t="s">
        <v>94</v>
      </c>
      <c r="D254" t="s">
        <v>2</v>
      </c>
      <c r="E254" t="s">
        <v>94</v>
      </c>
      <c r="F254" t="s">
        <v>13</v>
      </c>
      <c r="G254" t="s">
        <v>525</v>
      </c>
    </row>
    <row r="255" spans="1:7" x14ac:dyDescent="0.3">
      <c r="A255">
        <v>0</v>
      </c>
      <c r="B255" t="s">
        <v>312</v>
      </c>
      <c r="C255" t="s">
        <v>97</v>
      </c>
      <c r="D255" t="s">
        <v>2</v>
      </c>
      <c r="E255" t="s">
        <v>97</v>
      </c>
      <c r="F255" t="s">
        <v>13</v>
      </c>
      <c r="G255" t="s">
        <v>525</v>
      </c>
    </row>
    <row r="256" spans="1:7" x14ac:dyDescent="0.3">
      <c r="A256">
        <v>0</v>
      </c>
      <c r="B256" t="s">
        <v>312</v>
      </c>
      <c r="C256" t="s">
        <v>100</v>
      </c>
      <c r="D256" t="s">
        <v>2</v>
      </c>
      <c r="E256" t="s">
        <v>100</v>
      </c>
      <c r="F256" t="s">
        <v>13</v>
      </c>
      <c r="G256" t="s">
        <v>525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1"/>
  <sheetViews>
    <sheetView topLeftCell="A6" workbookViewId="0">
      <selection activeCell="E26" sqref="E26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1</v>
      </c>
      <c r="B2" t="s">
        <v>57</v>
      </c>
      <c r="C2" t="s">
        <v>690</v>
      </c>
      <c r="D2" t="s">
        <v>2</v>
      </c>
      <c r="E2" t="s">
        <v>79</v>
      </c>
      <c r="F2" s="4" t="s">
        <v>13</v>
      </c>
      <c r="G2" t="s">
        <v>525</v>
      </c>
      <c r="H2" t="s">
        <v>626</v>
      </c>
    </row>
    <row r="3" spans="1:9" x14ac:dyDescent="0.3">
      <c r="A3">
        <v>0.5</v>
      </c>
      <c r="B3" t="s">
        <v>57</v>
      </c>
      <c r="C3" t="s">
        <v>667</v>
      </c>
      <c r="D3" t="s">
        <v>2</v>
      </c>
      <c r="E3" s="2" t="s">
        <v>332</v>
      </c>
      <c r="F3" t="s">
        <v>13</v>
      </c>
      <c r="G3" t="s">
        <v>525</v>
      </c>
      <c r="H3" t="s">
        <v>626</v>
      </c>
    </row>
    <row r="4" spans="1:9" x14ac:dyDescent="0.3">
      <c r="A4">
        <f>179.35952/48</f>
        <v>3.7366566666666667</v>
      </c>
      <c r="B4" t="s">
        <v>57</v>
      </c>
      <c r="C4" t="s">
        <v>691</v>
      </c>
      <c r="D4" t="s">
        <v>2</v>
      </c>
      <c r="E4" t="s">
        <v>398</v>
      </c>
      <c r="F4" t="s">
        <v>13</v>
      </c>
      <c r="G4" t="s">
        <v>525</v>
      </c>
      <c r="H4" t="s">
        <v>626</v>
      </c>
    </row>
    <row r="5" spans="1:9" x14ac:dyDescent="0.3">
      <c r="A5">
        <v>25</v>
      </c>
      <c r="B5" t="s">
        <v>542</v>
      </c>
      <c r="C5" t="s">
        <v>689</v>
      </c>
      <c r="D5" t="s">
        <v>2</v>
      </c>
      <c r="E5" t="s">
        <v>111</v>
      </c>
      <c r="F5" t="s">
        <v>13</v>
      </c>
      <c r="G5" t="s">
        <v>525</v>
      </c>
      <c r="H5" t="s">
        <v>626</v>
      </c>
    </row>
    <row r="6" spans="1:9" x14ac:dyDescent="0.3">
      <c r="A6">
        <v>8.1382618277999988E-2</v>
      </c>
      <c r="B6" t="s">
        <v>57</v>
      </c>
      <c r="C6" t="s">
        <v>692</v>
      </c>
      <c r="D6" t="s">
        <v>2</v>
      </c>
      <c r="E6" t="s">
        <v>149</v>
      </c>
      <c r="F6" t="s">
        <v>13</v>
      </c>
      <c r="G6" t="s">
        <v>525</v>
      </c>
      <c r="H6" t="s">
        <v>626</v>
      </c>
    </row>
    <row r="7" spans="1:9" x14ac:dyDescent="0.3">
      <c r="A7">
        <v>8.4242619825000004E-2</v>
      </c>
      <c r="B7" t="s">
        <v>57</v>
      </c>
      <c r="C7" t="s">
        <v>693</v>
      </c>
      <c r="D7" t="s">
        <v>2</v>
      </c>
      <c r="E7" t="s">
        <v>112</v>
      </c>
      <c r="F7" t="s">
        <v>13</v>
      </c>
      <c r="G7" t="s">
        <v>525</v>
      </c>
      <c r="H7" t="s">
        <v>626</v>
      </c>
    </row>
    <row r="8" spans="1:9" x14ac:dyDescent="0.3">
      <c r="A8">
        <v>6.2077607835750008</v>
      </c>
      <c r="B8" t="s">
        <v>57</v>
      </c>
      <c r="C8" t="s">
        <v>669</v>
      </c>
      <c r="D8" t="s">
        <v>2</v>
      </c>
      <c r="E8" t="s">
        <v>149</v>
      </c>
      <c r="F8" t="s">
        <v>13</v>
      </c>
      <c r="G8" t="s">
        <v>525</v>
      </c>
      <c r="H8" t="s">
        <v>626</v>
      </c>
    </row>
    <row r="9" spans="1:9" x14ac:dyDescent="0.3">
      <c r="A9">
        <v>3.8508580737995325E-2</v>
      </c>
      <c r="B9" t="s">
        <v>57</v>
      </c>
      <c r="C9" t="s">
        <v>694</v>
      </c>
      <c r="D9" t="s">
        <v>498</v>
      </c>
      <c r="E9" t="s">
        <v>516</v>
      </c>
      <c r="F9" t="s">
        <v>13</v>
      </c>
      <c r="G9" t="s">
        <v>525</v>
      </c>
      <c r="H9" t="s">
        <v>626</v>
      </c>
    </row>
    <row r="10" spans="1:9" x14ac:dyDescent="0.3">
      <c r="A10">
        <v>6.8481934648545118E-7</v>
      </c>
      <c r="B10" t="s">
        <v>57</v>
      </c>
      <c r="C10" t="s">
        <v>695</v>
      </c>
      <c r="D10" t="s">
        <v>498</v>
      </c>
      <c r="E10" t="s">
        <v>505</v>
      </c>
      <c r="F10" t="s">
        <v>13</v>
      </c>
      <c r="G10" t="s">
        <v>525</v>
      </c>
      <c r="H10" t="s">
        <v>626</v>
      </c>
    </row>
    <row r="11" spans="1:9" x14ac:dyDescent="0.3">
      <c r="A11">
        <v>2.8511724559095766E-4</v>
      </c>
      <c r="B11" t="s">
        <v>57</v>
      </c>
      <c r="C11" t="s">
        <v>696</v>
      </c>
      <c r="D11" t="s">
        <v>498</v>
      </c>
      <c r="E11" t="s">
        <v>510</v>
      </c>
      <c r="F11" t="s">
        <v>13</v>
      </c>
      <c r="G11" t="s">
        <v>525</v>
      </c>
      <c r="H11" t="s">
        <v>626</v>
      </c>
    </row>
    <row r="12" spans="1:9" x14ac:dyDescent="0.3">
      <c r="A12">
        <v>4.3036565372220024E-6</v>
      </c>
      <c r="B12" t="s">
        <v>57</v>
      </c>
      <c r="C12" t="s">
        <v>697</v>
      </c>
      <c r="D12" t="s">
        <v>498</v>
      </c>
      <c r="E12" t="s">
        <v>517</v>
      </c>
      <c r="F12" t="s">
        <v>13</v>
      </c>
      <c r="G12" t="s">
        <v>525</v>
      </c>
      <c r="H12" t="s">
        <v>626</v>
      </c>
    </row>
    <row r="13" spans="1:9" x14ac:dyDescent="0.3">
      <c r="A13">
        <v>2.6951111107285639E-2</v>
      </c>
      <c r="B13" t="s">
        <v>57</v>
      </c>
      <c r="C13" t="s">
        <v>698</v>
      </c>
      <c r="D13" t="s">
        <v>498</v>
      </c>
      <c r="E13" t="s">
        <v>516</v>
      </c>
      <c r="F13" t="s">
        <v>13</v>
      </c>
      <c r="G13" t="s">
        <v>525</v>
      </c>
      <c r="H13" t="s">
        <v>626</v>
      </c>
    </row>
    <row r="14" spans="1:9" x14ac:dyDescent="0.3">
      <c r="A14">
        <v>1.8290540283193512E-6</v>
      </c>
      <c r="B14" t="s">
        <v>57</v>
      </c>
      <c r="C14" t="s">
        <v>699</v>
      </c>
      <c r="D14" t="s">
        <v>498</v>
      </c>
      <c r="E14" t="s">
        <v>523</v>
      </c>
      <c r="F14" t="s">
        <v>13</v>
      </c>
      <c r="G14" t="s">
        <v>525</v>
      </c>
      <c r="H14" t="s">
        <v>626</v>
      </c>
    </row>
    <row r="15" spans="1:9" x14ac:dyDescent="0.3">
      <c r="A15">
        <v>5.917527738680254E-6</v>
      </c>
      <c r="B15" t="s">
        <v>57</v>
      </c>
      <c r="C15" t="s">
        <v>700</v>
      </c>
      <c r="D15" t="s">
        <v>498</v>
      </c>
      <c r="E15" t="s">
        <v>516</v>
      </c>
      <c r="F15" t="s">
        <v>13</v>
      </c>
      <c r="G15" t="s">
        <v>525</v>
      </c>
      <c r="H15" t="s">
        <v>626</v>
      </c>
    </row>
    <row r="16" spans="1:9" x14ac:dyDescent="0.3">
      <c r="A16">
        <v>9.4681538922855194E-7</v>
      </c>
      <c r="B16" t="s">
        <v>57</v>
      </c>
      <c r="C16" t="s">
        <v>701</v>
      </c>
      <c r="D16" t="s">
        <v>498</v>
      </c>
      <c r="E16" t="s">
        <v>503</v>
      </c>
      <c r="F16" t="s">
        <v>13</v>
      </c>
      <c r="G16" t="s">
        <v>525</v>
      </c>
      <c r="H16" t="s">
        <v>626</v>
      </c>
    </row>
    <row r="17" spans="1:8" x14ac:dyDescent="0.3">
      <c r="A17">
        <v>7.8684265155928776E-7</v>
      </c>
      <c r="B17" t="s">
        <v>57</v>
      </c>
      <c r="C17" t="s">
        <v>702</v>
      </c>
      <c r="D17" t="s">
        <v>498</v>
      </c>
      <c r="E17" t="s">
        <v>504</v>
      </c>
      <c r="F17" t="s">
        <v>13</v>
      </c>
      <c r="G17" t="s">
        <v>525</v>
      </c>
      <c r="H17" t="s">
        <v>626</v>
      </c>
    </row>
    <row r="18" spans="1:8" x14ac:dyDescent="0.3">
      <c r="A18">
        <v>3.7121115731719021E-5</v>
      </c>
      <c r="B18" t="s">
        <v>57</v>
      </c>
      <c r="C18" t="s">
        <v>703</v>
      </c>
      <c r="D18" t="s">
        <v>498</v>
      </c>
      <c r="E18" t="s">
        <v>516</v>
      </c>
      <c r="F18" t="s">
        <v>13</v>
      </c>
      <c r="G18" t="s">
        <v>525</v>
      </c>
      <c r="H18" t="s">
        <v>626</v>
      </c>
    </row>
    <row r="19" spans="1:8" x14ac:dyDescent="0.3">
      <c r="A19">
        <v>2.0368621831144683E-7</v>
      </c>
      <c r="B19" t="s">
        <v>57</v>
      </c>
      <c r="C19" t="s">
        <v>675</v>
      </c>
      <c r="D19" t="s">
        <v>498</v>
      </c>
      <c r="E19" t="s">
        <v>520</v>
      </c>
      <c r="F19" t="s">
        <v>13</v>
      </c>
      <c r="G19" t="s">
        <v>525</v>
      </c>
      <c r="H19" t="s">
        <v>626</v>
      </c>
    </row>
    <row r="20" spans="1:8" x14ac:dyDescent="0.3">
      <c r="A20">
        <v>1.8601481124333045E-9</v>
      </c>
      <c r="B20" t="s">
        <v>57</v>
      </c>
      <c r="C20" t="s">
        <v>704</v>
      </c>
      <c r="D20" t="s">
        <v>498</v>
      </c>
      <c r="E20" t="s">
        <v>509</v>
      </c>
      <c r="F20" t="s">
        <v>13</v>
      </c>
      <c r="G20" t="s">
        <v>525</v>
      </c>
      <c r="H20" t="s">
        <v>626</v>
      </c>
    </row>
    <row r="21" spans="1:8" x14ac:dyDescent="0.3">
      <c r="A21">
        <v>7.9800354023388756E-7</v>
      </c>
      <c r="B21" t="s">
        <v>57</v>
      </c>
      <c r="C21" t="s">
        <v>705</v>
      </c>
      <c r="D21" t="s">
        <v>498</v>
      </c>
      <c r="E21" t="s">
        <v>515</v>
      </c>
      <c r="F21" t="s">
        <v>13</v>
      </c>
      <c r="G21" t="s">
        <v>525</v>
      </c>
      <c r="H21" t="s">
        <v>626</v>
      </c>
    </row>
    <row r="22" spans="1:8" x14ac:dyDescent="0.3">
      <c r="A22">
        <v>4.650370281083261E-7</v>
      </c>
      <c r="B22" t="s">
        <v>57</v>
      </c>
      <c r="C22" t="s">
        <v>706</v>
      </c>
      <c r="D22" t="s">
        <v>498</v>
      </c>
      <c r="E22" t="s">
        <v>517</v>
      </c>
      <c r="F22" t="s">
        <v>13</v>
      </c>
      <c r="G22" t="s">
        <v>525</v>
      </c>
      <c r="H22" t="s">
        <v>626</v>
      </c>
    </row>
    <row r="23" spans="1:8" x14ac:dyDescent="0.3">
      <c r="A23">
        <v>1.8601481124333043E-4</v>
      </c>
      <c r="B23" t="s">
        <v>57</v>
      </c>
      <c r="C23" t="s">
        <v>707</v>
      </c>
      <c r="D23" t="s">
        <v>498</v>
      </c>
      <c r="E23" t="s">
        <v>521</v>
      </c>
      <c r="F23" t="s">
        <v>13</v>
      </c>
      <c r="G23" t="s">
        <v>525</v>
      </c>
      <c r="H23" t="s">
        <v>626</v>
      </c>
    </row>
    <row r="24" spans="1:8" x14ac:dyDescent="0.3">
      <c r="A24">
        <v>10.062069072</v>
      </c>
      <c r="B24" t="s">
        <v>57</v>
      </c>
      <c r="C24" t="s">
        <v>535</v>
      </c>
      <c r="D24" t="s">
        <v>498</v>
      </c>
      <c r="E24" t="s">
        <v>502</v>
      </c>
      <c r="F24" t="s">
        <v>13</v>
      </c>
      <c r="G24" t="s">
        <v>525</v>
      </c>
      <c r="H24" t="s">
        <v>658</v>
      </c>
    </row>
    <row r="25" spans="1:8" x14ac:dyDescent="0.3">
      <c r="A25">
        <v>8.9679760000000005E-4</v>
      </c>
      <c r="B25" t="s">
        <v>57</v>
      </c>
      <c r="C25" t="s">
        <v>500</v>
      </c>
      <c r="D25" t="s">
        <v>498</v>
      </c>
      <c r="E25" t="s">
        <v>500</v>
      </c>
      <c r="F25" t="s">
        <v>13</v>
      </c>
      <c r="G25" t="s">
        <v>525</v>
      </c>
      <c r="H25" t="s">
        <v>658</v>
      </c>
    </row>
    <row r="26" spans="1:8" x14ac:dyDescent="0.3">
      <c r="A26">
        <v>1.7935952000000001E-5</v>
      </c>
      <c r="B26" t="s">
        <v>57</v>
      </c>
      <c r="C26" t="s">
        <v>511</v>
      </c>
      <c r="D26" t="s">
        <v>498</v>
      </c>
      <c r="E26" t="s">
        <v>511</v>
      </c>
      <c r="F26" t="s">
        <v>13</v>
      </c>
      <c r="G26" t="s">
        <v>525</v>
      </c>
      <c r="H26" t="s">
        <v>658</v>
      </c>
    </row>
    <row r="27" spans="1:8" x14ac:dyDescent="0.3">
      <c r="A27">
        <v>0</v>
      </c>
      <c r="B27" t="s">
        <v>312</v>
      </c>
      <c r="C27" t="s">
        <v>483</v>
      </c>
      <c r="D27" t="s">
        <v>2</v>
      </c>
      <c r="E27" t="s">
        <v>483</v>
      </c>
      <c r="F27" t="s">
        <v>13</v>
      </c>
      <c r="G27" t="s">
        <v>525</v>
      </c>
    </row>
    <row r="28" spans="1:8" x14ac:dyDescent="0.3">
      <c r="A28">
        <v>0</v>
      </c>
      <c r="B28" t="s">
        <v>105</v>
      </c>
      <c r="C28" t="s">
        <v>125</v>
      </c>
      <c r="D28" t="s">
        <v>2</v>
      </c>
      <c r="E28" t="s">
        <v>125</v>
      </c>
      <c r="F28" t="s">
        <v>13</v>
      </c>
      <c r="G28" t="s">
        <v>525</v>
      </c>
    </row>
    <row r="29" spans="1:8" x14ac:dyDescent="0.3">
      <c r="A29">
        <v>0</v>
      </c>
      <c r="B29" t="s">
        <v>319</v>
      </c>
      <c r="C29" t="s">
        <v>461</v>
      </c>
      <c r="D29" t="s">
        <v>2</v>
      </c>
      <c r="E29" t="s">
        <v>461</v>
      </c>
      <c r="F29" t="s">
        <v>13</v>
      </c>
      <c r="G29" t="s">
        <v>525</v>
      </c>
    </row>
    <row r="30" spans="1:8" x14ac:dyDescent="0.3">
      <c r="A30">
        <v>0</v>
      </c>
      <c r="B30" t="s">
        <v>314</v>
      </c>
      <c r="C30" t="s">
        <v>395</v>
      </c>
      <c r="D30" t="s">
        <v>2</v>
      </c>
      <c r="E30" t="s">
        <v>395</v>
      </c>
      <c r="F30" t="s">
        <v>13</v>
      </c>
      <c r="G30" t="s">
        <v>525</v>
      </c>
    </row>
    <row r="31" spans="1:8" x14ac:dyDescent="0.3">
      <c r="A31">
        <v>0</v>
      </c>
      <c r="B31" t="s">
        <v>312</v>
      </c>
      <c r="C31" t="s">
        <v>399</v>
      </c>
      <c r="D31" t="s">
        <v>2</v>
      </c>
      <c r="E31" t="s">
        <v>399</v>
      </c>
      <c r="F31" t="s">
        <v>13</v>
      </c>
      <c r="G31" t="s">
        <v>525</v>
      </c>
    </row>
    <row r="32" spans="1:8" x14ac:dyDescent="0.3">
      <c r="A32">
        <v>0</v>
      </c>
      <c r="B32" t="s">
        <v>314</v>
      </c>
      <c r="C32" t="s">
        <v>432</v>
      </c>
      <c r="D32" t="s">
        <v>2</v>
      </c>
      <c r="E32" t="s">
        <v>432</v>
      </c>
      <c r="F32" t="s">
        <v>13</v>
      </c>
      <c r="G32" t="s">
        <v>525</v>
      </c>
    </row>
    <row r="33" spans="1:7" x14ac:dyDescent="0.3">
      <c r="A33">
        <v>0</v>
      </c>
      <c r="B33" t="s">
        <v>312</v>
      </c>
      <c r="C33" t="s">
        <v>325</v>
      </c>
      <c r="D33" t="s">
        <v>2</v>
      </c>
      <c r="E33" t="s">
        <v>325</v>
      </c>
      <c r="F33" t="s">
        <v>13</v>
      </c>
      <c r="G33" t="s">
        <v>525</v>
      </c>
    </row>
    <row r="34" spans="1:7" x14ac:dyDescent="0.3">
      <c r="A34">
        <v>0</v>
      </c>
      <c r="B34" t="s">
        <v>314</v>
      </c>
      <c r="C34" t="s">
        <v>372</v>
      </c>
      <c r="D34" t="s">
        <v>2</v>
      </c>
      <c r="E34" t="s">
        <v>372</v>
      </c>
      <c r="F34" t="s">
        <v>13</v>
      </c>
      <c r="G34" t="s">
        <v>525</v>
      </c>
    </row>
    <row r="35" spans="1:7" x14ac:dyDescent="0.3">
      <c r="A35">
        <v>0</v>
      </c>
      <c r="B35" t="s">
        <v>314</v>
      </c>
      <c r="C35" t="s">
        <v>260</v>
      </c>
      <c r="D35" t="s">
        <v>2</v>
      </c>
      <c r="E35" t="s">
        <v>260</v>
      </c>
      <c r="F35" t="s">
        <v>13</v>
      </c>
      <c r="G35" t="s">
        <v>525</v>
      </c>
    </row>
    <row r="36" spans="1:7" x14ac:dyDescent="0.3">
      <c r="A36">
        <v>0</v>
      </c>
      <c r="B36" t="s">
        <v>312</v>
      </c>
      <c r="C36" t="s">
        <v>330</v>
      </c>
      <c r="D36" t="s">
        <v>2</v>
      </c>
      <c r="E36" t="s">
        <v>330</v>
      </c>
      <c r="F36" t="s">
        <v>13</v>
      </c>
      <c r="G36" t="s">
        <v>525</v>
      </c>
    </row>
    <row r="37" spans="1:7" x14ac:dyDescent="0.3">
      <c r="A37">
        <v>0</v>
      </c>
      <c r="B37" t="s">
        <v>105</v>
      </c>
      <c r="C37" t="s">
        <v>401</v>
      </c>
      <c r="D37" t="s">
        <v>2</v>
      </c>
      <c r="E37" t="s">
        <v>401</v>
      </c>
      <c r="F37" t="s">
        <v>13</v>
      </c>
      <c r="G37" t="s">
        <v>525</v>
      </c>
    </row>
    <row r="38" spans="1:7" x14ac:dyDescent="0.3">
      <c r="A38">
        <v>0</v>
      </c>
      <c r="B38" t="s">
        <v>312</v>
      </c>
      <c r="C38" t="s">
        <v>416</v>
      </c>
      <c r="D38" t="s">
        <v>2</v>
      </c>
      <c r="E38" t="s">
        <v>416</v>
      </c>
      <c r="F38" t="s">
        <v>13</v>
      </c>
      <c r="G38" t="s">
        <v>525</v>
      </c>
    </row>
    <row r="39" spans="1:7" x14ac:dyDescent="0.3">
      <c r="A39">
        <v>0</v>
      </c>
      <c r="B39" t="s">
        <v>319</v>
      </c>
      <c r="C39" t="s">
        <v>375</v>
      </c>
      <c r="D39" t="s">
        <v>2</v>
      </c>
      <c r="E39" t="s">
        <v>375</v>
      </c>
      <c r="F39" t="s">
        <v>13</v>
      </c>
      <c r="G39" t="s">
        <v>525</v>
      </c>
    </row>
    <row r="40" spans="1:7" x14ac:dyDescent="0.3">
      <c r="A40">
        <v>0</v>
      </c>
      <c r="B40" t="s">
        <v>312</v>
      </c>
      <c r="C40" t="s">
        <v>333</v>
      </c>
      <c r="D40" t="s">
        <v>2</v>
      </c>
      <c r="E40" t="s">
        <v>333</v>
      </c>
      <c r="F40" t="s">
        <v>13</v>
      </c>
      <c r="G40" t="s">
        <v>525</v>
      </c>
    </row>
    <row r="41" spans="1:7" x14ac:dyDescent="0.3">
      <c r="A41">
        <v>0</v>
      </c>
      <c r="B41" t="s">
        <v>57</v>
      </c>
      <c r="C41" t="s">
        <v>118</v>
      </c>
      <c r="D41" t="s">
        <v>2</v>
      </c>
      <c r="E41" t="s">
        <v>118</v>
      </c>
      <c r="F41" t="s">
        <v>13</v>
      </c>
      <c r="G41" t="s">
        <v>525</v>
      </c>
    </row>
    <row r="42" spans="1:7" x14ac:dyDescent="0.3">
      <c r="A42">
        <v>0</v>
      </c>
      <c r="B42" t="s">
        <v>312</v>
      </c>
      <c r="C42" t="s">
        <v>406</v>
      </c>
      <c r="D42" t="s">
        <v>2</v>
      </c>
      <c r="E42" t="s">
        <v>406</v>
      </c>
      <c r="F42" t="s">
        <v>13</v>
      </c>
      <c r="G42" t="s">
        <v>525</v>
      </c>
    </row>
    <row r="43" spans="1:7" x14ac:dyDescent="0.3">
      <c r="A43">
        <v>0</v>
      </c>
      <c r="B43" t="s">
        <v>312</v>
      </c>
      <c r="C43" t="s">
        <v>315</v>
      </c>
      <c r="D43" t="s">
        <v>2</v>
      </c>
      <c r="E43" t="s">
        <v>315</v>
      </c>
      <c r="F43" t="s">
        <v>13</v>
      </c>
      <c r="G43" t="s">
        <v>525</v>
      </c>
    </row>
    <row r="44" spans="1:7" x14ac:dyDescent="0.3">
      <c r="A44">
        <v>0</v>
      </c>
      <c r="B44" t="s">
        <v>312</v>
      </c>
      <c r="C44" t="s">
        <v>358</v>
      </c>
      <c r="D44" t="s">
        <v>2</v>
      </c>
      <c r="E44" t="s">
        <v>358</v>
      </c>
      <c r="F44" t="s">
        <v>13</v>
      </c>
      <c r="G44" t="s">
        <v>525</v>
      </c>
    </row>
    <row r="45" spans="1:7" x14ac:dyDescent="0.3">
      <c r="A45">
        <v>0</v>
      </c>
      <c r="B45" t="s">
        <v>314</v>
      </c>
      <c r="C45" t="s">
        <v>444</v>
      </c>
      <c r="D45" t="s">
        <v>2</v>
      </c>
      <c r="E45" t="s">
        <v>444</v>
      </c>
      <c r="F45" t="s">
        <v>13</v>
      </c>
      <c r="G45" t="s">
        <v>525</v>
      </c>
    </row>
    <row r="46" spans="1:7" x14ac:dyDescent="0.3">
      <c r="A46">
        <v>0</v>
      </c>
      <c r="B46" t="s">
        <v>312</v>
      </c>
      <c r="C46" t="s">
        <v>439</v>
      </c>
      <c r="D46" t="s">
        <v>2</v>
      </c>
      <c r="E46" t="s">
        <v>439</v>
      </c>
      <c r="F46" t="s">
        <v>13</v>
      </c>
      <c r="G46" t="s">
        <v>525</v>
      </c>
    </row>
    <row r="47" spans="1:7" x14ac:dyDescent="0.3">
      <c r="A47">
        <v>0</v>
      </c>
      <c r="B47" t="s">
        <v>312</v>
      </c>
      <c r="C47" t="s">
        <v>381</v>
      </c>
      <c r="D47" t="s">
        <v>2</v>
      </c>
      <c r="E47" t="s">
        <v>381</v>
      </c>
      <c r="F47" t="s">
        <v>13</v>
      </c>
      <c r="G47" t="s">
        <v>525</v>
      </c>
    </row>
    <row r="48" spans="1:7" x14ac:dyDescent="0.3">
      <c r="A48">
        <v>0</v>
      </c>
      <c r="B48" t="s">
        <v>312</v>
      </c>
      <c r="C48" t="s">
        <v>418</v>
      </c>
      <c r="D48" t="s">
        <v>2</v>
      </c>
      <c r="E48" t="s">
        <v>418</v>
      </c>
      <c r="F48" t="s">
        <v>13</v>
      </c>
      <c r="G48" t="s">
        <v>525</v>
      </c>
    </row>
    <row r="49" spans="1:7" x14ac:dyDescent="0.3">
      <c r="A49">
        <v>0</v>
      </c>
      <c r="B49" t="s">
        <v>314</v>
      </c>
      <c r="C49" t="s">
        <v>465</v>
      </c>
      <c r="D49" t="s">
        <v>2</v>
      </c>
      <c r="E49" t="s">
        <v>465</v>
      </c>
      <c r="F49" t="s">
        <v>13</v>
      </c>
      <c r="G49" t="s">
        <v>525</v>
      </c>
    </row>
    <row r="50" spans="1:7" x14ac:dyDescent="0.3">
      <c r="A50">
        <v>0</v>
      </c>
      <c r="B50" t="s">
        <v>105</v>
      </c>
      <c r="C50" t="s">
        <v>103</v>
      </c>
      <c r="D50" t="s">
        <v>2</v>
      </c>
      <c r="E50" t="s">
        <v>103</v>
      </c>
      <c r="F50" t="s">
        <v>13</v>
      </c>
      <c r="G50" t="s">
        <v>525</v>
      </c>
    </row>
    <row r="51" spans="1:7" x14ac:dyDescent="0.3">
      <c r="A51">
        <v>0</v>
      </c>
      <c r="B51" t="s">
        <v>312</v>
      </c>
      <c r="C51" t="s">
        <v>320</v>
      </c>
      <c r="D51" t="s">
        <v>2</v>
      </c>
      <c r="E51" t="s">
        <v>320</v>
      </c>
      <c r="F51" t="s">
        <v>13</v>
      </c>
      <c r="G51" t="s">
        <v>525</v>
      </c>
    </row>
    <row r="52" spans="1:7" x14ac:dyDescent="0.3">
      <c r="A52">
        <v>0</v>
      </c>
      <c r="B52" t="s">
        <v>312</v>
      </c>
      <c r="C52" t="s">
        <v>334</v>
      </c>
      <c r="D52" t="s">
        <v>2</v>
      </c>
      <c r="E52" t="s">
        <v>334</v>
      </c>
      <c r="F52" t="s">
        <v>13</v>
      </c>
      <c r="G52" t="s">
        <v>525</v>
      </c>
    </row>
    <row r="53" spans="1:7" x14ac:dyDescent="0.3">
      <c r="A53">
        <v>0</v>
      </c>
      <c r="B53" t="s">
        <v>312</v>
      </c>
      <c r="C53" t="s">
        <v>435</v>
      </c>
      <c r="D53" t="s">
        <v>2</v>
      </c>
      <c r="E53" t="s">
        <v>435</v>
      </c>
      <c r="F53" t="s">
        <v>13</v>
      </c>
      <c r="G53" t="s">
        <v>525</v>
      </c>
    </row>
    <row r="54" spans="1:7" x14ac:dyDescent="0.3">
      <c r="A54">
        <v>0</v>
      </c>
      <c r="B54" t="s">
        <v>319</v>
      </c>
      <c r="C54" t="s">
        <v>456</v>
      </c>
      <c r="D54" t="s">
        <v>2</v>
      </c>
      <c r="E54" t="s">
        <v>456</v>
      </c>
      <c r="F54" t="s">
        <v>13</v>
      </c>
      <c r="G54" t="s">
        <v>525</v>
      </c>
    </row>
    <row r="55" spans="1:7" x14ac:dyDescent="0.3">
      <c r="A55">
        <v>0</v>
      </c>
      <c r="B55" t="s">
        <v>312</v>
      </c>
      <c r="C55" t="s">
        <v>474</v>
      </c>
      <c r="D55" t="s">
        <v>2</v>
      </c>
      <c r="E55" t="s">
        <v>474</v>
      </c>
      <c r="F55" t="s">
        <v>13</v>
      </c>
      <c r="G55" t="s">
        <v>525</v>
      </c>
    </row>
    <row r="56" spans="1:7" x14ac:dyDescent="0.3">
      <c r="A56">
        <v>0</v>
      </c>
      <c r="B56" t="s">
        <v>319</v>
      </c>
      <c r="C56" t="s">
        <v>318</v>
      </c>
      <c r="D56" t="s">
        <v>2</v>
      </c>
      <c r="E56" t="s">
        <v>318</v>
      </c>
      <c r="F56" t="s">
        <v>13</v>
      </c>
      <c r="G56" t="s">
        <v>525</v>
      </c>
    </row>
    <row r="57" spans="1:7" x14ac:dyDescent="0.3">
      <c r="A57">
        <v>0</v>
      </c>
      <c r="B57" t="s">
        <v>314</v>
      </c>
      <c r="C57" t="s">
        <v>475</v>
      </c>
      <c r="D57" t="s">
        <v>2</v>
      </c>
      <c r="E57" t="s">
        <v>475</v>
      </c>
      <c r="F57" t="s">
        <v>13</v>
      </c>
      <c r="G57" t="s">
        <v>525</v>
      </c>
    </row>
    <row r="58" spans="1:7" x14ac:dyDescent="0.3">
      <c r="A58">
        <v>0</v>
      </c>
      <c r="B58" t="s">
        <v>314</v>
      </c>
      <c r="C58" t="s">
        <v>449</v>
      </c>
      <c r="D58" t="s">
        <v>2</v>
      </c>
      <c r="E58" t="s">
        <v>449</v>
      </c>
      <c r="F58" t="s">
        <v>13</v>
      </c>
      <c r="G58" t="s">
        <v>525</v>
      </c>
    </row>
    <row r="59" spans="1:7" x14ac:dyDescent="0.3">
      <c r="A59">
        <v>0</v>
      </c>
      <c r="B59" t="s">
        <v>314</v>
      </c>
      <c r="C59" t="s">
        <v>176</v>
      </c>
      <c r="D59" t="s">
        <v>2</v>
      </c>
      <c r="E59" t="s">
        <v>176</v>
      </c>
      <c r="F59" t="s">
        <v>13</v>
      </c>
      <c r="G59" t="s">
        <v>525</v>
      </c>
    </row>
    <row r="60" spans="1:7" x14ac:dyDescent="0.3">
      <c r="A60">
        <v>0</v>
      </c>
      <c r="B60" t="s">
        <v>312</v>
      </c>
      <c r="C60" t="s">
        <v>388</v>
      </c>
      <c r="D60" t="s">
        <v>2</v>
      </c>
      <c r="E60" t="s">
        <v>388</v>
      </c>
      <c r="F60" t="s">
        <v>13</v>
      </c>
      <c r="G60" t="s">
        <v>525</v>
      </c>
    </row>
    <row r="61" spans="1:7" x14ac:dyDescent="0.3">
      <c r="A61">
        <v>0</v>
      </c>
      <c r="B61" t="s">
        <v>319</v>
      </c>
      <c r="C61" t="s">
        <v>429</v>
      </c>
      <c r="D61" t="s">
        <v>2</v>
      </c>
      <c r="E61" t="s">
        <v>429</v>
      </c>
      <c r="F61" t="s">
        <v>13</v>
      </c>
      <c r="G61" t="s">
        <v>525</v>
      </c>
    </row>
    <row r="62" spans="1:7" x14ac:dyDescent="0.3">
      <c r="A62">
        <v>0</v>
      </c>
      <c r="B62" t="s">
        <v>312</v>
      </c>
      <c r="C62" t="s">
        <v>272</v>
      </c>
      <c r="D62" t="s">
        <v>2</v>
      </c>
      <c r="E62" t="s">
        <v>272</v>
      </c>
      <c r="F62" t="s">
        <v>13</v>
      </c>
      <c r="G62" t="s">
        <v>525</v>
      </c>
    </row>
    <row r="63" spans="1:7" x14ac:dyDescent="0.3">
      <c r="A63">
        <v>0</v>
      </c>
      <c r="B63" t="s">
        <v>312</v>
      </c>
      <c r="C63" t="s">
        <v>410</v>
      </c>
      <c r="D63" t="s">
        <v>2</v>
      </c>
      <c r="E63" t="s">
        <v>410</v>
      </c>
      <c r="F63" t="s">
        <v>13</v>
      </c>
      <c r="G63" t="s">
        <v>525</v>
      </c>
    </row>
    <row r="64" spans="1:7" x14ac:dyDescent="0.3">
      <c r="A64">
        <v>0</v>
      </c>
      <c r="B64" t="s">
        <v>319</v>
      </c>
      <c r="C64" t="s">
        <v>363</v>
      </c>
      <c r="D64" t="s">
        <v>2</v>
      </c>
      <c r="E64" t="s">
        <v>363</v>
      </c>
      <c r="F64" t="s">
        <v>13</v>
      </c>
      <c r="G64" t="s">
        <v>525</v>
      </c>
    </row>
    <row r="65" spans="1:7" x14ac:dyDescent="0.3">
      <c r="A65">
        <v>0</v>
      </c>
      <c r="B65" t="s">
        <v>312</v>
      </c>
      <c r="C65" t="s">
        <v>382</v>
      </c>
      <c r="D65" t="s">
        <v>2</v>
      </c>
      <c r="E65" t="s">
        <v>382</v>
      </c>
      <c r="F65" t="s">
        <v>13</v>
      </c>
      <c r="G65" t="s">
        <v>525</v>
      </c>
    </row>
    <row r="66" spans="1:7" x14ac:dyDescent="0.3">
      <c r="A66">
        <v>0</v>
      </c>
      <c r="B66" t="s">
        <v>312</v>
      </c>
      <c r="C66" t="s">
        <v>424</v>
      </c>
      <c r="D66" t="s">
        <v>2</v>
      </c>
      <c r="E66" t="s">
        <v>424</v>
      </c>
      <c r="F66" t="s">
        <v>13</v>
      </c>
      <c r="G66" t="s">
        <v>525</v>
      </c>
    </row>
    <row r="67" spans="1:7" x14ac:dyDescent="0.3">
      <c r="A67">
        <v>0</v>
      </c>
      <c r="B67" t="s">
        <v>314</v>
      </c>
      <c r="C67" t="s">
        <v>351</v>
      </c>
      <c r="D67" t="s">
        <v>2</v>
      </c>
      <c r="E67" t="s">
        <v>351</v>
      </c>
      <c r="F67" t="s">
        <v>13</v>
      </c>
      <c r="G67" t="s">
        <v>525</v>
      </c>
    </row>
    <row r="68" spans="1:7" x14ac:dyDescent="0.3">
      <c r="A68">
        <v>0</v>
      </c>
      <c r="B68" t="s">
        <v>312</v>
      </c>
      <c r="C68" t="s">
        <v>347</v>
      </c>
      <c r="D68" t="s">
        <v>2</v>
      </c>
      <c r="E68" t="s">
        <v>347</v>
      </c>
      <c r="F68" t="s">
        <v>13</v>
      </c>
      <c r="G68" t="s">
        <v>525</v>
      </c>
    </row>
    <row r="69" spans="1:7" x14ac:dyDescent="0.3">
      <c r="A69">
        <v>0</v>
      </c>
      <c r="B69" t="s">
        <v>314</v>
      </c>
      <c r="C69" t="s">
        <v>453</v>
      </c>
      <c r="D69" t="s">
        <v>2</v>
      </c>
      <c r="E69" t="s">
        <v>453</v>
      </c>
      <c r="F69" t="s">
        <v>13</v>
      </c>
      <c r="G69" t="s">
        <v>525</v>
      </c>
    </row>
    <row r="70" spans="1:7" x14ac:dyDescent="0.3">
      <c r="A70">
        <v>0</v>
      </c>
      <c r="B70" t="s">
        <v>319</v>
      </c>
      <c r="C70" t="s">
        <v>457</v>
      </c>
      <c r="D70" t="s">
        <v>2</v>
      </c>
      <c r="E70" t="s">
        <v>457</v>
      </c>
      <c r="F70" t="s">
        <v>13</v>
      </c>
      <c r="G70" t="s">
        <v>525</v>
      </c>
    </row>
    <row r="71" spans="1:7" x14ac:dyDescent="0.3">
      <c r="A71">
        <v>0</v>
      </c>
      <c r="B71" t="s">
        <v>312</v>
      </c>
      <c r="C71" t="s">
        <v>485</v>
      </c>
      <c r="D71" t="s">
        <v>2</v>
      </c>
      <c r="E71" t="s">
        <v>485</v>
      </c>
      <c r="F71" t="s">
        <v>13</v>
      </c>
      <c r="G71" t="s">
        <v>525</v>
      </c>
    </row>
    <row r="72" spans="1:7" x14ac:dyDescent="0.3">
      <c r="A72">
        <v>0</v>
      </c>
      <c r="B72" t="s">
        <v>312</v>
      </c>
      <c r="C72" t="s">
        <v>355</v>
      </c>
      <c r="D72" t="s">
        <v>2</v>
      </c>
      <c r="E72" t="s">
        <v>355</v>
      </c>
      <c r="F72" t="s">
        <v>13</v>
      </c>
      <c r="G72" t="s">
        <v>525</v>
      </c>
    </row>
    <row r="73" spans="1:7" x14ac:dyDescent="0.3">
      <c r="A73">
        <v>0</v>
      </c>
      <c r="B73" t="s">
        <v>312</v>
      </c>
      <c r="C73" t="s">
        <v>338</v>
      </c>
      <c r="D73" t="s">
        <v>2</v>
      </c>
      <c r="E73" t="s">
        <v>338</v>
      </c>
      <c r="F73" t="s">
        <v>13</v>
      </c>
      <c r="G73" t="s">
        <v>525</v>
      </c>
    </row>
    <row r="74" spans="1:7" x14ac:dyDescent="0.3">
      <c r="A74">
        <v>0</v>
      </c>
      <c r="B74" t="s">
        <v>312</v>
      </c>
      <c r="C74" t="s">
        <v>394</v>
      </c>
      <c r="D74" t="s">
        <v>2</v>
      </c>
      <c r="E74" t="s">
        <v>394</v>
      </c>
      <c r="F74" t="s">
        <v>13</v>
      </c>
      <c r="G74" t="s">
        <v>525</v>
      </c>
    </row>
    <row r="75" spans="1:7" x14ac:dyDescent="0.3">
      <c r="A75">
        <v>0</v>
      </c>
      <c r="B75" t="s">
        <v>312</v>
      </c>
      <c r="C75" t="s">
        <v>438</v>
      </c>
      <c r="D75" t="s">
        <v>2</v>
      </c>
      <c r="E75" t="s">
        <v>438</v>
      </c>
      <c r="F75" t="s">
        <v>13</v>
      </c>
      <c r="G75" t="s">
        <v>525</v>
      </c>
    </row>
    <row r="76" spans="1:7" x14ac:dyDescent="0.3">
      <c r="A76">
        <v>0</v>
      </c>
      <c r="B76" t="s">
        <v>312</v>
      </c>
      <c r="C76" t="s">
        <v>486</v>
      </c>
      <c r="D76" t="s">
        <v>2</v>
      </c>
      <c r="E76" t="s">
        <v>486</v>
      </c>
      <c r="F76" t="s">
        <v>13</v>
      </c>
      <c r="G76" t="s">
        <v>525</v>
      </c>
    </row>
    <row r="77" spans="1:7" x14ac:dyDescent="0.3">
      <c r="A77">
        <v>0</v>
      </c>
      <c r="B77" t="s">
        <v>319</v>
      </c>
      <c r="C77" t="s">
        <v>419</v>
      </c>
      <c r="D77" t="s">
        <v>2</v>
      </c>
      <c r="E77" t="s">
        <v>419</v>
      </c>
      <c r="F77" t="s">
        <v>13</v>
      </c>
      <c r="G77" t="s">
        <v>525</v>
      </c>
    </row>
    <row r="78" spans="1:7" x14ac:dyDescent="0.3">
      <c r="A78">
        <v>0</v>
      </c>
      <c r="B78" t="s">
        <v>57</v>
      </c>
      <c r="C78" t="s">
        <v>353</v>
      </c>
      <c r="D78" t="s">
        <v>2</v>
      </c>
      <c r="E78" t="s">
        <v>353</v>
      </c>
      <c r="F78" t="s">
        <v>13</v>
      </c>
      <c r="G78" t="s">
        <v>525</v>
      </c>
    </row>
    <row r="79" spans="1:7" x14ac:dyDescent="0.3">
      <c r="A79">
        <v>0</v>
      </c>
      <c r="B79" t="s">
        <v>319</v>
      </c>
      <c r="C79" t="s">
        <v>489</v>
      </c>
      <c r="D79" t="s">
        <v>2</v>
      </c>
      <c r="E79" t="s">
        <v>489</v>
      </c>
      <c r="F79" t="s">
        <v>13</v>
      </c>
      <c r="G79" t="s">
        <v>525</v>
      </c>
    </row>
    <row r="80" spans="1:7" x14ac:dyDescent="0.3">
      <c r="A80">
        <v>0</v>
      </c>
      <c r="B80" t="s">
        <v>312</v>
      </c>
      <c r="C80" t="s">
        <v>386</v>
      </c>
      <c r="D80" t="s">
        <v>2</v>
      </c>
      <c r="E80" t="s">
        <v>386</v>
      </c>
      <c r="F80" t="s">
        <v>13</v>
      </c>
      <c r="G80" t="s">
        <v>525</v>
      </c>
    </row>
    <row r="81" spans="1:7" x14ac:dyDescent="0.3">
      <c r="A81">
        <v>0</v>
      </c>
      <c r="B81" t="s">
        <v>319</v>
      </c>
      <c r="C81" t="s">
        <v>389</v>
      </c>
      <c r="D81" t="s">
        <v>2</v>
      </c>
      <c r="E81" t="s">
        <v>389</v>
      </c>
      <c r="F81" t="s">
        <v>13</v>
      </c>
      <c r="G81" t="s">
        <v>525</v>
      </c>
    </row>
    <row r="82" spans="1:7" x14ac:dyDescent="0.3">
      <c r="A82">
        <v>0</v>
      </c>
      <c r="B82" t="s">
        <v>312</v>
      </c>
      <c r="C82" t="s">
        <v>340</v>
      </c>
      <c r="D82" t="s">
        <v>2</v>
      </c>
      <c r="E82" t="s">
        <v>340</v>
      </c>
      <c r="F82" t="s">
        <v>13</v>
      </c>
      <c r="G82" t="s">
        <v>525</v>
      </c>
    </row>
    <row r="83" spans="1:7" x14ac:dyDescent="0.3">
      <c r="A83">
        <v>0</v>
      </c>
      <c r="B83" t="s">
        <v>312</v>
      </c>
      <c r="C83" t="s">
        <v>368</v>
      </c>
      <c r="D83" t="s">
        <v>2</v>
      </c>
      <c r="E83" t="s">
        <v>368</v>
      </c>
      <c r="F83" t="s">
        <v>13</v>
      </c>
      <c r="G83" t="s">
        <v>525</v>
      </c>
    </row>
    <row r="84" spans="1:7" x14ac:dyDescent="0.3">
      <c r="A84">
        <v>0</v>
      </c>
      <c r="B84" t="s">
        <v>312</v>
      </c>
      <c r="C84" t="s">
        <v>328</v>
      </c>
      <c r="D84" t="s">
        <v>2</v>
      </c>
      <c r="E84" t="s">
        <v>328</v>
      </c>
      <c r="F84" t="s">
        <v>13</v>
      </c>
      <c r="G84" t="s">
        <v>525</v>
      </c>
    </row>
    <row r="85" spans="1:7" x14ac:dyDescent="0.3">
      <c r="A85">
        <v>0</v>
      </c>
      <c r="B85" t="s">
        <v>312</v>
      </c>
      <c r="C85" t="s">
        <v>479</v>
      </c>
      <c r="D85" t="s">
        <v>2</v>
      </c>
      <c r="E85" t="s">
        <v>479</v>
      </c>
      <c r="F85" t="s">
        <v>13</v>
      </c>
      <c r="G85" t="s">
        <v>525</v>
      </c>
    </row>
    <row r="86" spans="1:7" x14ac:dyDescent="0.3">
      <c r="A86">
        <v>0</v>
      </c>
      <c r="B86" t="s">
        <v>57</v>
      </c>
      <c r="C86" t="s">
        <v>116</v>
      </c>
      <c r="D86" t="s">
        <v>2</v>
      </c>
      <c r="E86" t="s">
        <v>116</v>
      </c>
      <c r="F86" t="s">
        <v>13</v>
      </c>
      <c r="G86" t="s">
        <v>525</v>
      </c>
    </row>
    <row r="87" spans="1:7" x14ac:dyDescent="0.3">
      <c r="A87">
        <v>0</v>
      </c>
      <c r="B87" t="s">
        <v>312</v>
      </c>
      <c r="C87" t="s">
        <v>352</v>
      </c>
      <c r="D87" t="s">
        <v>2</v>
      </c>
      <c r="E87" t="s">
        <v>352</v>
      </c>
      <c r="F87" t="s">
        <v>13</v>
      </c>
      <c r="G87" t="s">
        <v>525</v>
      </c>
    </row>
    <row r="88" spans="1:7" x14ac:dyDescent="0.3">
      <c r="A88">
        <v>0</v>
      </c>
      <c r="B88" t="s">
        <v>312</v>
      </c>
      <c r="C88" t="s">
        <v>417</v>
      </c>
      <c r="D88" t="s">
        <v>2</v>
      </c>
      <c r="E88" t="s">
        <v>417</v>
      </c>
      <c r="F88" t="s">
        <v>13</v>
      </c>
      <c r="G88" t="s">
        <v>525</v>
      </c>
    </row>
    <row r="89" spans="1:7" x14ac:dyDescent="0.3">
      <c r="A89">
        <v>0</v>
      </c>
      <c r="B89" t="s">
        <v>312</v>
      </c>
      <c r="C89" t="s">
        <v>447</v>
      </c>
      <c r="D89" t="s">
        <v>2</v>
      </c>
      <c r="E89" t="s">
        <v>447</v>
      </c>
      <c r="F89" t="s">
        <v>13</v>
      </c>
      <c r="G89" t="s">
        <v>525</v>
      </c>
    </row>
    <row r="90" spans="1:7" x14ac:dyDescent="0.3">
      <c r="A90">
        <v>0</v>
      </c>
      <c r="B90" t="s">
        <v>319</v>
      </c>
      <c r="C90" t="s">
        <v>329</v>
      </c>
      <c r="D90" t="s">
        <v>2</v>
      </c>
      <c r="E90" t="s">
        <v>329</v>
      </c>
      <c r="F90" t="s">
        <v>13</v>
      </c>
      <c r="G90" t="s">
        <v>525</v>
      </c>
    </row>
    <row r="91" spans="1:7" x14ac:dyDescent="0.3">
      <c r="A91">
        <v>0</v>
      </c>
      <c r="B91" t="s">
        <v>312</v>
      </c>
      <c r="C91" t="s">
        <v>252</v>
      </c>
      <c r="D91" t="s">
        <v>2</v>
      </c>
      <c r="E91" t="s">
        <v>252</v>
      </c>
      <c r="F91" t="s">
        <v>13</v>
      </c>
      <c r="G91" t="s">
        <v>525</v>
      </c>
    </row>
    <row r="92" spans="1:7" x14ac:dyDescent="0.3">
      <c r="A92">
        <v>0</v>
      </c>
      <c r="B92" t="s">
        <v>312</v>
      </c>
      <c r="C92" t="s">
        <v>317</v>
      </c>
      <c r="D92" t="s">
        <v>2</v>
      </c>
      <c r="E92" t="s">
        <v>317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436</v>
      </c>
      <c r="D93" t="s">
        <v>2</v>
      </c>
      <c r="E93" t="s">
        <v>436</v>
      </c>
      <c r="F93" t="s">
        <v>13</v>
      </c>
      <c r="G93" t="s">
        <v>525</v>
      </c>
    </row>
    <row r="94" spans="1:7" x14ac:dyDescent="0.3">
      <c r="A94">
        <v>0</v>
      </c>
      <c r="B94" t="s">
        <v>319</v>
      </c>
      <c r="C94" t="s">
        <v>490</v>
      </c>
      <c r="D94" t="s">
        <v>2</v>
      </c>
      <c r="E94" t="s">
        <v>490</v>
      </c>
      <c r="F94" t="s">
        <v>13</v>
      </c>
      <c r="G94" t="s">
        <v>525</v>
      </c>
    </row>
    <row r="95" spans="1:7" x14ac:dyDescent="0.3">
      <c r="A95">
        <v>0</v>
      </c>
      <c r="B95" t="s">
        <v>312</v>
      </c>
      <c r="C95" t="s">
        <v>391</v>
      </c>
      <c r="D95" t="s">
        <v>2</v>
      </c>
      <c r="E95" t="s">
        <v>391</v>
      </c>
      <c r="F95" t="s">
        <v>13</v>
      </c>
      <c r="G95" t="s">
        <v>525</v>
      </c>
    </row>
    <row r="96" spans="1:7" x14ac:dyDescent="0.3">
      <c r="A96">
        <v>0</v>
      </c>
      <c r="B96" t="s">
        <v>312</v>
      </c>
      <c r="C96" t="s">
        <v>235</v>
      </c>
      <c r="D96" t="s">
        <v>2</v>
      </c>
      <c r="E96" t="s">
        <v>235</v>
      </c>
      <c r="F96" t="s">
        <v>13</v>
      </c>
      <c r="G96" t="s">
        <v>525</v>
      </c>
    </row>
    <row r="97" spans="1:7" x14ac:dyDescent="0.3">
      <c r="A97">
        <v>0</v>
      </c>
      <c r="B97" t="s">
        <v>312</v>
      </c>
      <c r="C97" t="s">
        <v>493</v>
      </c>
      <c r="D97" t="s">
        <v>2</v>
      </c>
      <c r="E97" t="s">
        <v>493</v>
      </c>
      <c r="F97" t="s">
        <v>13</v>
      </c>
      <c r="G97" t="s">
        <v>525</v>
      </c>
    </row>
    <row r="98" spans="1:7" x14ac:dyDescent="0.3">
      <c r="A98">
        <v>0</v>
      </c>
      <c r="B98" t="s">
        <v>312</v>
      </c>
      <c r="C98" t="s">
        <v>335</v>
      </c>
      <c r="D98" t="s">
        <v>2</v>
      </c>
      <c r="E98" t="s">
        <v>335</v>
      </c>
      <c r="F98" t="s">
        <v>13</v>
      </c>
      <c r="G98" t="s">
        <v>525</v>
      </c>
    </row>
    <row r="99" spans="1:7" x14ac:dyDescent="0.3">
      <c r="A99">
        <v>0</v>
      </c>
      <c r="B99" t="s">
        <v>312</v>
      </c>
      <c r="C99" t="s">
        <v>354</v>
      </c>
      <c r="D99" t="s">
        <v>2</v>
      </c>
      <c r="E99" t="s">
        <v>354</v>
      </c>
      <c r="F99" t="s">
        <v>13</v>
      </c>
      <c r="G99" t="s">
        <v>525</v>
      </c>
    </row>
    <row r="100" spans="1:7" x14ac:dyDescent="0.3">
      <c r="A100">
        <v>0</v>
      </c>
      <c r="B100" t="s">
        <v>319</v>
      </c>
      <c r="C100" t="s">
        <v>360</v>
      </c>
      <c r="D100" t="s">
        <v>2</v>
      </c>
      <c r="E100" t="s">
        <v>360</v>
      </c>
      <c r="F100" t="s">
        <v>13</v>
      </c>
      <c r="G100" t="s">
        <v>525</v>
      </c>
    </row>
    <row r="101" spans="1:7" x14ac:dyDescent="0.3">
      <c r="A101">
        <v>0</v>
      </c>
      <c r="B101" t="s">
        <v>314</v>
      </c>
      <c r="C101" t="s">
        <v>356</v>
      </c>
      <c r="D101" t="s">
        <v>2</v>
      </c>
      <c r="E101" t="s">
        <v>356</v>
      </c>
      <c r="F101" t="s">
        <v>13</v>
      </c>
      <c r="G101" t="s">
        <v>525</v>
      </c>
    </row>
    <row r="102" spans="1:7" x14ac:dyDescent="0.3">
      <c r="A102">
        <v>0</v>
      </c>
      <c r="B102" t="s">
        <v>312</v>
      </c>
      <c r="C102" t="s">
        <v>405</v>
      </c>
      <c r="D102" t="s">
        <v>2</v>
      </c>
      <c r="E102" t="s">
        <v>405</v>
      </c>
      <c r="F102" t="s">
        <v>13</v>
      </c>
      <c r="G102" t="s">
        <v>525</v>
      </c>
    </row>
    <row r="103" spans="1:7" x14ac:dyDescent="0.3">
      <c r="A103">
        <v>0</v>
      </c>
      <c r="B103" t="s">
        <v>312</v>
      </c>
      <c r="C103" t="s">
        <v>471</v>
      </c>
      <c r="D103" t="s">
        <v>2</v>
      </c>
      <c r="E103" t="s">
        <v>471</v>
      </c>
      <c r="F103" t="s">
        <v>13</v>
      </c>
      <c r="G103" t="s">
        <v>525</v>
      </c>
    </row>
    <row r="104" spans="1:7" x14ac:dyDescent="0.3">
      <c r="A104">
        <v>0</v>
      </c>
      <c r="B104" t="s">
        <v>319</v>
      </c>
      <c r="C104" t="s">
        <v>421</v>
      </c>
      <c r="D104" t="s">
        <v>2</v>
      </c>
      <c r="E104" t="s">
        <v>421</v>
      </c>
      <c r="F104" t="s">
        <v>13</v>
      </c>
      <c r="G104" t="s">
        <v>525</v>
      </c>
    </row>
    <row r="105" spans="1:7" x14ac:dyDescent="0.3">
      <c r="A105">
        <v>0</v>
      </c>
      <c r="B105" t="s">
        <v>312</v>
      </c>
      <c r="C105" t="s">
        <v>321</v>
      </c>
      <c r="D105" t="s">
        <v>2</v>
      </c>
      <c r="E105" t="s">
        <v>321</v>
      </c>
      <c r="F105" t="s">
        <v>13</v>
      </c>
      <c r="G105" t="s">
        <v>525</v>
      </c>
    </row>
    <row r="106" spans="1:7" x14ac:dyDescent="0.3">
      <c r="A106">
        <v>0</v>
      </c>
      <c r="B106" t="s">
        <v>105</v>
      </c>
      <c r="C106" t="s">
        <v>113</v>
      </c>
      <c r="D106" t="s">
        <v>2</v>
      </c>
      <c r="E106" t="s">
        <v>113</v>
      </c>
      <c r="F106" t="s">
        <v>13</v>
      </c>
      <c r="G106" t="s">
        <v>525</v>
      </c>
    </row>
    <row r="107" spans="1:7" x14ac:dyDescent="0.3">
      <c r="A107">
        <v>0</v>
      </c>
      <c r="B107" t="s">
        <v>312</v>
      </c>
      <c r="C107" t="s">
        <v>348</v>
      </c>
      <c r="D107" t="s">
        <v>2</v>
      </c>
      <c r="E107" t="s">
        <v>348</v>
      </c>
      <c r="F107" t="s">
        <v>13</v>
      </c>
      <c r="G107" t="s">
        <v>525</v>
      </c>
    </row>
    <row r="108" spans="1:7" x14ac:dyDescent="0.3">
      <c r="A108">
        <v>0</v>
      </c>
      <c r="B108" t="s">
        <v>105</v>
      </c>
      <c r="C108" t="s">
        <v>469</v>
      </c>
      <c r="D108" t="s">
        <v>2</v>
      </c>
      <c r="E108" t="s">
        <v>469</v>
      </c>
      <c r="F108" t="s">
        <v>13</v>
      </c>
      <c r="G108" t="s">
        <v>525</v>
      </c>
    </row>
    <row r="109" spans="1:7" x14ac:dyDescent="0.3">
      <c r="A109">
        <v>0</v>
      </c>
      <c r="B109" t="s">
        <v>314</v>
      </c>
      <c r="C109" t="s">
        <v>481</v>
      </c>
      <c r="D109" t="s">
        <v>2</v>
      </c>
      <c r="E109" t="s">
        <v>481</v>
      </c>
      <c r="F109" t="s">
        <v>13</v>
      </c>
      <c r="G109" t="s">
        <v>525</v>
      </c>
    </row>
    <row r="110" spans="1:7" x14ac:dyDescent="0.3">
      <c r="A110">
        <v>0</v>
      </c>
      <c r="B110" t="s">
        <v>312</v>
      </c>
      <c r="C110" t="s">
        <v>398</v>
      </c>
      <c r="D110" t="s">
        <v>2</v>
      </c>
      <c r="E110" t="s">
        <v>398</v>
      </c>
      <c r="F110" t="s">
        <v>13</v>
      </c>
      <c r="G110" t="s">
        <v>525</v>
      </c>
    </row>
    <row r="111" spans="1:7" x14ac:dyDescent="0.3">
      <c r="A111">
        <v>0</v>
      </c>
      <c r="B111" t="s">
        <v>314</v>
      </c>
      <c r="C111" t="s">
        <v>342</v>
      </c>
      <c r="D111" t="s">
        <v>2</v>
      </c>
      <c r="E111" t="s">
        <v>342</v>
      </c>
      <c r="F111" t="s">
        <v>13</v>
      </c>
      <c r="G111" t="s">
        <v>525</v>
      </c>
    </row>
    <row r="112" spans="1:7" x14ac:dyDescent="0.3">
      <c r="A112">
        <v>0</v>
      </c>
      <c r="B112" t="s">
        <v>312</v>
      </c>
      <c r="C112" t="s">
        <v>322</v>
      </c>
      <c r="D112" t="s">
        <v>2</v>
      </c>
      <c r="E112" t="s">
        <v>322</v>
      </c>
      <c r="F112" t="s">
        <v>13</v>
      </c>
      <c r="G112" t="s">
        <v>525</v>
      </c>
    </row>
    <row r="113" spans="1:7" x14ac:dyDescent="0.3">
      <c r="A113">
        <v>0</v>
      </c>
      <c r="B113" t="s">
        <v>314</v>
      </c>
      <c r="C113" t="s">
        <v>409</v>
      </c>
      <c r="D113" t="s">
        <v>2</v>
      </c>
      <c r="E113" t="s">
        <v>409</v>
      </c>
      <c r="F113" t="s">
        <v>13</v>
      </c>
      <c r="G113" t="s">
        <v>525</v>
      </c>
    </row>
    <row r="114" spans="1:7" x14ac:dyDescent="0.3">
      <c r="A114">
        <v>0</v>
      </c>
      <c r="B114" t="s">
        <v>314</v>
      </c>
      <c r="C114" t="s">
        <v>480</v>
      </c>
      <c r="D114" t="s">
        <v>2</v>
      </c>
      <c r="E114" t="s">
        <v>480</v>
      </c>
      <c r="F114" t="s">
        <v>13</v>
      </c>
      <c r="G114" t="s">
        <v>525</v>
      </c>
    </row>
    <row r="115" spans="1:7" x14ac:dyDescent="0.3">
      <c r="A115">
        <v>0</v>
      </c>
      <c r="B115" t="s">
        <v>105</v>
      </c>
      <c r="C115" t="s">
        <v>121</v>
      </c>
      <c r="D115" t="s">
        <v>2</v>
      </c>
      <c r="E115" t="s">
        <v>121</v>
      </c>
      <c r="F115" t="s">
        <v>13</v>
      </c>
      <c r="G115" t="s">
        <v>525</v>
      </c>
    </row>
    <row r="116" spans="1:7" x14ac:dyDescent="0.3">
      <c r="A116">
        <v>0</v>
      </c>
      <c r="B116" t="s">
        <v>312</v>
      </c>
      <c r="C116" t="s">
        <v>359</v>
      </c>
      <c r="D116" t="s">
        <v>2</v>
      </c>
      <c r="E116" t="s">
        <v>359</v>
      </c>
      <c r="F116" t="s">
        <v>13</v>
      </c>
      <c r="G116" t="s">
        <v>525</v>
      </c>
    </row>
    <row r="117" spans="1:7" x14ac:dyDescent="0.3">
      <c r="A117">
        <v>0</v>
      </c>
      <c r="B117" t="s">
        <v>319</v>
      </c>
      <c r="C117" t="s">
        <v>468</v>
      </c>
      <c r="D117" t="s">
        <v>2</v>
      </c>
      <c r="E117" t="s">
        <v>468</v>
      </c>
      <c r="F117" t="s">
        <v>13</v>
      </c>
      <c r="G117" t="s">
        <v>525</v>
      </c>
    </row>
    <row r="118" spans="1:7" x14ac:dyDescent="0.3">
      <c r="A118">
        <v>0</v>
      </c>
      <c r="B118" t="s">
        <v>319</v>
      </c>
      <c r="C118" t="s">
        <v>458</v>
      </c>
      <c r="D118" t="s">
        <v>2</v>
      </c>
      <c r="E118" t="s">
        <v>458</v>
      </c>
      <c r="F118" t="s">
        <v>13</v>
      </c>
      <c r="G118" t="s">
        <v>525</v>
      </c>
    </row>
    <row r="119" spans="1:7" x14ac:dyDescent="0.3">
      <c r="A119">
        <v>0</v>
      </c>
      <c r="B119" t="s">
        <v>312</v>
      </c>
      <c r="C119" t="s">
        <v>370</v>
      </c>
      <c r="D119" t="s">
        <v>2</v>
      </c>
      <c r="E119" t="s">
        <v>370</v>
      </c>
      <c r="F119" t="s">
        <v>13</v>
      </c>
      <c r="G119" t="s">
        <v>525</v>
      </c>
    </row>
    <row r="120" spans="1:7" x14ac:dyDescent="0.3">
      <c r="A120">
        <v>0</v>
      </c>
      <c r="B120" t="s">
        <v>57</v>
      </c>
      <c r="C120" t="s">
        <v>114</v>
      </c>
      <c r="D120" t="s">
        <v>2</v>
      </c>
      <c r="E120" t="s">
        <v>114</v>
      </c>
      <c r="F120" t="s">
        <v>13</v>
      </c>
      <c r="G120" t="s">
        <v>525</v>
      </c>
    </row>
    <row r="121" spans="1:7" x14ac:dyDescent="0.3">
      <c r="A121">
        <v>0</v>
      </c>
      <c r="B121" t="s">
        <v>319</v>
      </c>
      <c r="C121" t="s">
        <v>404</v>
      </c>
      <c r="D121" t="s">
        <v>2</v>
      </c>
      <c r="E121" t="s">
        <v>404</v>
      </c>
      <c r="F121" t="s">
        <v>13</v>
      </c>
      <c r="G121" t="s">
        <v>525</v>
      </c>
    </row>
    <row r="122" spans="1:7" x14ac:dyDescent="0.3">
      <c r="A122">
        <v>0</v>
      </c>
      <c r="B122" t="s">
        <v>312</v>
      </c>
      <c r="C122" t="s">
        <v>369</v>
      </c>
      <c r="D122" t="s">
        <v>2</v>
      </c>
      <c r="E122" t="s">
        <v>369</v>
      </c>
      <c r="F122" t="s">
        <v>13</v>
      </c>
      <c r="G122" t="s">
        <v>525</v>
      </c>
    </row>
    <row r="123" spans="1:7" x14ac:dyDescent="0.3">
      <c r="A123">
        <v>0</v>
      </c>
      <c r="B123" t="s">
        <v>57</v>
      </c>
      <c r="C123" t="s">
        <v>122</v>
      </c>
      <c r="D123" t="s">
        <v>2</v>
      </c>
      <c r="E123" t="s">
        <v>122</v>
      </c>
      <c r="F123" t="s">
        <v>13</v>
      </c>
      <c r="G123" t="s">
        <v>525</v>
      </c>
    </row>
    <row r="124" spans="1:7" x14ac:dyDescent="0.3">
      <c r="A124">
        <v>0</v>
      </c>
      <c r="B124" t="s">
        <v>319</v>
      </c>
      <c r="C124" t="s">
        <v>390</v>
      </c>
      <c r="D124" t="s">
        <v>2</v>
      </c>
      <c r="E124" t="s">
        <v>390</v>
      </c>
      <c r="F124" t="s">
        <v>13</v>
      </c>
      <c r="G124" t="s">
        <v>525</v>
      </c>
    </row>
    <row r="125" spans="1:7" x14ac:dyDescent="0.3">
      <c r="A125">
        <v>0</v>
      </c>
      <c r="B125" t="s">
        <v>312</v>
      </c>
      <c r="C125" t="s">
        <v>492</v>
      </c>
      <c r="D125" t="s">
        <v>2</v>
      </c>
      <c r="E125" t="s">
        <v>492</v>
      </c>
      <c r="F125" t="s">
        <v>13</v>
      </c>
      <c r="G125" t="s">
        <v>525</v>
      </c>
    </row>
    <row r="126" spans="1:7" x14ac:dyDescent="0.3">
      <c r="A126">
        <v>0</v>
      </c>
      <c r="B126" t="s">
        <v>312</v>
      </c>
      <c r="C126" t="s">
        <v>345</v>
      </c>
      <c r="D126" t="s">
        <v>2</v>
      </c>
      <c r="E126" t="s">
        <v>345</v>
      </c>
      <c r="F126" t="s">
        <v>13</v>
      </c>
      <c r="G126" t="s">
        <v>525</v>
      </c>
    </row>
    <row r="127" spans="1:7" x14ac:dyDescent="0.3">
      <c r="A127">
        <v>0</v>
      </c>
      <c r="B127" t="s">
        <v>314</v>
      </c>
      <c r="C127" t="s">
        <v>374</v>
      </c>
      <c r="D127" t="s">
        <v>2</v>
      </c>
      <c r="E127" t="s">
        <v>374</v>
      </c>
      <c r="F127" t="s">
        <v>13</v>
      </c>
      <c r="G127" t="s">
        <v>525</v>
      </c>
    </row>
    <row r="128" spans="1:7" x14ac:dyDescent="0.3">
      <c r="A128">
        <v>0</v>
      </c>
      <c r="B128" t="s">
        <v>105</v>
      </c>
      <c r="C128" t="s">
        <v>124</v>
      </c>
      <c r="D128" t="s">
        <v>2</v>
      </c>
      <c r="E128" t="s">
        <v>124</v>
      </c>
      <c r="F128" t="s">
        <v>13</v>
      </c>
      <c r="G128" t="s">
        <v>525</v>
      </c>
    </row>
    <row r="129" spans="1:7" x14ac:dyDescent="0.3">
      <c r="A129">
        <v>0</v>
      </c>
      <c r="B129" t="s">
        <v>312</v>
      </c>
      <c r="C129" t="s">
        <v>440</v>
      </c>
      <c r="D129" t="s">
        <v>2</v>
      </c>
      <c r="E129" t="s">
        <v>440</v>
      </c>
      <c r="F129" t="s">
        <v>13</v>
      </c>
      <c r="G129" t="s">
        <v>525</v>
      </c>
    </row>
    <row r="130" spans="1:7" x14ac:dyDescent="0.3">
      <c r="A130">
        <v>0</v>
      </c>
      <c r="B130" t="s">
        <v>312</v>
      </c>
      <c r="C130" t="s">
        <v>316</v>
      </c>
      <c r="D130" t="s">
        <v>2</v>
      </c>
      <c r="E130" t="s">
        <v>316</v>
      </c>
      <c r="F130" t="s">
        <v>13</v>
      </c>
      <c r="G130" t="s">
        <v>525</v>
      </c>
    </row>
    <row r="131" spans="1:7" x14ac:dyDescent="0.3">
      <c r="A131">
        <v>0</v>
      </c>
      <c r="B131" t="s">
        <v>312</v>
      </c>
      <c r="C131" t="s">
        <v>427</v>
      </c>
      <c r="D131" t="s">
        <v>2</v>
      </c>
      <c r="E131" t="s">
        <v>427</v>
      </c>
      <c r="F131" t="s">
        <v>13</v>
      </c>
      <c r="G131" t="s">
        <v>525</v>
      </c>
    </row>
    <row r="132" spans="1:7" x14ac:dyDescent="0.3">
      <c r="A132">
        <v>0</v>
      </c>
      <c r="B132" t="s">
        <v>312</v>
      </c>
      <c r="C132" t="s">
        <v>332</v>
      </c>
      <c r="D132" t="s">
        <v>2</v>
      </c>
      <c r="E132" t="s">
        <v>332</v>
      </c>
      <c r="F132" t="s">
        <v>13</v>
      </c>
      <c r="G132" t="s">
        <v>525</v>
      </c>
    </row>
    <row r="133" spans="1:7" x14ac:dyDescent="0.3">
      <c r="A133">
        <v>0</v>
      </c>
      <c r="B133" t="s">
        <v>312</v>
      </c>
      <c r="C133" t="s">
        <v>336</v>
      </c>
      <c r="D133" t="s">
        <v>2</v>
      </c>
      <c r="E133" t="s">
        <v>336</v>
      </c>
      <c r="F133" t="s">
        <v>13</v>
      </c>
      <c r="G133" t="s">
        <v>525</v>
      </c>
    </row>
    <row r="134" spans="1:7" x14ac:dyDescent="0.3">
      <c r="A134">
        <v>0</v>
      </c>
      <c r="B134" t="s">
        <v>314</v>
      </c>
      <c r="C134" t="s">
        <v>393</v>
      </c>
      <c r="D134" t="s">
        <v>2</v>
      </c>
      <c r="E134" t="s">
        <v>393</v>
      </c>
      <c r="F134" t="s">
        <v>13</v>
      </c>
      <c r="G134" t="s">
        <v>525</v>
      </c>
    </row>
    <row r="135" spans="1:7" x14ac:dyDescent="0.3">
      <c r="A135">
        <v>0</v>
      </c>
      <c r="B135" t="s">
        <v>312</v>
      </c>
      <c r="C135" t="s">
        <v>339</v>
      </c>
      <c r="D135" t="s">
        <v>2</v>
      </c>
      <c r="E135" t="s">
        <v>339</v>
      </c>
      <c r="F135" t="s">
        <v>13</v>
      </c>
      <c r="G135" t="s">
        <v>525</v>
      </c>
    </row>
    <row r="136" spans="1:7" x14ac:dyDescent="0.3">
      <c r="A136">
        <v>0</v>
      </c>
      <c r="B136" t="s">
        <v>312</v>
      </c>
      <c r="C136" t="s">
        <v>400</v>
      </c>
      <c r="D136" t="s">
        <v>2</v>
      </c>
      <c r="E136" t="s">
        <v>400</v>
      </c>
      <c r="F136" t="s">
        <v>13</v>
      </c>
      <c r="G136" t="s">
        <v>525</v>
      </c>
    </row>
    <row r="137" spans="1:7" x14ac:dyDescent="0.3">
      <c r="A137">
        <v>0</v>
      </c>
      <c r="B137" t="s">
        <v>312</v>
      </c>
      <c r="C137" t="s">
        <v>380</v>
      </c>
      <c r="D137" t="s">
        <v>2</v>
      </c>
      <c r="E137" t="s">
        <v>380</v>
      </c>
      <c r="F137" t="s">
        <v>13</v>
      </c>
      <c r="G137" t="s">
        <v>525</v>
      </c>
    </row>
    <row r="138" spans="1:7" x14ac:dyDescent="0.3">
      <c r="A138">
        <v>0</v>
      </c>
      <c r="B138" t="s">
        <v>312</v>
      </c>
      <c r="C138" t="s">
        <v>442</v>
      </c>
      <c r="D138" t="s">
        <v>2</v>
      </c>
      <c r="E138" t="s">
        <v>442</v>
      </c>
      <c r="F138" t="s">
        <v>13</v>
      </c>
      <c r="G138" t="s">
        <v>525</v>
      </c>
    </row>
    <row r="139" spans="1:7" x14ac:dyDescent="0.3">
      <c r="A139">
        <v>0</v>
      </c>
      <c r="B139" t="s">
        <v>314</v>
      </c>
      <c r="C139" t="s">
        <v>349</v>
      </c>
      <c r="D139" t="s">
        <v>2</v>
      </c>
      <c r="E139" t="s">
        <v>349</v>
      </c>
      <c r="F139" t="s">
        <v>13</v>
      </c>
      <c r="G139" t="s">
        <v>525</v>
      </c>
    </row>
    <row r="140" spans="1:7" x14ac:dyDescent="0.3">
      <c r="A140">
        <v>0</v>
      </c>
      <c r="B140" t="s">
        <v>57</v>
      </c>
      <c r="C140" t="s">
        <v>470</v>
      </c>
      <c r="D140" t="s">
        <v>2</v>
      </c>
      <c r="E140" t="s">
        <v>470</v>
      </c>
      <c r="F140" t="s">
        <v>13</v>
      </c>
      <c r="G140" t="s">
        <v>525</v>
      </c>
    </row>
    <row r="141" spans="1:7" x14ac:dyDescent="0.3">
      <c r="A141">
        <v>0</v>
      </c>
      <c r="B141" t="s">
        <v>319</v>
      </c>
      <c r="C141" t="s">
        <v>463</v>
      </c>
      <c r="D141" t="s">
        <v>2</v>
      </c>
      <c r="E141" t="s">
        <v>463</v>
      </c>
      <c r="F141" t="s">
        <v>13</v>
      </c>
      <c r="G141" t="s">
        <v>525</v>
      </c>
    </row>
    <row r="142" spans="1:7" x14ac:dyDescent="0.3">
      <c r="A142">
        <v>0</v>
      </c>
      <c r="B142" t="s">
        <v>314</v>
      </c>
      <c r="C142" t="s">
        <v>343</v>
      </c>
      <c r="D142" t="s">
        <v>2</v>
      </c>
      <c r="E142" t="s">
        <v>343</v>
      </c>
      <c r="F142" t="s">
        <v>13</v>
      </c>
      <c r="G142" t="s">
        <v>525</v>
      </c>
    </row>
    <row r="143" spans="1:7" x14ac:dyDescent="0.3">
      <c r="A143">
        <v>0</v>
      </c>
      <c r="B143" t="s">
        <v>312</v>
      </c>
      <c r="C143" t="s">
        <v>371</v>
      </c>
      <c r="D143" t="s">
        <v>2</v>
      </c>
      <c r="E143" t="s">
        <v>371</v>
      </c>
      <c r="F143" t="s">
        <v>13</v>
      </c>
      <c r="G143" t="s">
        <v>525</v>
      </c>
    </row>
    <row r="144" spans="1:7" x14ac:dyDescent="0.3">
      <c r="A144">
        <v>0</v>
      </c>
      <c r="B144" t="s">
        <v>312</v>
      </c>
      <c r="C144" t="s">
        <v>366</v>
      </c>
      <c r="D144" t="s">
        <v>2</v>
      </c>
      <c r="E144" t="s">
        <v>366</v>
      </c>
      <c r="F144" t="s">
        <v>13</v>
      </c>
      <c r="G144" t="s">
        <v>525</v>
      </c>
    </row>
    <row r="145" spans="1:7" x14ac:dyDescent="0.3">
      <c r="A145">
        <v>0</v>
      </c>
      <c r="B145" t="s">
        <v>312</v>
      </c>
      <c r="C145" t="s">
        <v>384</v>
      </c>
      <c r="D145" t="s">
        <v>2</v>
      </c>
      <c r="E145" t="s">
        <v>384</v>
      </c>
      <c r="F145" t="s">
        <v>13</v>
      </c>
      <c r="G145" t="s">
        <v>525</v>
      </c>
    </row>
    <row r="146" spans="1:7" x14ac:dyDescent="0.3">
      <c r="A146">
        <v>0</v>
      </c>
      <c r="B146" t="s">
        <v>319</v>
      </c>
      <c r="C146" t="s">
        <v>464</v>
      </c>
      <c r="D146" t="s">
        <v>2</v>
      </c>
      <c r="E146" t="s">
        <v>464</v>
      </c>
      <c r="F146" t="s">
        <v>13</v>
      </c>
      <c r="G146" t="s">
        <v>525</v>
      </c>
    </row>
    <row r="147" spans="1:7" x14ac:dyDescent="0.3">
      <c r="A147">
        <v>0</v>
      </c>
      <c r="B147" t="s">
        <v>312</v>
      </c>
      <c r="C147" t="s">
        <v>323</v>
      </c>
      <c r="D147" t="s">
        <v>2</v>
      </c>
      <c r="E147" t="s">
        <v>323</v>
      </c>
      <c r="F147" t="s">
        <v>13</v>
      </c>
      <c r="G147" t="s">
        <v>525</v>
      </c>
    </row>
    <row r="148" spans="1:7" x14ac:dyDescent="0.3">
      <c r="A148">
        <v>0</v>
      </c>
      <c r="B148" t="s">
        <v>314</v>
      </c>
      <c r="C148" t="s">
        <v>414</v>
      </c>
      <c r="D148" t="s">
        <v>2</v>
      </c>
      <c r="E148" t="s">
        <v>414</v>
      </c>
      <c r="F148" t="s">
        <v>13</v>
      </c>
      <c r="G148" t="s">
        <v>525</v>
      </c>
    </row>
    <row r="149" spans="1:7" x14ac:dyDescent="0.3">
      <c r="A149">
        <v>0</v>
      </c>
      <c r="B149" t="s">
        <v>312</v>
      </c>
      <c r="C149" t="s">
        <v>261</v>
      </c>
      <c r="D149" t="s">
        <v>2</v>
      </c>
      <c r="E149" t="s">
        <v>261</v>
      </c>
      <c r="F149" t="s">
        <v>13</v>
      </c>
      <c r="G149" t="s">
        <v>525</v>
      </c>
    </row>
    <row r="150" spans="1:7" x14ac:dyDescent="0.3">
      <c r="A150">
        <v>0</v>
      </c>
      <c r="B150" t="s">
        <v>319</v>
      </c>
      <c r="C150" t="s">
        <v>364</v>
      </c>
      <c r="D150" t="s">
        <v>2</v>
      </c>
      <c r="E150" t="s">
        <v>364</v>
      </c>
      <c r="F150" t="s">
        <v>13</v>
      </c>
      <c r="G150" t="s">
        <v>525</v>
      </c>
    </row>
    <row r="151" spans="1:7" x14ac:dyDescent="0.3">
      <c r="A151">
        <v>0</v>
      </c>
      <c r="B151" t="s">
        <v>312</v>
      </c>
      <c r="C151" t="s">
        <v>373</v>
      </c>
      <c r="D151" t="s">
        <v>2</v>
      </c>
      <c r="E151" t="s">
        <v>373</v>
      </c>
      <c r="F151" t="s">
        <v>13</v>
      </c>
      <c r="G151" t="s">
        <v>525</v>
      </c>
    </row>
    <row r="152" spans="1:7" x14ac:dyDescent="0.3">
      <c r="A152">
        <v>0</v>
      </c>
      <c r="B152" t="s">
        <v>312</v>
      </c>
      <c r="C152" t="s">
        <v>482</v>
      </c>
      <c r="D152" t="s">
        <v>2</v>
      </c>
      <c r="E152" t="s">
        <v>482</v>
      </c>
      <c r="F152" t="s">
        <v>13</v>
      </c>
      <c r="G152" t="s">
        <v>525</v>
      </c>
    </row>
    <row r="153" spans="1:7" x14ac:dyDescent="0.3">
      <c r="A153">
        <v>0</v>
      </c>
      <c r="B153" t="s">
        <v>312</v>
      </c>
      <c r="C153" t="s">
        <v>412</v>
      </c>
      <c r="D153" t="s">
        <v>2</v>
      </c>
      <c r="E153" t="s">
        <v>412</v>
      </c>
      <c r="F153" t="s">
        <v>13</v>
      </c>
      <c r="G153" t="s">
        <v>525</v>
      </c>
    </row>
    <row r="154" spans="1:7" x14ac:dyDescent="0.3">
      <c r="A154">
        <v>0</v>
      </c>
      <c r="B154" t="s">
        <v>312</v>
      </c>
      <c r="C154" t="s">
        <v>434</v>
      </c>
      <c r="D154" t="s">
        <v>2</v>
      </c>
      <c r="E154" t="s">
        <v>434</v>
      </c>
      <c r="F154" t="s">
        <v>13</v>
      </c>
      <c r="G154" t="s">
        <v>525</v>
      </c>
    </row>
    <row r="155" spans="1:7" x14ac:dyDescent="0.3">
      <c r="A155">
        <v>0</v>
      </c>
      <c r="B155" t="s">
        <v>314</v>
      </c>
      <c r="C155" t="s">
        <v>443</v>
      </c>
      <c r="D155" t="s">
        <v>2</v>
      </c>
      <c r="E155" t="s">
        <v>443</v>
      </c>
      <c r="F155" t="s">
        <v>13</v>
      </c>
      <c r="G155" t="s">
        <v>525</v>
      </c>
    </row>
    <row r="156" spans="1:7" x14ac:dyDescent="0.3">
      <c r="A156">
        <v>0</v>
      </c>
      <c r="B156" t="s">
        <v>319</v>
      </c>
      <c r="C156" t="s">
        <v>430</v>
      </c>
      <c r="D156" t="s">
        <v>2</v>
      </c>
      <c r="E156" t="s">
        <v>430</v>
      </c>
      <c r="F156" t="s">
        <v>13</v>
      </c>
      <c r="G156" t="s">
        <v>525</v>
      </c>
    </row>
    <row r="157" spans="1:7" x14ac:dyDescent="0.3">
      <c r="A157">
        <v>0</v>
      </c>
      <c r="B157" t="s">
        <v>314</v>
      </c>
      <c r="C157" t="s">
        <v>408</v>
      </c>
      <c r="D157" t="s">
        <v>2</v>
      </c>
      <c r="E157" t="s">
        <v>408</v>
      </c>
      <c r="F157" t="s">
        <v>13</v>
      </c>
      <c r="G157" t="s">
        <v>525</v>
      </c>
    </row>
    <row r="158" spans="1:7" x14ac:dyDescent="0.3">
      <c r="A158">
        <v>0</v>
      </c>
      <c r="B158" t="s">
        <v>312</v>
      </c>
      <c r="C158" t="s">
        <v>138</v>
      </c>
      <c r="D158" t="s">
        <v>2</v>
      </c>
      <c r="E158" t="s">
        <v>138</v>
      </c>
      <c r="F158" t="s">
        <v>13</v>
      </c>
      <c r="G158" t="s">
        <v>525</v>
      </c>
    </row>
    <row r="159" spans="1:7" x14ac:dyDescent="0.3">
      <c r="A159">
        <v>0</v>
      </c>
      <c r="B159" t="s">
        <v>312</v>
      </c>
      <c r="C159" t="s">
        <v>275</v>
      </c>
      <c r="D159" t="s">
        <v>2</v>
      </c>
      <c r="E159" t="s">
        <v>275</v>
      </c>
      <c r="F159" t="s">
        <v>13</v>
      </c>
      <c r="G159" t="s">
        <v>525</v>
      </c>
    </row>
    <row r="160" spans="1:7" x14ac:dyDescent="0.3">
      <c r="A160">
        <v>0</v>
      </c>
      <c r="B160" t="s">
        <v>312</v>
      </c>
      <c r="C160" t="s">
        <v>337</v>
      </c>
      <c r="D160" t="s">
        <v>2</v>
      </c>
      <c r="E160" t="s">
        <v>337</v>
      </c>
      <c r="F160" t="s">
        <v>13</v>
      </c>
      <c r="G160" t="s">
        <v>525</v>
      </c>
    </row>
    <row r="161" spans="1:7" x14ac:dyDescent="0.3">
      <c r="A161">
        <v>0</v>
      </c>
      <c r="B161" t="s">
        <v>312</v>
      </c>
      <c r="C161" t="s">
        <v>331</v>
      </c>
      <c r="D161" t="s">
        <v>2</v>
      </c>
      <c r="E161" t="s">
        <v>331</v>
      </c>
      <c r="F161" t="s">
        <v>13</v>
      </c>
      <c r="G161" t="s">
        <v>525</v>
      </c>
    </row>
    <row r="162" spans="1:7" x14ac:dyDescent="0.3">
      <c r="A162">
        <v>0</v>
      </c>
      <c r="B162" t="s">
        <v>312</v>
      </c>
      <c r="C162" t="s">
        <v>452</v>
      </c>
      <c r="D162" t="s">
        <v>2</v>
      </c>
      <c r="E162" t="s">
        <v>452</v>
      </c>
      <c r="F162" t="s">
        <v>13</v>
      </c>
      <c r="G162" t="s">
        <v>525</v>
      </c>
    </row>
    <row r="163" spans="1:7" x14ac:dyDescent="0.3">
      <c r="A163">
        <v>0</v>
      </c>
      <c r="B163" t="s">
        <v>319</v>
      </c>
      <c r="C163" t="s">
        <v>477</v>
      </c>
      <c r="D163" t="s">
        <v>2</v>
      </c>
      <c r="E163" t="s">
        <v>477</v>
      </c>
      <c r="F163" t="s">
        <v>13</v>
      </c>
      <c r="G163" t="s">
        <v>525</v>
      </c>
    </row>
    <row r="164" spans="1:7" x14ac:dyDescent="0.3">
      <c r="A164">
        <v>0</v>
      </c>
      <c r="B164" t="s">
        <v>312</v>
      </c>
      <c r="C164" t="s">
        <v>446</v>
      </c>
      <c r="D164" t="s">
        <v>2</v>
      </c>
      <c r="E164" t="s">
        <v>446</v>
      </c>
      <c r="F164" t="s">
        <v>13</v>
      </c>
      <c r="G164" t="s">
        <v>525</v>
      </c>
    </row>
    <row r="165" spans="1:7" x14ac:dyDescent="0.3">
      <c r="A165">
        <v>0</v>
      </c>
      <c r="B165" t="s">
        <v>319</v>
      </c>
      <c r="C165" t="s">
        <v>491</v>
      </c>
      <c r="D165" t="s">
        <v>2</v>
      </c>
      <c r="E165" t="s">
        <v>491</v>
      </c>
      <c r="F165" t="s">
        <v>13</v>
      </c>
      <c r="G165" t="s">
        <v>525</v>
      </c>
    </row>
    <row r="166" spans="1:7" x14ac:dyDescent="0.3">
      <c r="A166">
        <v>0</v>
      </c>
      <c r="B166" t="s">
        <v>312</v>
      </c>
      <c r="C166" t="s">
        <v>326</v>
      </c>
      <c r="D166" t="s">
        <v>2</v>
      </c>
      <c r="E166" t="s">
        <v>326</v>
      </c>
      <c r="F166" t="s">
        <v>13</v>
      </c>
      <c r="G166" t="s">
        <v>525</v>
      </c>
    </row>
    <row r="167" spans="1:7" x14ac:dyDescent="0.3">
      <c r="A167">
        <v>0</v>
      </c>
      <c r="B167" t="s">
        <v>319</v>
      </c>
      <c r="C167" t="s">
        <v>415</v>
      </c>
      <c r="D167" t="s">
        <v>2</v>
      </c>
      <c r="E167" t="s">
        <v>415</v>
      </c>
      <c r="F167" t="s">
        <v>13</v>
      </c>
      <c r="G167" t="s">
        <v>525</v>
      </c>
    </row>
    <row r="168" spans="1:7" x14ac:dyDescent="0.3">
      <c r="A168">
        <v>0</v>
      </c>
      <c r="B168" t="s">
        <v>314</v>
      </c>
      <c r="C168" t="s">
        <v>451</v>
      </c>
      <c r="D168" t="s">
        <v>2</v>
      </c>
      <c r="E168" t="s">
        <v>451</v>
      </c>
      <c r="F168" t="s">
        <v>13</v>
      </c>
      <c r="G168" t="s">
        <v>525</v>
      </c>
    </row>
    <row r="169" spans="1:7" x14ac:dyDescent="0.3">
      <c r="A169">
        <v>0</v>
      </c>
      <c r="B169" t="s">
        <v>314</v>
      </c>
      <c r="C169" t="s">
        <v>448</v>
      </c>
      <c r="D169" t="s">
        <v>2</v>
      </c>
      <c r="E169" t="s">
        <v>448</v>
      </c>
      <c r="F169" t="s">
        <v>13</v>
      </c>
      <c r="G169" t="s">
        <v>525</v>
      </c>
    </row>
    <row r="170" spans="1:7" x14ac:dyDescent="0.3">
      <c r="A170">
        <v>0</v>
      </c>
      <c r="B170" t="s">
        <v>312</v>
      </c>
      <c r="C170" t="s">
        <v>423</v>
      </c>
      <c r="D170" t="s">
        <v>2</v>
      </c>
      <c r="E170" t="s">
        <v>423</v>
      </c>
      <c r="F170" t="s">
        <v>13</v>
      </c>
      <c r="G170" t="s">
        <v>525</v>
      </c>
    </row>
    <row r="171" spans="1:7" x14ac:dyDescent="0.3">
      <c r="A171">
        <v>0</v>
      </c>
      <c r="B171" t="s">
        <v>319</v>
      </c>
      <c r="C171" t="s">
        <v>361</v>
      </c>
      <c r="D171" t="s">
        <v>2</v>
      </c>
      <c r="E171" t="s">
        <v>361</v>
      </c>
      <c r="F171" t="s">
        <v>13</v>
      </c>
      <c r="G171" t="s">
        <v>525</v>
      </c>
    </row>
    <row r="172" spans="1:7" x14ac:dyDescent="0.3">
      <c r="A172">
        <v>0</v>
      </c>
      <c r="B172" t="s">
        <v>314</v>
      </c>
      <c r="C172" t="s">
        <v>467</v>
      </c>
      <c r="D172" t="s">
        <v>2</v>
      </c>
      <c r="E172" t="s">
        <v>467</v>
      </c>
      <c r="F172" t="s">
        <v>13</v>
      </c>
      <c r="G172" t="s">
        <v>525</v>
      </c>
    </row>
    <row r="173" spans="1:7" x14ac:dyDescent="0.3">
      <c r="A173">
        <v>0</v>
      </c>
      <c r="B173" t="s">
        <v>319</v>
      </c>
      <c r="C173" t="s">
        <v>420</v>
      </c>
      <c r="D173" t="s">
        <v>2</v>
      </c>
      <c r="E173" t="s">
        <v>420</v>
      </c>
      <c r="F173" t="s">
        <v>13</v>
      </c>
      <c r="G173" t="s">
        <v>525</v>
      </c>
    </row>
    <row r="174" spans="1:7" x14ac:dyDescent="0.3">
      <c r="A174">
        <v>0</v>
      </c>
      <c r="B174" t="s">
        <v>314</v>
      </c>
      <c r="C174" t="s">
        <v>487</v>
      </c>
      <c r="D174" t="s">
        <v>2</v>
      </c>
      <c r="E174" t="s">
        <v>487</v>
      </c>
      <c r="F174" t="s">
        <v>13</v>
      </c>
      <c r="G174" t="s">
        <v>525</v>
      </c>
    </row>
    <row r="175" spans="1:7" x14ac:dyDescent="0.3">
      <c r="A175">
        <v>0</v>
      </c>
      <c r="B175" t="s">
        <v>312</v>
      </c>
      <c r="C175" t="s">
        <v>149</v>
      </c>
      <c r="D175" t="s">
        <v>2</v>
      </c>
      <c r="E175" t="s">
        <v>149</v>
      </c>
      <c r="F175" t="s">
        <v>13</v>
      </c>
      <c r="G175" t="s">
        <v>525</v>
      </c>
    </row>
    <row r="176" spans="1:7" x14ac:dyDescent="0.3">
      <c r="A176">
        <v>0</v>
      </c>
      <c r="B176" t="s">
        <v>314</v>
      </c>
      <c r="C176" t="s">
        <v>377</v>
      </c>
      <c r="D176" t="s">
        <v>2</v>
      </c>
      <c r="E176" t="s">
        <v>377</v>
      </c>
      <c r="F176" t="s">
        <v>13</v>
      </c>
      <c r="G176" t="s">
        <v>525</v>
      </c>
    </row>
    <row r="177" spans="1:7" x14ac:dyDescent="0.3">
      <c r="A177">
        <v>0</v>
      </c>
      <c r="B177" t="s">
        <v>312</v>
      </c>
      <c r="C177" t="s">
        <v>403</v>
      </c>
      <c r="D177" t="s">
        <v>2</v>
      </c>
      <c r="E177" t="s">
        <v>403</v>
      </c>
      <c r="F177" t="s">
        <v>13</v>
      </c>
      <c r="G177" t="s">
        <v>525</v>
      </c>
    </row>
    <row r="178" spans="1:7" x14ac:dyDescent="0.3">
      <c r="A178">
        <v>0</v>
      </c>
      <c r="B178" t="s">
        <v>312</v>
      </c>
      <c r="C178" t="s">
        <v>387</v>
      </c>
      <c r="D178" t="s">
        <v>2</v>
      </c>
      <c r="E178" t="s">
        <v>387</v>
      </c>
      <c r="F178" t="s">
        <v>13</v>
      </c>
      <c r="G178" t="s">
        <v>525</v>
      </c>
    </row>
    <row r="179" spans="1:7" x14ac:dyDescent="0.3">
      <c r="A179">
        <v>0</v>
      </c>
      <c r="B179" t="s">
        <v>312</v>
      </c>
      <c r="C179" t="s">
        <v>431</v>
      </c>
      <c r="D179" t="s">
        <v>2</v>
      </c>
      <c r="E179" t="s">
        <v>431</v>
      </c>
      <c r="F179" t="s">
        <v>13</v>
      </c>
      <c r="G179" t="s">
        <v>525</v>
      </c>
    </row>
    <row r="180" spans="1:7" x14ac:dyDescent="0.3">
      <c r="A180">
        <v>0</v>
      </c>
      <c r="B180" t="s">
        <v>319</v>
      </c>
      <c r="C180" t="s">
        <v>459</v>
      </c>
      <c r="D180" t="s">
        <v>2</v>
      </c>
      <c r="E180" t="s">
        <v>459</v>
      </c>
      <c r="F180" t="s">
        <v>13</v>
      </c>
      <c r="G180" t="s">
        <v>525</v>
      </c>
    </row>
    <row r="181" spans="1:7" x14ac:dyDescent="0.3">
      <c r="A181">
        <v>0</v>
      </c>
      <c r="B181" t="s">
        <v>314</v>
      </c>
      <c r="C181" t="s">
        <v>376</v>
      </c>
      <c r="D181" t="s">
        <v>2</v>
      </c>
      <c r="E181" t="s">
        <v>376</v>
      </c>
      <c r="F181" t="s">
        <v>13</v>
      </c>
      <c r="G181" t="s">
        <v>525</v>
      </c>
    </row>
    <row r="182" spans="1:7" x14ac:dyDescent="0.3">
      <c r="A182">
        <v>0</v>
      </c>
      <c r="B182" t="s">
        <v>312</v>
      </c>
      <c r="C182" t="s">
        <v>379</v>
      </c>
      <c r="D182" t="s">
        <v>2</v>
      </c>
      <c r="E182" t="s">
        <v>379</v>
      </c>
      <c r="F182" t="s">
        <v>13</v>
      </c>
      <c r="G182" t="s">
        <v>525</v>
      </c>
    </row>
    <row r="183" spans="1:7" x14ac:dyDescent="0.3">
      <c r="A183">
        <v>0</v>
      </c>
      <c r="B183" t="s">
        <v>314</v>
      </c>
      <c r="C183" t="s">
        <v>445</v>
      </c>
      <c r="D183" t="s">
        <v>2</v>
      </c>
      <c r="E183" t="s">
        <v>445</v>
      </c>
      <c r="F183" t="s">
        <v>13</v>
      </c>
      <c r="G183" t="s">
        <v>525</v>
      </c>
    </row>
    <row r="184" spans="1:7" x14ac:dyDescent="0.3">
      <c r="A184">
        <v>0</v>
      </c>
      <c r="B184" t="s">
        <v>319</v>
      </c>
      <c r="C184" t="s">
        <v>460</v>
      </c>
      <c r="D184" t="s">
        <v>2</v>
      </c>
      <c r="E184" t="s">
        <v>460</v>
      </c>
      <c r="F184" t="s">
        <v>13</v>
      </c>
      <c r="G184" t="s">
        <v>525</v>
      </c>
    </row>
    <row r="185" spans="1:7" x14ac:dyDescent="0.3">
      <c r="A185">
        <v>0</v>
      </c>
      <c r="B185" t="s">
        <v>314</v>
      </c>
      <c r="C185" t="s">
        <v>450</v>
      </c>
      <c r="D185" t="s">
        <v>2</v>
      </c>
      <c r="E185" t="s">
        <v>450</v>
      </c>
      <c r="F185" t="s">
        <v>13</v>
      </c>
      <c r="G185" t="s">
        <v>525</v>
      </c>
    </row>
    <row r="186" spans="1:7" x14ac:dyDescent="0.3">
      <c r="A186">
        <v>0</v>
      </c>
      <c r="B186" t="s">
        <v>312</v>
      </c>
      <c r="C186" t="s">
        <v>473</v>
      </c>
      <c r="D186" t="s">
        <v>2</v>
      </c>
      <c r="E186" t="s">
        <v>473</v>
      </c>
      <c r="F186" t="s">
        <v>13</v>
      </c>
      <c r="G186" t="s">
        <v>525</v>
      </c>
    </row>
    <row r="187" spans="1:7" x14ac:dyDescent="0.3">
      <c r="A187">
        <v>0</v>
      </c>
      <c r="B187" t="s">
        <v>314</v>
      </c>
      <c r="C187" t="s">
        <v>313</v>
      </c>
      <c r="D187" t="s">
        <v>2</v>
      </c>
      <c r="E187" t="s">
        <v>313</v>
      </c>
      <c r="F187" t="s">
        <v>13</v>
      </c>
      <c r="G187" t="s">
        <v>525</v>
      </c>
    </row>
    <row r="188" spans="1:7" x14ac:dyDescent="0.3">
      <c r="A188">
        <v>0</v>
      </c>
      <c r="B188" t="s">
        <v>312</v>
      </c>
      <c r="C188" t="s">
        <v>472</v>
      </c>
      <c r="D188" t="s">
        <v>2</v>
      </c>
      <c r="E188" t="s">
        <v>472</v>
      </c>
      <c r="F188" t="s">
        <v>13</v>
      </c>
      <c r="G188" t="s">
        <v>525</v>
      </c>
    </row>
    <row r="189" spans="1:7" x14ac:dyDescent="0.3">
      <c r="A189">
        <v>0</v>
      </c>
      <c r="B189" t="s">
        <v>312</v>
      </c>
      <c r="C189" t="s">
        <v>402</v>
      </c>
      <c r="D189" t="s">
        <v>2</v>
      </c>
      <c r="E189" t="s">
        <v>402</v>
      </c>
      <c r="F189" t="s">
        <v>13</v>
      </c>
      <c r="G189" t="s">
        <v>525</v>
      </c>
    </row>
    <row r="190" spans="1:7" x14ac:dyDescent="0.3">
      <c r="A190">
        <v>0</v>
      </c>
      <c r="B190" t="s">
        <v>314</v>
      </c>
      <c r="C190" t="s">
        <v>455</v>
      </c>
      <c r="D190" t="s">
        <v>2</v>
      </c>
      <c r="E190" t="s">
        <v>455</v>
      </c>
      <c r="F190" t="s">
        <v>13</v>
      </c>
      <c r="G190" t="s">
        <v>525</v>
      </c>
    </row>
    <row r="191" spans="1:7" x14ac:dyDescent="0.3">
      <c r="A191">
        <v>0</v>
      </c>
      <c r="B191" t="s">
        <v>312</v>
      </c>
      <c r="C191" t="s">
        <v>411</v>
      </c>
      <c r="D191" t="s">
        <v>2</v>
      </c>
      <c r="E191" t="s">
        <v>411</v>
      </c>
      <c r="F191" t="s">
        <v>13</v>
      </c>
      <c r="G191" t="s">
        <v>525</v>
      </c>
    </row>
    <row r="192" spans="1:7" x14ac:dyDescent="0.3">
      <c r="A192">
        <v>0</v>
      </c>
      <c r="B192" t="s">
        <v>312</v>
      </c>
      <c r="C192" t="s">
        <v>488</v>
      </c>
      <c r="D192" t="s">
        <v>2</v>
      </c>
      <c r="E192" t="s">
        <v>488</v>
      </c>
      <c r="F192" t="s">
        <v>13</v>
      </c>
      <c r="G192" t="s">
        <v>525</v>
      </c>
    </row>
    <row r="193" spans="1:7" x14ac:dyDescent="0.3">
      <c r="A193">
        <v>0</v>
      </c>
      <c r="B193" t="s">
        <v>319</v>
      </c>
      <c r="C193" t="s">
        <v>462</v>
      </c>
      <c r="D193" t="s">
        <v>2</v>
      </c>
      <c r="E193" t="s">
        <v>462</v>
      </c>
      <c r="F193" t="s">
        <v>13</v>
      </c>
      <c r="G193" t="s">
        <v>525</v>
      </c>
    </row>
    <row r="194" spans="1:7" x14ac:dyDescent="0.3">
      <c r="A194">
        <v>0</v>
      </c>
      <c r="B194" t="s">
        <v>312</v>
      </c>
      <c r="C194" t="s">
        <v>246</v>
      </c>
      <c r="D194" t="s">
        <v>2</v>
      </c>
      <c r="E194" t="s">
        <v>246</v>
      </c>
      <c r="F194" t="s">
        <v>13</v>
      </c>
      <c r="G194" t="s">
        <v>525</v>
      </c>
    </row>
    <row r="195" spans="1:7" x14ac:dyDescent="0.3">
      <c r="A195">
        <v>0</v>
      </c>
      <c r="B195" t="s">
        <v>312</v>
      </c>
      <c r="C195" t="s">
        <v>357</v>
      </c>
      <c r="D195" t="s">
        <v>2</v>
      </c>
      <c r="E195" t="s">
        <v>357</v>
      </c>
      <c r="F195" t="s">
        <v>13</v>
      </c>
      <c r="G195" t="s">
        <v>525</v>
      </c>
    </row>
    <row r="196" spans="1:7" x14ac:dyDescent="0.3">
      <c r="A196">
        <v>0</v>
      </c>
      <c r="B196" t="s">
        <v>314</v>
      </c>
      <c r="C196" t="s">
        <v>341</v>
      </c>
      <c r="D196" t="s">
        <v>2</v>
      </c>
      <c r="E196" t="s">
        <v>341</v>
      </c>
      <c r="F196" t="s">
        <v>13</v>
      </c>
      <c r="G196" t="s">
        <v>525</v>
      </c>
    </row>
    <row r="197" spans="1:7" x14ac:dyDescent="0.3">
      <c r="A197">
        <v>0</v>
      </c>
      <c r="B197" t="s">
        <v>319</v>
      </c>
      <c r="C197" t="s">
        <v>466</v>
      </c>
      <c r="D197" t="s">
        <v>2</v>
      </c>
      <c r="E197" t="s">
        <v>466</v>
      </c>
      <c r="F197" t="s">
        <v>13</v>
      </c>
      <c r="G197" t="s">
        <v>525</v>
      </c>
    </row>
    <row r="198" spans="1:7" x14ac:dyDescent="0.3">
      <c r="A198">
        <v>0</v>
      </c>
      <c r="B198" t="s">
        <v>319</v>
      </c>
      <c r="C198" t="s">
        <v>362</v>
      </c>
      <c r="D198" t="s">
        <v>2</v>
      </c>
      <c r="E198" t="s">
        <v>362</v>
      </c>
      <c r="F198" t="s">
        <v>13</v>
      </c>
      <c r="G198" t="s">
        <v>525</v>
      </c>
    </row>
    <row r="199" spans="1:7" x14ac:dyDescent="0.3">
      <c r="A199">
        <v>0</v>
      </c>
      <c r="B199" t="s">
        <v>312</v>
      </c>
      <c r="C199" t="s">
        <v>433</v>
      </c>
      <c r="D199" t="s">
        <v>2</v>
      </c>
      <c r="E199" t="s">
        <v>433</v>
      </c>
      <c r="F199" t="s">
        <v>13</v>
      </c>
      <c r="G199" t="s">
        <v>525</v>
      </c>
    </row>
    <row r="200" spans="1:7" x14ac:dyDescent="0.3">
      <c r="A200">
        <v>0</v>
      </c>
      <c r="B200" t="s">
        <v>312</v>
      </c>
      <c r="C200" t="s">
        <v>397</v>
      </c>
      <c r="D200" t="s">
        <v>2</v>
      </c>
      <c r="E200" t="s">
        <v>397</v>
      </c>
      <c r="F200" t="s">
        <v>13</v>
      </c>
      <c r="G200" t="s">
        <v>525</v>
      </c>
    </row>
    <row r="201" spans="1:7" x14ac:dyDescent="0.3">
      <c r="A201">
        <v>0</v>
      </c>
      <c r="B201" t="s">
        <v>319</v>
      </c>
      <c r="C201" t="s">
        <v>378</v>
      </c>
      <c r="D201" t="s">
        <v>2</v>
      </c>
      <c r="E201" t="s">
        <v>378</v>
      </c>
      <c r="F201" t="s">
        <v>13</v>
      </c>
      <c r="G201" t="s">
        <v>525</v>
      </c>
    </row>
    <row r="202" spans="1:7" x14ac:dyDescent="0.3">
      <c r="A202">
        <v>0</v>
      </c>
      <c r="B202" t="s">
        <v>105</v>
      </c>
      <c r="C202" t="s">
        <v>117</v>
      </c>
      <c r="D202" t="s">
        <v>2</v>
      </c>
      <c r="E202" t="s">
        <v>117</v>
      </c>
      <c r="F202" t="s">
        <v>13</v>
      </c>
      <c r="G202" t="s">
        <v>525</v>
      </c>
    </row>
    <row r="203" spans="1:7" x14ac:dyDescent="0.3">
      <c r="A203">
        <v>0</v>
      </c>
      <c r="B203" t="s">
        <v>312</v>
      </c>
      <c r="C203" t="s">
        <v>476</v>
      </c>
      <c r="D203" t="s">
        <v>2</v>
      </c>
      <c r="E203" t="s">
        <v>476</v>
      </c>
      <c r="F203" t="s">
        <v>13</v>
      </c>
      <c r="G203" t="s">
        <v>525</v>
      </c>
    </row>
    <row r="204" spans="1:7" x14ac:dyDescent="0.3">
      <c r="A204">
        <v>0</v>
      </c>
      <c r="B204" t="s">
        <v>319</v>
      </c>
      <c r="C204" t="s">
        <v>478</v>
      </c>
      <c r="D204" t="s">
        <v>2</v>
      </c>
      <c r="E204" t="s">
        <v>478</v>
      </c>
      <c r="F204" t="s">
        <v>13</v>
      </c>
      <c r="G204" t="s">
        <v>525</v>
      </c>
    </row>
    <row r="205" spans="1:7" x14ac:dyDescent="0.3">
      <c r="A205">
        <v>0</v>
      </c>
      <c r="B205" t="s">
        <v>312</v>
      </c>
      <c r="C205" t="s">
        <v>367</v>
      </c>
      <c r="D205" t="s">
        <v>2</v>
      </c>
      <c r="E205" t="s">
        <v>367</v>
      </c>
      <c r="F205" t="s">
        <v>13</v>
      </c>
      <c r="G205" t="s">
        <v>525</v>
      </c>
    </row>
    <row r="206" spans="1:7" x14ac:dyDescent="0.3">
      <c r="A206">
        <v>0</v>
      </c>
      <c r="B206" t="s">
        <v>312</v>
      </c>
      <c r="C206" t="s">
        <v>346</v>
      </c>
      <c r="D206" t="s">
        <v>2</v>
      </c>
      <c r="E206" t="s">
        <v>346</v>
      </c>
      <c r="F206" t="s">
        <v>13</v>
      </c>
      <c r="G206" t="s">
        <v>525</v>
      </c>
    </row>
    <row r="207" spans="1:7" x14ac:dyDescent="0.3">
      <c r="A207">
        <v>0</v>
      </c>
      <c r="B207" t="s">
        <v>105</v>
      </c>
      <c r="C207" t="s">
        <v>119</v>
      </c>
      <c r="D207" t="s">
        <v>2</v>
      </c>
      <c r="E207" t="s">
        <v>119</v>
      </c>
      <c r="F207" t="s">
        <v>13</v>
      </c>
      <c r="G207" t="s">
        <v>525</v>
      </c>
    </row>
    <row r="208" spans="1:7" x14ac:dyDescent="0.3">
      <c r="A208">
        <v>0</v>
      </c>
      <c r="B208" t="s">
        <v>312</v>
      </c>
      <c r="C208" t="s">
        <v>385</v>
      </c>
      <c r="D208" t="s">
        <v>2</v>
      </c>
      <c r="E208" t="s">
        <v>385</v>
      </c>
      <c r="F208" t="s">
        <v>13</v>
      </c>
      <c r="G208" t="s">
        <v>525</v>
      </c>
    </row>
    <row r="209" spans="1:7" x14ac:dyDescent="0.3">
      <c r="A209">
        <v>0</v>
      </c>
      <c r="B209" t="s">
        <v>57</v>
      </c>
      <c r="C209" t="s">
        <v>120</v>
      </c>
      <c r="D209" t="s">
        <v>2</v>
      </c>
      <c r="E209" t="s">
        <v>120</v>
      </c>
      <c r="F209" t="s">
        <v>13</v>
      </c>
      <c r="G209" t="s">
        <v>525</v>
      </c>
    </row>
    <row r="210" spans="1:7" x14ac:dyDescent="0.3">
      <c r="A210">
        <v>0</v>
      </c>
      <c r="B210" t="s">
        <v>312</v>
      </c>
      <c r="C210" t="s">
        <v>324</v>
      </c>
      <c r="D210" t="s">
        <v>2</v>
      </c>
      <c r="E210" t="s">
        <v>324</v>
      </c>
      <c r="F210" t="s">
        <v>13</v>
      </c>
      <c r="G210" t="s">
        <v>525</v>
      </c>
    </row>
    <row r="211" spans="1:7" x14ac:dyDescent="0.3">
      <c r="A211">
        <v>0</v>
      </c>
      <c r="B211" t="s">
        <v>312</v>
      </c>
      <c r="C211" t="s">
        <v>327</v>
      </c>
      <c r="D211" t="s">
        <v>2</v>
      </c>
      <c r="E211" t="s">
        <v>327</v>
      </c>
      <c r="F211" t="s">
        <v>13</v>
      </c>
      <c r="G211" t="s">
        <v>525</v>
      </c>
    </row>
    <row r="212" spans="1:7" x14ac:dyDescent="0.3">
      <c r="A212">
        <v>0</v>
      </c>
      <c r="B212" t="s">
        <v>314</v>
      </c>
      <c r="C212" t="s">
        <v>441</v>
      </c>
      <c r="D212" t="s">
        <v>2</v>
      </c>
      <c r="E212" t="s">
        <v>441</v>
      </c>
      <c r="F212" t="s">
        <v>13</v>
      </c>
      <c r="G212" t="s">
        <v>525</v>
      </c>
    </row>
    <row r="213" spans="1:7" x14ac:dyDescent="0.3">
      <c r="A213">
        <v>0</v>
      </c>
      <c r="B213" t="s">
        <v>105</v>
      </c>
      <c r="C213" t="s">
        <v>115</v>
      </c>
      <c r="D213" t="s">
        <v>2</v>
      </c>
      <c r="E213" t="s">
        <v>115</v>
      </c>
      <c r="F213" t="s">
        <v>13</v>
      </c>
      <c r="G213" t="s">
        <v>525</v>
      </c>
    </row>
    <row r="214" spans="1:7" x14ac:dyDescent="0.3">
      <c r="A214">
        <v>0</v>
      </c>
      <c r="B214" t="s">
        <v>312</v>
      </c>
      <c r="C214" t="s">
        <v>484</v>
      </c>
      <c r="D214" t="s">
        <v>2</v>
      </c>
      <c r="E214" t="s">
        <v>484</v>
      </c>
      <c r="F214" t="s">
        <v>13</v>
      </c>
      <c r="G214" t="s">
        <v>525</v>
      </c>
    </row>
    <row r="215" spans="1:7" x14ac:dyDescent="0.3">
      <c r="A215">
        <v>0</v>
      </c>
      <c r="B215" t="s">
        <v>312</v>
      </c>
      <c r="C215" t="s">
        <v>311</v>
      </c>
      <c r="D215" t="s">
        <v>2</v>
      </c>
      <c r="E215" t="s">
        <v>311</v>
      </c>
      <c r="F215" t="s">
        <v>13</v>
      </c>
      <c r="G215" t="s">
        <v>525</v>
      </c>
    </row>
    <row r="216" spans="1:7" x14ac:dyDescent="0.3">
      <c r="A216">
        <v>0</v>
      </c>
      <c r="B216" t="s">
        <v>312</v>
      </c>
      <c r="C216" t="s">
        <v>365</v>
      </c>
      <c r="D216" t="s">
        <v>2</v>
      </c>
      <c r="E216" t="s">
        <v>365</v>
      </c>
      <c r="F216" t="s">
        <v>13</v>
      </c>
      <c r="G216" t="s">
        <v>525</v>
      </c>
    </row>
    <row r="217" spans="1:7" x14ac:dyDescent="0.3">
      <c r="A217">
        <v>0</v>
      </c>
      <c r="B217" t="s">
        <v>314</v>
      </c>
      <c r="C217" t="s">
        <v>350</v>
      </c>
      <c r="D217" t="s">
        <v>2</v>
      </c>
      <c r="E217" t="s">
        <v>350</v>
      </c>
      <c r="F217" t="s">
        <v>13</v>
      </c>
      <c r="G217" t="s">
        <v>525</v>
      </c>
    </row>
    <row r="218" spans="1:7" x14ac:dyDescent="0.3">
      <c r="A218">
        <v>0</v>
      </c>
      <c r="B218" t="s">
        <v>105</v>
      </c>
      <c r="C218" t="s">
        <v>123</v>
      </c>
      <c r="D218" t="s">
        <v>2</v>
      </c>
      <c r="E218" t="s">
        <v>123</v>
      </c>
      <c r="F218" t="s">
        <v>13</v>
      </c>
      <c r="G218" t="s">
        <v>525</v>
      </c>
    </row>
    <row r="219" spans="1:7" x14ac:dyDescent="0.3">
      <c r="A219">
        <v>0</v>
      </c>
      <c r="B219" t="s">
        <v>312</v>
      </c>
      <c r="C219" t="s">
        <v>396</v>
      </c>
      <c r="D219" t="s">
        <v>2</v>
      </c>
      <c r="E219" t="s">
        <v>396</v>
      </c>
      <c r="F219" t="s">
        <v>13</v>
      </c>
      <c r="G219" t="s">
        <v>525</v>
      </c>
    </row>
    <row r="220" spans="1:7" x14ac:dyDescent="0.3">
      <c r="A220">
        <v>0</v>
      </c>
      <c r="B220" t="s">
        <v>312</v>
      </c>
      <c r="C220" t="s">
        <v>428</v>
      </c>
      <c r="D220" t="s">
        <v>2</v>
      </c>
      <c r="E220" t="s">
        <v>428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383</v>
      </c>
      <c r="D221" t="s">
        <v>2</v>
      </c>
      <c r="E221" t="s">
        <v>383</v>
      </c>
      <c r="F221" t="s">
        <v>13</v>
      </c>
      <c r="G221" t="s">
        <v>525</v>
      </c>
    </row>
    <row r="222" spans="1:7" x14ac:dyDescent="0.3">
      <c r="A222">
        <v>0</v>
      </c>
      <c r="B222" t="s">
        <v>312</v>
      </c>
      <c r="C222" t="s">
        <v>426</v>
      </c>
      <c r="D222" t="s">
        <v>2</v>
      </c>
      <c r="E222" t="s">
        <v>426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437</v>
      </c>
      <c r="D223" t="s">
        <v>2</v>
      </c>
      <c r="E223" t="s">
        <v>437</v>
      </c>
      <c r="F223" t="s">
        <v>13</v>
      </c>
      <c r="G223" t="s">
        <v>525</v>
      </c>
    </row>
    <row r="224" spans="1:7" x14ac:dyDescent="0.3">
      <c r="A224">
        <v>0</v>
      </c>
      <c r="B224" t="s">
        <v>312</v>
      </c>
      <c r="C224" t="s">
        <v>454</v>
      </c>
      <c r="D224" t="s">
        <v>2</v>
      </c>
      <c r="E224" t="s">
        <v>454</v>
      </c>
      <c r="F224" t="s">
        <v>13</v>
      </c>
      <c r="G224" t="s">
        <v>525</v>
      </c>
    </row>
    <row r="225" spans="1:7" x14ac:dyDescent="0.3">
      <c r="A225">
        <v>0</v>
      </c>
      <c r="B225" t="s">
        <v>312</v>
      </c>
      <c r="C225" t="s">
        <v>425</v>
      </c>
      <c r="D225" t="s">
        <v>2</v>
      </c>
      <c r="E225" t="s">
        <v>425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344</v>
      </c>
      <c r="D226" t="s">
        <v>2</v>
      </c>
      <c r="E226" t="s">
        <v>344</v>
      </c>
      <c r="F226" t="s">
        <v>13</v>
      </c>
      <c r="G226" t="s">
        <v>525</v>
      </c>
    </row>
    <row r="227" spans="1:7" x14ac:dyDescent="0.3">
      <c r="A227">
        <v>0</v>
      </c>
      <c r="B227" t="s">
        <v>312</v>
      </c>
      <c r="C227" t="s">
        <v>407</v>
      </c>
      <c r="D227" t="s">
        <v>2</v>
      </c>
      <c r="E227" t="s">
        <v>407</v>
      </c>
      <c r="F227" t="s">
        <v>13</v>
      </c>
      <c r="G227" t="s">
        <v>525</v>
      </c>
    </row>
    <row r="228" spans="1:7" x14ac:dyDescent="0.3">
      <c r="A228">
        <v>0</v>
      </c>
      <c r="B228" t="s">
        <v>314</v>
      </c>
      <c r="C228" t="s">
        <v>413</v>
      </c>
      <c r="D228" t="s">
        <v>2</v>
      </c>
      <c r="E228" t="s">
        <v>413</v>
      </c>
      <c r="F228" t="s">
        <v>13</v>
      </c>
      <c r="G228" t="s">
        <v>525</v>
      </c>
    </row>
    <row r="229" spans="1:7" x14ac:dyDescent="0.3">
      <c r="A229">
        <v>0</v>
      </c>
      <c r="B229" t="s">
        <v>312</v>
      </c>
      <c r="C229" t="s">
        <v>392</v>
      </c>
      <c r="D229" t="s">
        <v>2</v>
      </c>
      <c r="E229" t="s">
        <v>392</v>
      </c>
      <c r="F229" t="s">
        <v>13</v>
      </c>
      <c r="G229" t="s">
        <v>525</v>
      </c>
    </row>
    <row r="230" spans="1:7" x14ac:dyDescent="0.3">
      <c r="A230">
        <v>0</v>
      </c>
      <c r="B230" t="s">
        <v>319</v>
      </c>
      <c r="C230" t="s">
        <v>422</v>
      </c>
      <c r="D230" t="s">
        <v>2</v>
      </c>
      <c r="E230" t="s">
        <v>422</v>
      </c>
      <c r="F230" t="s">
        <v>13</v>
      </c>
      <c r="G230" t="s">
        <v>525</v>
      </c>
    </row>
    <row r="231" spans="1:7" x14ac:dyDescent="0.3">
      <c r="A231">
        <v>0</v>
      </c>
      <c r="B231" t="s">
        <v>314</v>
      </c>
      <c r="C231" t="s">
        <v>495</v>
      </c>
      <c r="D231" t="s">
        <v>494</v>
      </c>
      <c r="E231" t="s">
        <v>495</v>
      </c>
      <c r="F231" t="s">
        <v>13</v>
      </c>
      <c r="G231" t="s">
        <v>525</v>
      </c>
    </row>
    <row r="232" spans="1:7" x14ac:dyDescent="0.3">
      <c r="A232">
        <v>0</v>
      </c>
      <c r="B232" t="s">
        <v>314</v>
      </c>
      <c r="C232" t="s">
        <v>497</v>
      </c>
      <c r="D232" t="s">
        <v>494</v>
      </c>
      <c r="E232" t="s">
        <v>497</v>
      </c>
      <c r="F232" t="s">
        <v>13</v>
      </c>
      <c r="G232" t="s">
        <v>525</v>
      </c>
    </row>
    <row r="233" spans="1:7" x14ac:dyDescent="0.3">
      <c r="A233">
        <v>0</v>
      </c>
      <c r="B233" t="s">
        <v>314</v>
      </c>
      <c r="C233" t="s">
        <v>496</v>
      </c>
      <c r="D233" t="s">
        <v>494</v>
      </c>
      <c r="E233" t="s">
        <v>496</v>
      </c>
      <c r="F233" t="s">
        <v>13</v>
      </c>
      <c r="G233" t="s">
        <v>525</v>
      </c>
    </row>
    <row r="234" spans="1:7" x14ac:dyDescent="0.3">
      <c r="A234">
        <v>0</v>
      </c>
      <c r="B234" t="s">
        <v>312</v>
      </c>
      <c r="C234" t="s">
        <v>513</v>
      </c>
      <c r="D234" t="s">
        <v>498</v>
      </c>
      <c r="E234" t="s">
        <v>513</v>
      </c>
      <c r="F234" t="s">
        <v>13</v>
      </c>
      <c r="G234" t="s">
        <v>525</v>
      </c>
    </row>
    <row r="235" spans="1:7" x14ac:dyDescent="0.3">
      <c r="A235">
        <v>0</v>
      </c>
      <c r="B235" t="s">
        <v>312</v>
      </c>
      <c r="C235" t="s">
        <v>515</v>
      </c>
      <c r="D235" t="s">
        <v>498</v>
      </c>
      <c r="E235" t="s">
        <v>515</v>
      </c>
      <c r="F235" t="s">
        <v>13</v>
      </c>
      <c r="G235" t="s">
        <v>525</v>
      </c>
    </row>
    <row r="236" spans="1:7" x14ac:dyDescent="0.3">
      <c r="A236">
        <v>0</v>
      </c>
      <c r="B236" t="s">
        <v>312</v>
      </c>
      <c r="C236" t="s">
        <v>509</v>
      </c>
      <c r="D236" t="s">
        <v>498</v>
      </c>
      <c r="E236" t="s">
        <v>509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502</v>
      </c>
      <c r="D237" t="s">
        <v>498</v>
      </c>
      <c r="E237" t="s">
        <v>502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500</v>
      </c>
      <c r="D238" t="s">
        <v>498</v>
      </c>
      <c r="E238" t="s">
        <v>500</v>
      </c>
      <c r="F238" t="s">
        <v>13</v>
      </c>
      <c r="G238" t="s">
        <v>525</v>
      </c>
    </row>
    <row r="239" spans="1:7" x14ac:dyDescent="0.3">
      <c r="A239">
        <v>0</v>
      </c>
      <c r="B239" t="s">
        <v>507</v>
      </c>
      <c r="C239" t="s">
        <v>506</v>
      </c>
      <c r="D239" t="s">
        <v>498</v>
      </c>
      <c r="E239" t="s">
        <v>506</v>
      </c>
      <c r="F239" t="s">
        <v>13</v>
      </c>
      <c r="G239" t="s">
        <v>525</v>
      </c>
    </row>
    <row r="240" spans="1:7" x14ac:dyDescent="0.3">
      <c r="A240">
        <v>0</v>
      </c>
      <c r="B240" t="s">
        <v>312</v>
      </c>
      <c r="C240" t="s">
        <v>514</v>
      </c>
      <c r="D240" t="s">
        <v>498</v>
      </c>
      <c r="E240" t="s">
        <v>514</v>
      </c>
      <c r="F240" t="s">
        <v>13</v>
      </c>
      <c r="G240" t="s">
        <v>525</v>
      </c>
    </row>
    <row r="241" spans="1:7" x14ac:dyDescent="0.3">
      <c r="A241">
        <v>0</v>
      </c>
      <c r="B241" t="s">
        <v>312</v>
      </c>
      <c r="C241" t="s">
        <v>499</v>
      </c>
      <c r="D241" t="s">
        <v>498</v>
      </c>
      <c r="E241" t="s">
        <v>499</v>
      </c>
      <c r="F241" t="s">
        <v>13</v>
      </c>
      <c r="G241" t="s">
        <v>525</v>
      </c>
    </row>
    <row r="242" spans="1:7" x14ac:dyDescent="0.3">
      <c r="A242">
        <v>0</v>
      </c>
      <c r="B242" t="s">
        <v>312</v>
      </c>
      <c r="C242" t="s">
        <v>508</v>
      </c>
      <c r="D242" t="s">
        <v>498</v>
      </c>
      <c r="E242" t="s">
        <v>508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519</v>
      </c>
      <c r="D243" t="s">
        <v>498</v>
      </c>
      <c r="E243" t="s">
        <v>519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510</v>
      </c>
      <c r="D244" t="s">
        <v>498</v>
      </c>
      <c r="E244" t="s">
        <v>510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t="s">
        <v>521</v>
      </c>
      <c r="D245" t="s">
        <v>498</v>
      </c>
      <c r="E245" t="s">
        <v>521</v>
      </c>
      <c r="F245" t="s">
        <v>13</v>
      </c>
      <c r="G245" t="s">
        <v>525</v>
      </c>
    </row>
    <row r="246" spans="1:7" x14ac:dyDescent="0.3">
      <c r="A246">
        <v>0</v>
      </c>
      <c r="B246" t="s">
        <v>312</v>
      </c>
      <c r="C246" t="s">
        <v>501</v>
      </c>
      <c r="D246" t="s">
        <v>498</v>
      </c>
      <c r="E246" t="s">
        <v>501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504</v>
      </c>
      <c r="D247" t="s">
        <v>498</v>
      </c>
      <c r="E247" t="s">
        <v>504</v>
      </c>
      <c r="F247" t="s">
        <v>13</v>
      </c>
      <c r="G247" t="s">
        <v>525</v>
      </c>
    </row>
    <row r="248" spans="1:7" x14ac:dyDescent="0.3">
      <c r="A248">
        <v>0</v>
      </c>
      <c r="B248" t="s">
        <v>312</v>
      </c>
      <c r="C248" t="s">
        <v>520</v>
      </c>
      <c r="D248" t="s">
        <v>498</v>
      </c>
      <c r="E248" t="s">
        <v>520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523</v>
      </c>
      <c r="D249" t="s">
        <v>498</v>
      </c>
      <c r="E249" t="s">
        <v>523</v>
      </c>
      <c r="F249" t="s">
        <v>13</v>
      </c>
      <c r="G249" t="s">
        <v>525</v>
      </c>
    </row>
    <row r="250" spans="1:7" x14ac:dyDescent="0.3">
      <c r="A250">
        <v>0</v>
      </c>
      <c r="B250" t="s">
        <v>312</v>
      </c>
      <c r="C250" t="s">
        <v>503</v>
      </c>
      <c r="D250" t="s">
        <v>498</v>
      </c>
      <c r="E250" t="s">
        <v>503</v>
      </c>
      <c r="F250" t="s">
        <v>13</v>
      </c>
      <c r="G250" t="s">
        <v>525</v>
      </c>
    </row>
    <row r="251" spans="1:7" x14ac:dyDescent="0.3">
      <c r="A251">
        <v>0</v>
      </c>
      <c r="B251" t="s">
        <v>312</v>
      </c>
      <c r="C251" t="s">
        <v>512</v>
      </c>
      <c r="D251" t="s">
        <v>498</v>
      </c>
      <c r="E251" t="s">
        <v>512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505</v>
      </c>
      <c r="D252" t="s">
        <v>498</v>
      </c>
      <c r="E252" t="s">
        <v>505</v>
      </c>
      <c r="F252" t="s">
        <v>13</v>
      </c>
      <c r="G252" t="s">
        <v>525</v>
      </c>
    </row>
    <row r="253" spans="1:7" x14ac:dyDescent="0.3">
      <c r="A253">
        <v>0</v>
      </c>
      <c r="B253" t="s">
        <v>312</v>
      </c>
      <c r="C253" t="s">
        <v>518</v>
      </c>
      <c r="D253" t="s">
        <v>498</v>
      </c>
      <c r="E253" t="s">
        <v>518</v>
      </c>
      <c r="F253" t="s">
        <v>13</v>
      </c>
      <c r="G253" t="s">
        <v>525</v>
      </c>
    </row>
    <row r="254" spans="1:7" x14ac:dyDescent="0.3">
      <c r="A254">
        <v>0</v>
      </c>
      <c r="B254" t="s">
        <v>312</v>
      </c>
      <c r="C254" t="s">
        <v>522</v>
      </c>
      <c r="D254" t="s">
        <v>498</v>
      </c>
      <c r="E254" t="s">
        <v>522</v>
      </c>
      <c r="F254" t="s">
        <v>13</v>
      </c>
      <c r="G254" t="s">
        <v>525</v>
      </c>
    </row>
    <row r="255" spans="1:7" x14ac:dyDescent="0.3">
      <c r="A255">
        <v>0</v>
      </c>
      <c r="B255" t="s">
        <v>312</v>
      </c>
      <c r="C255" t="s">
        <v>516</v>
      </c>
      <c r="D255" t="s">
        <v>498</v>
      </c>
      <c r="E255" t="s">
        <v>516</v>
      </c>
      <c r="F255" t="s">
        <v>13</v>
      </c>
      <c r="G255" t="s">
        <v>525</v>
      </c>
    </row>
    <row r="256" spans="1:7" x14ac:dyDescent="0.3">
      <c r="A256">
        <v>0</v>
      </c>
      <c r="B256" t="s">
        <v>312</v>
      </c>
      <c r="C256" t="s">
        <v>517</v>
      </c>
      <c r="D256" t="s">
        <v>498</v>
      </c>
      <c r="E256" t="s">
        <v>517</v>
      </c>
      <c r="F256" t="s">
        <v>13</v>
      </c>
      <c r="G256" t="s">
        <v>525</v>
      </c>
    </row>
    <row r="257" spans="1:7" x14ac:dyDescent="0.3">
      <c r="A257">
        <v>0</v>
      </c>
      <c r="B257" t="s">
        <v>16</v>
      </c>
      <c r="C257" s="2" t="s">
        <v>22</v>
      </c>
      <c r="D257" t="s">
        <v>2</v>
      </c>
      <c r="E257" s="2" t="s">
        <v>22</v>
      </c>
      <c r="F257" t="s">
        <v>13</v>
      </c>
      <c r="G257" t="s">
        <v>525</v>
      </c>
    </row>
    <row r="258" spans="1:7" x14ac:dyDescent="0.3">
      <c r="A258">
        <v>0</v>
      </c>
      <c r="B258" t="s">
        <v>16</v>
      </c>
      <c r="C258" s="2" t="s">
        <v>49</v>
      </c>
      <c r="D258" t="s">
        <v>2</v>
      </c>
      <c r="E258" s="2" t="s">
        <v>49</v>
      </c>
      <c r="F258" t="s">
        <v>13</v>
      </c>
      <c r="G258" t="s">
        <v>525</v>
      </c>
    </row>
    <row r="259" spans="1:7" x14ac:dyDescent="0.3">
      <c r="A259">
        <v>0</v>
      </c>
      <c r="B259" t="s">
        <v>312</v>
      </c>
      <c r="C259" s="2" t="s">
        <v>55</v>
      </c>
      <c r="D259" t="s">
        <v>2</v>
      </c>
      <c r="E259" s="2" t="s">
        <v>55</v>
      </c>
      <c r="F259" t="s">
        <v>13</v>
      </c>
      <c r="G259" t="s">
        <v>525</v>
      </c>
    </row>
    <row r="260" spans="1:7" x14ac:dyDescent="0.3">
      <c r="A260">
        <v>0</v>
      </c>
      <c r="B260" t="s">
        <v>312</v>
      </c>
      <c r="C260" t="s">
        <v>59</v>
      </c>
      <c r="D260" t="s">
        <v>2</v>
      </c>
      <c r="E260" t="s">
        <v>59</v>
      </c>
      <c r="F260" t="s">
        <v>13</v>
      </c>
      <c r="G260" t="s">
        <v>525</v>
      </c>
    </row>
    <row r="261" spans="1:7" x14ac:dyDescent="0.3">
      <c r="A261">
        <v>0</v>
      </c>
      <c r="B261" t="s">
        <v>16</v>
      </c>
      <c r="C261" s="2" t="s">
        <v>61</v>
      </c>
      <c r="D261" t="s">
        <v>2</v>
      </c>
      <c r="E261" s="2" t="s">
        <v>61</v>
      </c>
      <c r="F261" t="s">
        <v>13</v>
      </c>
      <c r="G261" t="s">
        <v>525</v>
      </c>
    </row>
    <row r="262" spans="1:7" x14ac:dyDescent="0.3">
      <c r="A262">
        <v>0</v>
      </c>
      <c r="B262" t="s">
        <v>312</v>
      </c>
      <c r="C262" s="2" t="s">
        <v>67</v>
      </c>
      <c r="D262" t="s">
        <v>2</v>
      </c>
      <c r="E262" s="2" t="s">
        <v>67</v>
      </c>
      <c r="F262" t="s">
        <v>13</v>
      </c>
      <c r="G262" t="s">
        <v>525</v>
      </c>
    </row>
    <row r="263" spans="1:7" x14ac:dyDescent="0.3">
      <c r="A263">
        <v>0</v>
      </c>
      <c r="B263" t="s">
        <v>312</v>
      </c>
      <c r="C263" t="s">
        <v>73</v>
      </c>
      <c r="D263" t="s">
        <v>2</v>
      </c>
      <c r="E263" t="s">
        <v>73</v>
      </c>
      <c r="F263" t="s">
        <v>13</v>
      </c>
      <c r="G263" t="s">
        <v>525</v>
      </c>
    </row>
    <row r="264" spans="1:7" x14ac:dyDescent="0.3">
      <c r="A264">
        <v>0</v>
      </c>
      <c r="B264" t="s">
        <v>312</v>
      </c>
      <c r="C264" t="s">
        <v>79</v>
      </c>
      <c r="D264" t="s">
        <v>2</v>
      </c>
      <c r="E264" t="s">
        <v>79</v>
      </c>
      <c r="F264" t="s">
        <v>13</v>
      </c>
      <c r="G264" t="s">
        <v>525</v>
      </c>
    </row>
    <row r="265" spans="1:7" x14ac:dyDescent="0.3">
      <c r="A265">
        <v>0</v>
      </c>
      <c r="B265" t="s">
        <v>312</v>
      </c>
      <c r="C265" t="s">
        <v>82</v>
      </c>
      <c r="D265" t="s">
        <v>2</v>
      </c>
      <c r="E265" t="s">
        <v>82</v>
      </c>
      <c r="F265" t="s">
        <v>13</v>
      </c>
      <c r="G265" t="s">
        <v>525</v>
      </c>
    </row>
    <row r="266" spans="1:7" x14ac:dyDescent="0.3">
      <c r="A266">
        <v>0</v>
      </c>
      <c r="B266" t="s">
        <v>312</v>
      </c>
      <c r="C266" t="s">
        <v>85</v>
      </c>
      <c r="D266" t="s">
        <v>2</v>
      </c>
      <c r="E266" t="s">
        <v>85</v>
      </c>
      <c r="F266" t="s">
        <v>13</v>
      </c>
      <c r="G266" t="s">
        <v>525</v>
      </c>
    </row>
    <row r="267" spans="1:7" x14ac:dyDescent="0.3">
      <c r="A267">
        <v>0</v>
      </c>
      <c r="B267" t="s">
        <v>312</v>
      </c>
      <c r="C267" t="s">
        <v>88</v>
      </c>
      <c r="D267" t="s">
        <v>2</v>
      </c>
      <c r="E267" t="s">
        <v>88</v>
      </c>
      <c r="F267" t="s">
        <v>13</v>
      </c>
      <c r="G267" t="s">
        <v>525</v>
      </c>
    </row>
    <row r="268" spans="1:7" x14ac:dyDescent="0.3">
      <c r="A268">
        <v>0</v>
      </c>
      <c r="B268" t="s">
        <v>312</v>
      </c>
      <c r="C268" t="s">
        <v>91</v>
      </c>
      <c r="D268" t="s">
        <v>2</v>
      </c>
      <c r="E268" t="s">
        <v>91</v>
      </c>
      <c r="F268" t="s">
        <v>13</v>
      </c>
      <c r="G268" t="s">
        <v>525</v>
      </c>
    </row>
    <row r="269" spans="1:7" x14ac:dyDescent="0.3">
      <c r="A269">
        <v>0</v>
      </c>
      <c r="B269" t="s">
        <v>312</v>
      </c>
      <c r="C269" t="s">
        <v>94</v>
      </c>
      <c r="D269" t="s">
        <v>2</v>
      </c>
      <c r="E269" t="s">
        <v>94</v>
      </c>
      <c r="F269" t="s">
        <v>13</v>
      </c>
      <c r="G269" t="s">
        <v>525</v>
      </c>
    </row>
    <row r="270" spans="1:7" x14ac:dyDescent="0.3">
      <c r="A270">
        <v>0</v>
      </c>
      <c r="B270" t="s">
        <v>312</v>
      </c>
      <c r="C270" t="s">
        <v>97</v>
      </c>
      <c r="D270" t="s">
        <v>2</v>
      </c>
      <c r="E270" t="s">
        <v>97</v>
      </c>
      <c r="F270" t="s">
        <v>13</v>
      </c>
      <c r="G270" t="s">
        <v>525</v>
      </c>
    </row>
    <row r="271" spans="1:7" x14ac:dyDescent="0.3">
      <c r="A271">
        <v>0</v>
      </c>
      <c r="B271" t="s">
        <v>312</v>
      </c>
      <c r="C271" t="s">
        <v>100</v>
      </c>
      <c r="D271" t="s">
        <v>2</v>
      </c>
      <c r="E271" t="s">
        <v>100</v>
      </c>
      <c r="F271" t="s">
        <v>13</v>
      </c>
      <c r="G271" t="s">
        <v>525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3"/>
  <sheetViews>
    <sheetView topLeftCell="A15" workbookViewId="0">
      <selection activeCell="E28" sqref="E28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0.59523809523809501</v>
      </c>
      <c r="B2" t="s">
        <v>57</v>
      </c>
      <c r="C2" t="s">
        <v>708</v>
      </c>
      <c r="D2" t="s">
        <v>2</v>
      </c>
      <c r="E2" s="19" t="s">
        <v>67</v>
      </c>
      <c r="F2" s="4" t="s">
        <v>13</v>
      </c>
      <c r="G2" t="s">
        <v>525</v>
      </c>
      <c r="H2" t="s">
        <v>626</v>
      </c>
    </row>
    <row r="3" spans="1:9" x14ac:dyDescent="0.3">
      <c r="A3">
        <v>9.9852071005917167E-3</v>
      </c>
      <c r="B3" t="s">
        <v>57</v>
      </c>
      <c r="C3" t="s">
        <v>709</v>
      </c>
      <c r="D3" t="s">
        <v>2</v>
      </c>
      <c r="E3" s="18" t="s">
        <v>371</v>
      </c>
      <c r="F3" t="s">
        <v>13</v>
      </c>
      <c r="G3" t="s">
        <v>525</v>
      </c>
      <c r="H3" t="s">
        <v>626</v>
      </c>
    </row>
    <row r="4" spans="1:9" x14ac:dyDescent="0.3">
      <c r="A4">
        <v>1.499835634451019E-2</v>
      </c>
      <c r="B4" t="s">
        <v>57</v>
      </c>
      <c r="C4" t="s">
        <v>666</v>
      </c>
      <c r="D4" t="s">
        <v>2</v>
      </c>
      <c r="E4" t="s">
        <v>149</v>
      </c>
      <c r="F4" t="s">
        <v>13</v>
      </c>
      <c r="G4" t="s">
        <v>525</v>
      </c>
      <c r="H4" t="s">
        <v>626</v>
      </c>
    </row>
    <row r="5" spans="1:9" x14ac:dyDescent="0.3">
      <c r="A5">
        <v>2.6997041420118344E-3</v>
      </c>
      <c r="B5" t="s">
        <v>57</v>
      </c>
      <c r="C5" t="s">
        <v>665</v>
      </c>
      <c r="D5" t="s">
        <v>2</v>
      </c>
      <c r="E5" t="s">
        <v>149</v>
      </c>
      <c r="F5" t="s">
        <v>13</v>
      </c>
      <c r="G5" t="s">
        <v>525</v>
      </c>
      <c r="H5" t="s">
        <v>626</v>
      </c>
    </row>
    <row r="6" spans="1:9" x14ac:dyDescent="0.3">
      <c r="A6">
        <v>3.8995726495726496E-2</v>
      </c>
      <c r="B6" t="s">
        <v>57</v>
      </c>
      <c r="C6" t="s">
        <v>710</v>
      </c>
      <c r="D6" t="s">
        <v>2</v>
      </c>
      <c r="E6" t="s">
        <v>149</v>
      </c>
      <c r="F6" t="s">
        <v>13</v>
      </c>
      <c r="G6" t="s">
        <v>525</v>
      </c>
      <c r="H6" t="s">
        <v>626</v>
      </c>
    </row>
    <row r="7" spans="1:9" x14ac:dyDescent="0.3">
      <c r="A7">
        <v>0.29996712689020383</v>
      </c>
      <c r="B7" t="s">
        <v>57</v>
      </c>
      <c r="C7" t="s">
        <v>711</v>
      </c>
      <c r="D7" t="s">
        <v>2</v>
      </c>
      <c r="E7" t="s">
        <v>149</v>
      </c>
      <c r="F7" t="s">
        <v>13</v>
      </c>
      <c r="G7" t="s">
        <v>525</v>
      </c>
      <c r="H7" t="s">
        <v>626</v>
      </c>
    </row>
    <row r="8" spans="1:9" x14ac:dyDescent="0.3">
      <c r="A8">
        <v>0.23997370151216305</v>
      </c>
      <c r="B8" t="s">
        <v>57</v>
      </c>
      <c r="C8" t="s">
        <v>712</v>
      </c>
      <c r="D8" t="s">
        <v>2</v>
      </c>
      <c r="E8" t="s">
        <v>149</v>
      </c>
      <c r="F8" t="s">
        <v>13</v>
      </c>
      <c r="G8" t="s">
        <v>525</v>
      </c>
      <c r="H8" t="s">
        <v>626</v>
      </c>
    </row>
    <row r="9" spans="1:9" x14ac:dyDescent="0.3">
      <c r="A9">
        <v>2.0011505588428667E-3</v>
      </c>
      <c r="B9" t="s">
        <v>57</v>
      </c>
      <c r="C9" t="s">
        <v>713</v>
      </c>
      <c r="D9" t="s">
        <v>2</v>
      </c>
      <c r="E9" t="s">
        <v>149</v>
      </c>
      <c r="F9" t="s">
        <v>13</v>
      </c>
      <c r="G9" t="s">
        <v>525</v>
      </c>
      <c r="H9" t="s">
        <v>626</v>
      </c>
    </row>
    <row r="10" spans="1:9" x14ac:dyDescent="0.3">
      <c r="A10">
        <v>7.4375410913872456E-3</v>
      </c>
      <c r="B10" t="s">
        <v>57</v>
      </c>
      <c r="C10" t="s">
        <v>714</v>
      </c>
      <c r="D10" t="s">
        <v>2</v>
      </c>
      <c r="E10" s="18" t="s">
        <v>345</v>
      </c>
      <c r="F10" t="s">
        <v>13</v>
      </c>
      <c r="G10" t="s">
        <v>525</v>
      </c>
      <c r="H10" t="s">
        <v>626</v>
      </c>
    </row>
    <row r="11" spans="1:9" x14ac:dyDescent="0.3">
      <c r="A11">
        <v>1.510490916333472E-3</v>
      </c>
      <c r="B11" t="s">
        <v>57</v>
      </c>
      <c r="C11" t="s">
        <v>715</v>
      </c>
      <c r="D11" t="s">
        <v>2</v>
      </c>
      <c r="E11" s="2" t="s">
        <v>322</v>
      </c>
      <c r="F11" t="s">
        <v>13</v>
      </c>
      <c r="G11" t="s">
        <v>525</v>
      </c>
      <c r="H11" t="s">
        <v>626</v>
      </c>
    </row>
    <row r="12" spans="1:9" x14ac:dyDescent="0.3">
      <c r="A12">
        <v>8.948032007720718E-3</v>
      </c>
      <c r="B12" t="s">
        <v>57</v>
      </c>
      <c r="C12" t="s">
        <v>614</v>
      </c>
      <c r="D12" t="s">
        <v>2</v>
      </c>
      <c r="E12" s="2" t="s">
        <v>322</v>
      </c>
      <c r="F12" t="s">
        <v>13</v>
      </c>
      <c r="G12" t="s">
        <v>525</v>
      </c>
      <c r="H12" t="s">
        <v>626</v>
      </c>
    </row>
    <row r="13" spans="1:9" x14ac:dyDescent="0.3">
      <c r="A13">
        <v>4.7619047619047619</v>
      </c>
      <c r="B13" t="s">
        <v>542</v>
      </c>
      <c r="C13" t="s">
        <v>648</v>
      </c>
      <c r="D13" t="s">
        <v>2</v>
      </c>
      <c r="E13" t="s">
        <v>111</v>
      </c>
      <c r="F13" t="s">
        <v>13</v>
      </c>
      <c r="G13" t="s">
        <v>525</v>
      </c>
      <c r="H13" t="s">
        <v>626</v>
      </c>
    </row>
    <row r="14" spans="1:9" x14ac:dyDescent="0.3">
      <c r="A14">
        <f>3.99819197896121/48</f>
        <v>8.3295666228358545E-2</v>
      </c>
      <c r="B14" t="s">
        <v>57</v>
      </c>
      <c r="C14" t="s">
        <v>671</v>
      </c>
      <c r="D14" t="s">
        <v>2</v>
      </c>
      <c r="E14" t="s">
        <v>398</v>
      </c>
      <c r="F14" t="s">
        <v>13</v>
      </c>
      <c r="G14" t="s">
        <v>525</v>
      </c>
      <c r="H14" t="s">
        <v>626</v>
      </c>
    </row>
    <row r="15" spans="1:9" x14ac:dyDescent="0.3">
      <c r="A15">
        <v>1.1012491781722601E-4</v>
      </c>
      <c r="B15" s="2" t="s">
        <v>319</v>
      </c>
      <c r="C15" t="s">
        <v>716</v>
      </c>
      <c r="D15" t="s">
        <v>2</v>
      </c>
      <c r="E15" s="18" t="s">
        <v>375</v>
      </c>
      <c r="F15" t="s">
        <v>13</v>
      </c>
      <c r="G15" t="s">
        <v>525</v>
      </c>
      <c r="H15" t="s">
        <v>626</v>
      </c>
    </row>
    <row r="16" spans="1:9" x14ac:dyDescent="0.3">
      <c r="A16" s="5">
        <f>$A$2*'[1]Ingot prod CN'!I12</f>
        <v>4.1656254579657963E-7</v>
      </c>
      <c r="B16" t="s">
        <v>314</v>
      </c>
      <c r="C16" t="s">
        <v>620</v>
      </c>
      <c r="D16" t="s">
        <v>2</v>
      </c>
      <c r="E16" s="2" t="s">
        <v>455</v>
      </c>
      <c r="F16" t="s">
        <v>13</v>
      </c>
      <c r="G16" t="s">
        <v>525</v>
      </c>
      <c r="H16" t="s">
        <v>621</v>
      </c>
    </row>
    <row r="17" spans="1:8" x14ac:dyDescent="0.3">
      <c r="A17" s="5">
        <f>$A$2*'[1]Ingot prod CN'!I13</f>
        <v>7.2793179377679282E-8</v>
      </c>
      <c r="B17" s="2" t="s">
        <v>314</v>
      </c>
      <c r="C17" t="s">
        <v>622</v>
      </c>
      <c r="D17" t="s">
        <v>2</v>
      </c>
      <c r="E17" s="2" t="s">
        <v>409</v>
      </c>
      <c r="F17" t="s">
        <v>13</v>
      </c>
      <c r="G17" t="s">
        <v>525</v>
      </c>
      <c r="H17" t="s">
        <v>621</v>
      </c>
    </row>
    <row r="18" spans="1:8" x14ac:dyDescent="0.3">
      <c r="A18" s="5">
        <f>$A$2*'[1]Ingot prod CN'!I14</f>
        <v>9.765513937975687E-8</v>
      </c>
      <c r="B18" s="2" t="s">
        <v>314</v>
      </c>
      <c r="C18" t="s">
        <v>623</v>
      </c>
      <c r="D18" t="s">
        <v>2</v>
      </c>
      <c r="E18" s="2" t="s">
        <v>443</v>
      </c>
      <c r="F18" t="s">
        <v>13</v>
      </c>
      <c r="G18" t="s">
        <v>525</v>
      </c>
      <c r="H18" t="s">
        <v>621</v>
      </c>
    </row>
    <row r="19" spans="1:8" x14ac:dyDescent="0.3">
      <c r="A19">
        <f>55.5555555555556*2.31803430690774E-09</f>
        <v>1.2877968371709678E-7</v>
      </c>
      <c r="B19" t="s">
        <v>314</v>
      </c>
      <c r="C19" t="s">
        <v>717</v>
      </c>
      <c r="D19" t="s">
        <v>2</v>
      </c>
      <c r="E19" t="s">
        <v>341</v>
      </c>
      <c r="F19" t="s">
        <v>13</v>
      </c>
      <c r="G19" t="s">
        <v>525</v>
      </c>
      <c r="H19" t="s">
        <v>626</v>
      </c>
    </row>
    <row r="20" spans="1:8" x14ac:dyDescent="0.3">
      <c r="A20">
        <v>1.2569416796599355E-7</v>
      </c>
      <c r="B20" t="s">
        <v>314</v>
      </c>
      <c r="C20" t="s">
        <v>654</v>
      </c>
      <c r="D20" t="s">
        <v>2</v>
      </c>
      <c r="E20" s="2" t="s">
        <v>449</v>
      </c>
      <c r="F20" t="s">
        <v>13</v>
      </c>
      <c r="G20" t="s">
        <v>525</v>
      </c>
      <c r="H20" t="s">
        <v>655</v>
      </c>
    </row>
    <row r="21" spans="1:8" x14ac:dyDescent="0.3">
      <c r="A21">
        <v>6.9131792381296471E-7</v>
      </c>
      <c r="B21" t="s">
        <v>314</v>
      </c>
      <c r="C21" t="s">
        <v>656</v>
      </c>
      <c r="D21" t="s">
        <v>2</v>
      </c>
      <c r="E21" s="2" t="s">
        <v>487</v>
      </c>
      <c r="F21" t="s">
        <v>13</v>
      </c>
      <c r="G21" t="s">
        <v>525</v>
      </c>
      <c r="H21" t="s">
        <v>655</v>
      </c>
    </row>
    <row r="22" spans="1:8" x14ac:dyDescent="0.3">
      <c r="A22">
        <v>7.2201068575814916E-7</v>
      </c>
      <c r="B22" t="s">
        <v>314</v>
      </c>
      <c r="C22" t="s">
        <v>495</v>
      </c>
      <c r="D22" t="s">
        <v>494</v>
      </c>
      <c r="E22" t="s">
        <v>495</v>
      </c>
      <c r="F22" t="s">
        <v>13</v>
      </c>
      <c r="G22" t="s">
        <v>525</v>
      </c>
      <c r="H22" t="s">
        <v>655</v>
      </c>
    </row>
    <row r="23" spans="1:8" x14ac:dyDescent="0.3">
      <c r="A23">
        <v>1.0640157474330618E-6</v>
      </c>
      <c r="B23" t="s">
        <v>314</v>
      </c>
      <c r="C23" t="s">
        <v>496</v>
      </c>
      <c r="D23" t="s">
        <v>494</v>
      </c>
      <c r="E23" s="2" t="s">
        <v>496</v>
      </c>
      <c r="F23" t="s">
        <v>13</v>
      </c>
      <c r="G23" t="s">
        <v>525</v>
      </c>
      <c r="H23" t="s">
        <v>655</v>
      </c>
    </row>
    <row r="24" spans="1:8" x14ac:dyDescent="0.3">
      <c r="A24">
        <v>7.6001124816647296E-7</v>
      </c>
      <c r="B24" t="s">
        <v>314</v>
      </c>
      <c r="C24" t="s">
        <v>497</v>
      </c>
      <c r="D24" t="s">
        <v>494</v>
      </c>
      <c r="E24" s="2" t="s">
        <v>497</v>
      </c>
      <c r="F24" t="s">
        <v>13</v>
      </c>
      <c r="G24" t="s">
        <v>525</v>
      </c>
      <c r="H24" t="s">
        <v>655</v>
      </c>
    </row>
    <row r="25" spans="1:8" x14ac:dyDescent="0.3">
      <c r="A25">
        <v>1.1157500364954052E-7</v>
      </c>
      <c r="B25" t="s">
        <v>507</v>
      </c>
      <c r="C25" t="s">
        <v>506</v>
      </c>
      <c r="D25" t="s">
        <v>498</v>
      </c>
      <c r="E25" s="2" t="s">
        <v>506</v>
      </c>
      <c r="F25" t="s">
        <v>13</v>
      </c>
      <c r="G25" t="s">
        <v>525</v>
      </c>
      <c r="H25" t="s">
        <v>655</v>
      </c>
    </row>
    <row r="26" spans="1:8" x14ac:dyDescent="0.3">
      <c r="A26">
        <v>0.22429857001972389</v>
      </c>
      <c r="B26" t="s">
        <v>57</v>
      </c>
      <c r="C26" t="s">
        <v>535</v>
      </c>
      <c r="D26" t="s">
        <v>498</v>
      </c>
      <c r="E26" t="s">
        <v>502</v>
      </c>
      <c r="F26" t="s">
        <v>13</v>
      </c>
      <c r="G26" t="s">
        <v>525</v>
      </c>
      <c r="H26" t="s">
        <v>658</v>
      </c>
    </row>
    <row r="27" spans="1:8" x14ac:dyDescent="0.3">
      <c r="A27">
        <v>1.9990959894806049E-5</v>
      </c>
      <c r="B27" t="s">
        <v>57</v>
      </c>
      <c r="C27" t="s">
        <v>500</v>
      </c>
      <c r="D27" t="s">
        <v>498</v>
      </c>
      <c r="E27" t="s">
        <v>500</v>
      </c>
      <c r="F27" t="s">
        <v>13</v>
      </c>
      <c r="G27" t="s">
        <v>525</v>
      </c>
      <c r="H27" t="s">
        <v>658</v>
      </c>
    </row>
    <row r="28" spans="1:8" x14ac:dyDescent="0.3">
      <c r="A28">
        <v>3.9981919789612104E-7</v>
      </c>
      <c r="B28" t="s">
        <v>57</v>
      </c>
      <c r="C28" t="s">
        <v>511</v>
      </c>
      <c r="D28" t="s">
        <v>498</v>
      </c>
      <c r="E28" t="s">
        <v>511</v>
      </c>
      <c r="F28" t="s">
        <v>13</v>
      </c>
      <c r="G28" t="s">
        <v>525</v>
      </c>
      <c r="H28" t="s">
        <v>658</v>
      </c>
    </row>
    <row r="29" spans="1:8" x14ac:dyDescent="0.3">
      <c r="A29">
        <v>0</v>
      </c>
      <c r="B29" t="s">
        <v>312</v>
      </c>
      <c r="C29" t="s">
        <v>483</v>
      </c>
      <c r="D29" t="s">
        <v>2</v>
      </c>
      <c r="E29" t="s">
        <v>483</v>
      </c>
      <c r="F29" t="s">
        <v>13</v>
      </c>
      <c r="G29" t="s">
        <v>525</v>
      </c>
    </row>
    <row r="30" spans="1:8" x14ac:dyDescent="0.3">
      <c r="A30">
        <v>0</v>
      </c>
      <c r="B30" t="s">
        <v>105</v>
      </c>
      <c r="C30" t="s">
        <v>125</v>
      </c>
      <c r="D30" t="s">
        <v>2</v>
      </c>
      <c r="E30" t="s">
        <v>125</v>
      </c>
      <c r="F30" t="s">
        <v>13</v>
      </c>
      <c r="G30" t="s">
        <v>525</v>
      </c>
    </row>
    <row r="31" spans="1:8" x14ac:dyDescent="0.3">
      <c r="A31">
        <v>0</v>
      </c>
      <c r="B31" t="s">
        <v>319</v>
      </c>
      <c r="C31" t="s">
        <v>461</v>
      </c>
      <c r="D31" t="s">
        <v>2</v>
      </c>
      <c r="E31" t="s">
        <v>461</v>
      </c>
      <c r="F31" t="s">
        <v>13</v>
      </c>
      <c r="G31" t="s">
        <v>525</v>
      </c>
    </row>
    <row r="32" spans="1:8" x14ac:dyDescent="0.3">
      <c r="A32">
        <v>0</v>
      </c>
      <c r="B32" t="s">
        <v>314</v>
      </c>
      <c r="C32" t="s">
        <v>395</v>
      </c>
      <c r="D32" t="s">
        <v>2</v>
      </c>
      <c r="E32" t="s">
        <v>395</v>
      </c>
      <c r="F32" t="s">
        <v>13</v>
      </c>
      <c r="G32" t="s">
        <v>525</v>
      </c>
    </row>
    <row r="33" spans="1:7" x14ac:dyDescent="0.3">
      <c r="A33">
        <v>0</v>
      </c>
      <c r="B33" t="s">
        <v>312</v>
      </c>
      <c r="C33" t="s">
        <v>399</v>
      </c>
      <c r="D33" t="s">
        <v>2</v>
      </c>
      <c r="E33" t="s">
        <v>399</v>
      </c>
      <c r="F33" t="s">
        <v>13</v>
      </c>
      <c r="G33" t="s">
        <v>525</v>
      </c>
    </row>
    <row r="34" spans="1:7" x14ac:dyDescent="0.3">
      <c r="A34">
        <v>0</v>
      </c>
      <c r="B34" t="s">
        <v>314</v>
      </c>
      <c r="C34" t="s">
        <v>432</v>
      </c>
      <c r="D34" t="s">
        <v>2</v>
      </c>
      <c r="E34" t="s">
        <v>432</v>
      </c>
      <c r="F34" t="s">
        <v>13</v>
      </c>
      <c r="G34" t="s">
        <v>525</v>
      </c>
    </row>
    <row r="35" spans="1:7" x14ac:dyDescent="0.3">
      <c r="A35">
        <v>0</v>
      </c>
      <c r="B35" t="s">
        <v>312</v>
      </c>
      <c r="C35" t="s">
        <v>325</v>
      </c>
      <c r="D35" t="s">
        <v>2</v>
      </c>
      <c r="E35" t="s">
        <v>325</v>
      </c>
      <c r="F35" t="s">
        <v>13</v>
      </c>
      <c r="G35" t="s">
        <v>525</v>
      </c>
    </row>
    <row r="36" spans="1:7" x14ac:dyDescent="0.3">
      <c r="A36">
        <v>0</v>
      </c>
      <c r="B36" t="s">
        <v>314</v>
      </c>
      <c r="C36" t="s">
        <v>372</v>
      </c>
      <c r="D36" t="s">
        <v>2</v>
      </c>
      <c r="E36" t="s">
        <v>372</v>
      </c>
      <c r="F36" t="s">
        <v>13</v>
      </c>
      <c r="G36" t="s">
        <v>525</v>
      </c>
    </row>
    <row r="37" spans="1:7" x14ac:dyDescent="0.3">
      <c r="A37">
        <v>0</v>
      </c>
      <c r="B37" t="s">
        <v>314</v>
      </c>
      <c r="C37" t="s">
        <v>260</v>
      </c>
      <c r="D37" t="s">
        <v>2</v>
      </c>
      <c r="E37" t="s">
        <v>260</v>
      </c>
      <c r="F37" t="s">
        <v>13</v>
      </c>
      <c r="G37" t="s">
        <v>525</v>
      </c>
    </row>
    <row r="38" spans="1:7" x14ac:dyDescent="0.3">
      <c r="A38">
        <v>0</v>
      </c>
      <c r="B38" t="s">
        <v>312</v>
      </c>
      <c r="C38" t="s">
        <v>330</v>
      </c>
      <c r="D38" t="s">
        <v>2</v>
      </c>
      <c r="E38" t="s">
        <v>330</v>
      </c>
      <c r="F38" t="s">
        <v>13</v>
      </c>
      <c r="G38" t="s">
        <v>525</v>
      </c>
    </row>
    <row r="39" spans="1:7" x14ac:dyDescent="0.3">
      <c r="A39">
        <v>0</v>
      </c>
      <c r="B39" t="s">
        <v>105</v>
      </c>
      <c r="C39" t="s">
        <v>401</v>
      </c>
      <c r="D39" t="s">
        <v>2</v>
      </c>
      <c r="E39" t="s">
        <v>401</v>
      </c>
      <c r="F39" t="s">
        <v>13</v>
      </c>
      <c r="G39" t="s">
        <v>525</v>
      </c>
    </row>
    <row r="40" spans="1:7" x14ac:dyDescent="0.3">
      <c r="A40">
        <v>0</v>
      </c>
      <c r="B40" t="s">
        <v>312</v>
      </c>
      <c r="C40" t="s">
        <v>416</v>
      </c>
      <c r="D40" t="s">
        <v>2</v>
      </c>
      <c r="E40" t="s">
        <v>416</v>
      </c>
      <c r="F40" t="s">
        <v>13</v>
      </c>
      <c r="G40" t="s">
        <v>525</v>
      </c>
    </row>
    <row r="41" spans="1:7" x14ac:dyDescent="0.3">
      <c r="A41">
        <v>0</v>
      </c>
      <c r="B41" t="s">
        <v>319</v>
      </c>
      <c r="C41" t="s">
        <v>375</v>
      </c>
      <c r="D41" t="s">
        <v>2</v>
      </c>
      <c r="E41" t="s">
        <v>375</v>
      </c>
      <c r="F41" t="s">
        <v>13</v>
      </c>
      <c r="G41" t="s">
        <v>525</v>
      </c>
    </row>
    <row r="42" spans="1:7" x14ac:dyDescent="0.3">
      <c r="A42">
        <v>0</v>
      </c>
      <c r="B42" t="s">
        <v>312</v>
      </c>
      <c r="C42" t="s">
        <v>333</v>
      </c>
      <c r="D42" t="s">
        <v>2</v>
      </c>
      <c r="E42" t="s">
        <v>333</v>
      </c>
      <c r="F42" t="s">
        <v>13</v>
      </c>
      <c r="G42" t="s">
        <v>525</v>
      </c>
    </row>
    <row r="43" spans="1:7" x14ac:dyDescent="0.3">
      <c r="A43">
        <v>0</v>
      </c>
      <c r="B43" t="s">
        <v>57</v>
      </c>
      <c r="C43" t="s">
        <v>118</v>
      </c>
      <c r="D43" t="s">
        <v>2</v>
      </c>
      <c r="E43" t="s">
        <v>118</v>
      </c>
      <c r="F43" t="s">
        <v>13</v>
      </c>
      <c r="G43" t="s">
        <v>525</v>
      </c>
    </row>
    <row r="44" spans="1:7" x14ac:dyDescent="0.3">
      <c r="A44">
        <v>0</v>
      </c>
      <c r="B44" t="s">
        <v>312</v>
      </c>
      <c r="C44" t="s">
        <v>406</v>
      </c>
      <c r="D44" t="s">
        <v>2</v>
      </c>
      <c r="E44" t="s">
        <v>406</v>
      </c>
      <c r="F44" t="s">
        <v>13</v>
      </c>
      <c r="G44" t="s">
        <v>525</v>
      </c>
    </row>
    <row r="45" spans="1:7" x14ac:dyDescent="0.3">
      <c r="A45">
        <v>0</v>
      </c>
      <c r="B45" t="s">
        <v>312</v>
      </c>
      <c r="C45" t="s">
        <v>315</v>
      </c>
      <c r="D45" t="s">
        <v>2</v>
      </c>
      <c r="E45" t="s">
        <v>315</v>
      </c>
      <c r="F45" t="s">
        <v>13</v>
      </c>
      <c r="G45" t="s">
        <v>525</v>
      </c>
    </row>
    <row r="46" spans="1:7" x14ac:dyDescent="0.3">
      <c r="A46">
        <v>0</v>
      </c>
      <c r="B46" t="s">
        <v>312</v>
      </c>
      <c r="C46" t="s">
        <v>358</v>
      </c>
      <c r="D46" t="s">
        <v>2</v>
      </c>
      <c r="E46" t="s">
        <v>358</v>
      </c>
      <c r="F46" t="s">
        <v>13</v>
      </c>
      <c r="G46" t="s">
        <v>525</v>
      </c>
    </row>
    <row r="47" spans="1:7" x14ac:dyDescent="0.3">
      <c r="A47">
        <v>0</v>
      </c>
      <c r="B47" t="s">
        <v>314</v>
      </c>
      <c r="C47" t="s">
        <v>444</v>
      </c>
      <c r="D47" t="s">
        <v>2</v>
      </c>
      <c r="E47" t="s">
        <v>444</v>
      </c>
      <c r="F47" t="s">
        <v>13</v>
      </c>
      <c r="G47" t="s">
        <v>525</v>
      </c>
    </row>
    <row r="48" spans="1:7" x14ac:dyDescent="0.3">
      <c r="A48">
        <v>0</v>
      </c>
      <c r="B48" t="s">
        <v>312</v>
      </c>
      <c r="C48" t="s">
        <v>439</v>
      </c>
      <c r="D48" t="s">
        <v>2</v>
      </c>
      <c r="E48" t="s">
        <v>439</v>
      </c>
      <c r="F48" t="s">
        <v>13</v>
      </c>
      <c r="G48" t="s">
        <v>525</v>
      </c>
    </row>
    <row r="49" spans="1:7" x14ac:dyDescent="0.3">
      <c r="A49">
        <v>0</v>
      </c>
      <c r="B49" t="s">
        <v>312</v>
      </c>
      <c r="C49" t="s">
        <v>381</v>
      </c>
      <c r="D49" t="s">
        <v>2</v>
      </c>
      <c r="E49" t="s">
        <v>381</v>
      </c>
      <c r="F49" t="s">
        <v>13</v>
      </c>
      <c r="G49" t="s">
        <v>525</v>
      </c>
    </row>
    <row r="50" spans="1:7" x14ac:dyDescent="0.3">
      <c r="A50">
        <v>0</v>
      </c>
      <c r="B50" t="s">
        <v>312</v>
      </c>
      <c r="C50" t="s">
        <v>418</v>
      </c>
      <c r="D50" t="s">
        <v>2</v>
      </c>
      <c r="E50" t="s">
        <v>418</v>
      </c>
      <c r="F50" t="s">
        <v>13</v>
      </c>
      <c r="G50" t="s">
        <v>525</v>
      </c>
    </row>
    <row r="51" spans="1:7" x14ac:dyDescent="0.3">
      <c r="A51">
        <v>0</v>
      </c>
      <c r="B51" t="s">
        <v>314</v>
      </c>
      <c r="C51" t="s">
        <v>465</v>
      </c>
      <c r="D51" t="s">
        <v>2</v>
      </c>
      <c r="E51" t="s">
        <v>465</v>
      </c>
      <c r="F51" t="s">
        <v>13</v>
      </c>
      <c r="G51" t="s">
        <v>525</v>
      </c>
    </row>
    <row r="52" spans="1:7" x14ac:dyDescent="0.3">
      <c r="A52">
        <v>0</v>
      </c>
      <c r="B52" t="s">
        <v>105</v>
      </c>
      <c r="C52" t="s">
        <v>103</v>
      </c>
      <c r="D52" t="s">
        <v>2</v>
      </c>
      <c r="E52" t="s">
        <v>103</v>
      </c>
      <c r="F52" t="s">
        <v>13</v>
      </c>
      <c r="G52" t="s">
        <v>525</v>
      </c>
    </row>
    <row r="53" spans="1:7" x14ac:dyDescent="0.3">
      <c r="A53">
        <v>0</v>
      </c>
      <c r="B53" t="s">
        <v>312</v>
      </c>
      <c r="C53" t="s">
        <v>320</v>
      </c>
      <c r="D53" t="s">
        <v>2</v>
      </c>
      <c r="E53" t="s">
        <v>320</v>
      </c>
      <c r="F53" t="s">
        <v>13</v>
      </c>
      <c r="G53" t="s">
        <v>525</v>
      </c>
    </row>
    <row r="54" spans="1:7" x14ac:dyDescent="0.3">
      <c r="A54">
        <v>0</v>
      </c>
      <c r="B54" t="s">
        <v>312</v>
      </c>
      <c r="C54" t="s">
        <v>334</v>
      </c>
      <c r="D54" t="s">
        <v>2</v>
      </c>
      <c r="E54" t="s">
        <v>334</v>
      </c>
      <c r="F54" t="s">
        <v>13</v>
      </c>
      <c r="G54" t="s">
        <v>525</v>
      </c>
    </row>
    <row r="55" spans="1:7" x14ac:dyDescent="0.3">
      <c r="A55">
        <v>0</v>
      </c>
      <c r="B55" t="s">
        <v>312</v>
      </c>
      <c r="C55" t="s">
        <v>435</v>
      </c>
      <c r="D55" t="s">
        <v>2</v>
      </c>
      <c r="E55" t="s">
        <v>435</v>
      </c>
      <c r="F55" t="s">
        <v>13</v>
      </c>
      <c r="G55" t="s">
        <v>525</v>
      </c>
    </row>
    <row r="56" spans="1:7" x14ac:dyDescent="0.3">
      <c r="A56">
        <v>0</v>
      </c>
      <c r="B56" t="s">
        <v>319</v>
      </c>
      <c r="C56" t="s">
        <v>456</v>
      </c>
      <c r="D56" t="s">
        <v>2</v>
      </c>
      <c r="E56" t="s">
        <v>456</v>
      </c>
      <c r="F56" t="s">
        <v>13</v>
      </c>
      <c r="G56" t="s">
        <v>525</v>
      </c>
    </row>
    <row r="57" spans="1:7" x14ac:dyDescent="0.3">
      <c r="A57">
        <v>0</v>
      </c>
      <c r="B57" t="s">
        <v>312</v>
      </c>
      <c r="C57" t="s">
        <v>474</v>
      </c>
      <c r="D57" t="s">
        <v>2</v>
      </c>
      <c r="E57" t="s">
        <v>474</v>
      </c>
      <c r="F57" t="s">
        <v>13</v>
      </c>
      <c r="G57" t="s">
        <v>525</v>
      </c>
    </row>
    <row r="58" spans="1:7" x14ac:dyDescent="0.3">
      <c r="A58">
        <v>0</v>
      </c>
      <c r="B58" t="s">
        <v>319</v>
      </c>
      <c r="C58" t="s">
        <v>318</v>
      </c>
      <c r="D58" t="s">
        <v>2</v>
      </c>
      <c r="E58" t="s">
        <v>318</v>
      </c>
      <c r="F58" t="s">
        <v>13</v>
      </c>
      <c r="G58" t="s">
        <v>525</v>
      </c>
    </row>
    <row r="59" spans="1:7" x14ac:dyDescent="0.3">
      <c r="A59">
        <v>0</v>
      </c>
      <c r="B59" t="s">
        <v>314</v>
      </c>
      <c r="C59" t="s">
        <v>475</v>
      </c>
      <c r="D59" t="s">
        <v>2</v>
      </c>
      <c r="E59" t="s">
        <v>475</v>
      </c>
      <c r="F59" t="s">
        <v>13</v>
      </c>
      <c r="G59" t="s">
        <v>525</v>
      </c>
    </row>
    <row r="60" spans="1:7" x14ac:dyDescent="0.3">
      <c r="A60">
        <v>0</v>
      </c>
      <c r="B60" t="s">
        <v>314</v>
      </c>
      <c r="C60" t="s">
        <v>449</v>
      </c>
      <c r="D60" t="s">
        <v>2</v>
      </c>
      <c r="E60" t="s">
        <v>449</v>
      </c>
      <c r="F60" t="s">
        <v>13</v>
      </c>
      <c r="G60" t="s">
        <v>525</v>
      </c>
    </row>
    <row r="61" spans="1:7" x14ac:dyDescent="0.3">
      <c r="A61">
        <v>0</v>
      </c>
      <c r="B61" t="s">
        <v>314</v>
      </c>
      <c r="C61" t="s">
        <v>176</v>
      </c>
      <c r="D61" t="s">
        <v>2</v>
      </c>
      <c r="E61" t="s">
        <v>176</v>
      </c>
      <c r="F61" t="s">
        <v>13</v>
      </c>
      <c r="G61" t="s">
        <v>525</v>
      </c>
    </row>
    <row r="62" spans="1:7" x14ac:dyDescent="0.3">
      <c r="A62">
        <v>0</v>
      </c>
      <c r="B62" t="s">
        <v>312</v>
      </c>
      <c r="C62" t="s">
        <v>388</v>
      </c>
      <c r="D62" t="s">
        <v>2</v>
      </c>
      <c r="E62" t="s">
        <v>388</v>
      </c>
      <c r="F62" t="s">
        <v>13</v>
      </c>
      <c r="G62" t="s">
        <v>525</v>
      </c>
    </row>
    <row r="63" spans="1:7" x14ac:dyDescent="0.3">
      <c r="A63">
        <v>0</v>
      </c>
      <c r="B63" t="s">
        <v>319</v>
      </c>
      <c r="C63" t="s">
        <v>429</v>
      </c>
      <c r="D63" t="s">
        <v>2</v>
      </c>
      <c r="E63" t="s">
        <v>429</v>
      </c>
      <c r="F63" t="s">
        <v>13</v>
      </c>
      <c r="G63" t="s">
        <v>525</v>
      </c>
    </row>
    <row r="64" spans="1:7" x14ac:dyDescent="0.3">
      <c r="A64">
        <v>0</v>
      </c>
      <c r="B64" t="s">
        <v>312</v>
      </c>
      <c r="C64" t="s">
        <v>272</v>
      </c>
      <c r="D64" t="s">
        <v>2</v>
      </c>
      <c r="E64" t="s">
        <v>272</v>
      </c>
      <c r="F64" t="s">
        <v>13</v>
      </c>
      <c r="G64" t="s">
        <v>525</v>
      </c>
    </row>
    <row r="65" spans="1:7" x14ac:dyDescent="0.3">
      <c r="A65">
        <v>0</v>
      </c>
      <c r="B65" t="s">
        <v>312</v>
      </c>
      <c r="C65" t="s">
        <v>410</v>
      </c>
      <c r="D65" t="s">
        <v>2</v>
      </c>
      <c r="E65" t="s">
        <v>410</v>
      </c>
      <c r="F65" t="s">
        <v>13</v>
      </c>
      <c r="G65" t="s">
        <v>525</v>
      </c>
    </row>
    <row r="66" spans="1:7" x14ac:dyDescent="0.3">
      <c r="A66">
        <v>0</v>
      </c>
      <c r="B66" t="s">
        <v>319</v>
      </c>
      <c r="C66" t="s">
        <v>363</v>
      </c>
      <c r="D66" t="s">
        <v>2</v>
      </c>
      <c r="E66" t="s">
        <v>363</v>
      </c>
      <c r="F66" t="s">
        <v>13</v>
      </c>
      <c r="G66" t="s">
        <v>525</v>
      </c>
    </row>
    <row r="67" spans="1:7" x14ac:dyDescent="0.3">
      <c r="A67">
        <v>0</v>
      </c>
      <c r="B67" t="s">
        <v>312</v>
      </c>
      <c r="C67" t="s">
        <v>382</v>
      </c>
      <c r="D67" t="s">
        <v>2</v>
      </c>
      <c r="E67" t="s">
        <v>382</v>
      </c>
      <c r="F67" t="s">
        <v>13</v>
      </c>
      <c r="G67" t="s">
        <v>525</v>
      </c>
    </row>
    <row r="68" spans="1:7" x14ac:dyDescent="0.3">
      <c r="A68">
        <v>0</v>
      </c>
      <c r="B68" t="s">
        <v>312</v>
      </c>
      <c r="C68" t="s">
        <v>424</v>
      </c>
      <c r="D68" t="s">
        <v>2</v>
      </c>
      <c r="E68" t="s">
        <v>424</v>
      </c>
      <c r="F68" t="s">
        <v>13</v>
      </c>
      <c r="G68" t="s">
        <v>525</v>
      </c>
    </row>
    <row r="69" spans="1:7" x14ac:dyDescent="0.3">
      <c r="A69">
        <v>0</v>
      </c>
      <c r="B69" t="s">
        <v>314</v>
      </c>
      <c r="C69" t="s">
        <v>351</v>
      </c>
      <c r="D69" t="s">
        <v>2</v>
      </c>
      <c r="E69" t="s">
        <v>351</v>
      </c>
      <c r="F69" t="s">
        <v>13</v>
      </c>
      <c r="G69" t="s">
        <v>525</v>
      </c>
    </row>
    <row r="70" spans="1:7" x14ac:dyDescent="0.3">
      <c r="A70">
        <v>0</v>
      </c>
      <c r="B70" t="s">
        <v>312</v>
      </c>
      <c r="C70" t="s">
        <v>347</v>
      </c>
      <c r="D70" t="s">
        <v>2</v>
      </c>
      <c r="E70" t="s">
        <v>347</v>
      </c>
      <c r="F70" t="s">
        <v>13</v>
      </c>
      <c r="G70" t="s">
        <v>525</v>
      </c>
    </row>
    <row r="71" spans="1:7" x14ac:dyDescent="0.3">
      <c r="A71">
        <v>0</v>
      </c>
      <c r="B71" t="s">
        <v>314</v>
      </c>
      <c r="C71" t="s">
        <v>453</v>
      </c>
      <c r="D71" t="s">
        <v>2</v>
      </c>
      <c r="E71" t="s">
        <v>453</v>
      </c>
      <c r="F71" t="s">
        <v>13</v>
      </c>
      <c r="G71" t="s">
        <v>525</v>
      </c>
    </row>
    <row r="72" spans="1:7" x14ac:dyDescent="0.3">
      <c r="A72">
        <v>0</v>
      </c>
      <c r="B72" t="s">
        <v>319</v>
      </c>
      <c r="C72" t="s">
        <v>457</v>
      </c>
      <c r="D72" t="s">
        <v>2</v>
      </c>
      <c r="E72" t="s">
        <v>457</v>
      </c>
      <c r="F72" t="s">
        <v>13</v>
      </c>
      <c r="G72" t="s">
        <v>525</v>
      </c>
    </row>
    <row r="73" spans="1:7" x14ac:dyDescent="0.3">
      <c r="A73">
        <v>0</v>
      </c>
      <c r="B73" t="s">
        <v>312</v>
      </c>
      <c r="C73" t="s">
        <v>485</v>
      </c>
      <c r="D73" t="s">
        <v>2</v>
      </c>
      <c r="E73" t="s">
        <v>485</v>
      </c>
      <c r="F73" t="s">
        <v>13</v>
      </c>
      <c r="G73" t="s">
        <v>525</v>
      </c>
    </row>
    <row r="74" spans="1:7" x14ac:dyDescent="0.3">
      <c r="A74">
        <v>0</v>
      </c>
      <c r="B74" t="s">
        <v>312</v>
      </c>
      <c r="C74" t="s">
        <v>355</v>
      </c>
      <c r="D74" t="s">
        <v>2</v>
      </c>
      <c r="E74" t="s">
        <v>355</v>
      </c>
      <c r="F74" t="s">
        <v>13</v>
      </c>
      <c r="G74" t="s">
        <v>525</v>
      </c>
    </row>
    <row r="75" spans="1:7" x14ac:dyDescent="0.3">
      <c r="A75">
        <v>0</v>
      </c>
      <c r="B75" t="s">
        <v>312</v>
      </c>
      <c r="C75" t="s">
        <v>338</v>
      </c>
      <c r="D75" t="s">
        <v>2</v>
      </c>
      <c r="E75" t="s">
        <v>338</v>
      </c>
      <c r="F75" t="s">
        <v>13</v>
      </c>
      <c r="G75" t="s">
        <v>525</v>
      </c>
    </row>
    <row r="76" spans="1:7" x14ac:dyDescent="0.3">
      <c r="A76">
        <v>0</v>
      </c>
      <c r="B76" t="s">
        <v>312</v>
      </c>
      <c r="C76" t="s">
        <v>394</v>
      </c>
      <c r="D76" t="s">
        <v>2</v>
      </c>
      <c r="E76" t="s">
        <v>394</v>
      </c>
      <c r="F76" t="s">
        <v>13</v>
      </c>
      <c r="G76" t="s">
        <v>525</v>
      </c>
    </row>
    <row r="77" spans="1:7" x14ac:dyDescent="0.3">
      <c r="A77">
        <v>0</v>
      </c>
      <c r="B77" t="s">
        <v>312</v>
      </c>
      <c r="C77" t="s">
        <v>438</v>
      </c>
      <c r="D77" t="s">
        <v>2</v>
      </c>
      <c r="E77" t="s">
        <v>438</v>
      </c>
      <c r="F77" t="s">
        <v>13</v>
      </c>
      <c r="G77" t="s">
        <v>525</v>
      </c>
    </row>
    <row r="78" spans="1:7" x14ac:dyDescent="0.3">
      <c r="A78">
        <v>0</v>
      </c>
      <c r="B78" t="s">
        <v>312</v>
      </c>
      <c r="C78" t="s">
        <v>486</v>
      </c>
      <c r="D78" t="s">
        <v>2</v>
      </c>
      <c r="E78" t="s">
        <v>486</v>
      </c>
      <c r="F78" t="s">
        <v>13</v>
      </c>
      <c r="G78" t="s">
        <v>525</v>
      </c>
    </row>
    <row r="79" spans="1:7" x14ac:dyDescent="0.3">
      <c r="A79">
        <v>0</v>
      </c>
      <c r="B79" t="s">
        <v>319</v>
      </c>
      <c r="C79" t="s">
        <v>419</v>
      </c>
      <c r="D79" t="s">
        <v>2</v>
      </c>
      <c r="E79" t="s">
        <v>419</v>
      </c>
      <c r="F79" t="s">
        <v>13</v>
      </c>
      <c r="G79" t="s">
        <v>525</v>
      </c>
    </row>
    <row r="80" spans="1:7" x14ac:dyDescent="0.3">
      <c r="A80">
        <v>0</v>
      </c>
      <c r="B80" t="s">
        <v>57</v>
      </c>
      <c r="C80" t="s">
        <v>353</v>
      </c>
      <c r="D80" t="s">
        <v>2</v>
      </c>
      <c r="E80" t="s">
        <v>353</v>
      </c>
      <c r="F80" t="s">
        <v>13</v>
      </c>
      <c r="G80" t="s">
        <v>525</v>
      </c>
    </row>
    <row r="81" spans="1:7" x14ac:dyDescent="0.3">
      <c r="A81">
        <v>0</v>
      </c>
      <c r="B81" t="s">
        <v>319</v>
      </c>
      <c r="C81" t="s">
        <v>489</v>
      </c>
      <c r="D81" t="s">
        <v>2</v>
      </c>
      <c r="E81" t="s">
        <v>489</v>
      </c>
      <c r="F81" t="s">
        <v>13</v>
      </c>
      <c r="G81" t="s">
        <v>525</v>
      </c>
    </row>
    <row r="82" spans="1:7" x14ac:dyDescent="0.3">
      <c r="A82">
        <v>0</v>
      </c>
      <c r="B82" t="s">
        <v>312</v>
      </c>
      <c r="C82" t="s">
        <v>386</v>
      </c>
      <c r="D82" t="s">
        <v>2</v>
      </c>
      <c r="E82" t="s">
        <v>386</v>
      </c>
      <c r="F82" t="s">
        <v>13</v>
      </c>
      <c r="G82" t="s">
        <v>525</v>
      </c>
    </row>
    <row r="83" spans="1:7" x14ac:dyDescent="0.3">
      <c r="A83">
        <v>0</v>
      </c>
      <c r="B83" t="s">
        <v>319</v>
      </c>
      <c r="C83" t="s">
        <v>389</v>
      </c>
      <c r="D83" t="s">
        <v>2</v>
      </c>
      <c r="E83" t="s">
        <v>389</v>
      </c>
      <c r="F83" t="s">
        <v>13</v>
      </c>
      <c r="G83" t="s">
        <v>525</v>
      </c>
    </row>
    <row r="84" spans="1:7" x14ac:dyDescent="0.3">
      <c r="A84">
        <v>0</v>
      </c>
      <c r="B84" t="s">
        <v>312</v>
      </c>
      <c r="C84" t="s">
        <v>340</v>
      </c>
      <c r="D84" t="s">
        <v>2</v>
      </c>
      <c r="E84" t="s">
        <v>340</v>
      </c>
      <c r="F84" t="s">
        <v>13</v>
      </c>
      <c r="G84" t="s">
        <v>525</v>
      </c>
    </row>
    <row r="85" spans="1:7" x14ac:dyDescent="0.3">
      <c r="A85">
        <v>0</v>
      </c>
      <c r="B85" t="s">
        <v>312</v>
      </c>
      <c r="C85" t="s">
        <v>368</v>
      </c>
      <c r="D85" t="s">
        <v>2</v>
      </c>
      <c r="E85" t="s">
        <v>368</v>
      </c>
      <c r="F85" t="s">
        <v>13</v>
      </c>
      <c r="G85" t="s">
        <v>525</v>
      </c>
    </row>
    <row r="86" spans="1:7" x14ac:dyDescent="0.3">
      <c r="A86">
        <v>0</v>
      </c>
      <c r="B86" t="s">
        <v>312</v>
      </c>
      <c r="C86" t="s">
        <v>328</v>
      </c>
      <c r="D86" t="s">
        <v>2</v>
      </c>
      <c r="E86" t="s">
        <v>328</v>
      </c>
      <c r="F86" t="s">
        <v>13</v>
      </c>
      <c r="G86" t="s">
        <v>525</v>
      </c>
    </row>
    <row r="87" spans="1:7" x14ac:dyDescent="0.3">
      <c r="A87">
        <v>0</v>
      </c>
      <c r="B87" t="s">
        <v>312</v>
      </c>
      <c r="C87" t="s">
        <v>479</v>
      </c>
      <c r="D87" t="s">
        <v>2</v>
      </c>
      <c r="E87" t="s">
        <v>479</v>
      </c>
      <c r="F87" t="s">
        <v>13</v>
      </c>
      <c r="G87" t="s">
        <v>525</v>
      </c>
    </row>
    <row r="88" spans="1:7" x14ac:dyDescent="0.3">
      <c r="A88">
        <v>0</v>
      </c>
      <c r="B88" t="s">
        <v>57</v>
      </c>
      <c r="C88" t="s">
        <v>116</v>
      </c>
      <c r="D88" t="s">
        <v>2</v>
      </c>
      <c r="E88" t="s">
        <v>116</v>
      </c>
      <c r="F88" t="s">
        <v>13</v>
      </c>
      <c r="G88" t="s">
        <v>525</v>
      </c>
    </row>
    <row r="89" spans="1:7" x14ac:dyDescent="0.3">
      <c r="A89">
        <v>0</v>
      </c>
      <c r="B89" t="s">
        <v>312</v>
      </c>
      <c r="C89" t="s">
        <v>352</v>
      </c>
      <c r="D89" t="s">
        <v>2</v>
      </c>
      <c r="E89" t="s">
        <v>352</v>
      </c>
      <c r="F89" t="s">
        <v>13</v>
      </c>
      <c r="G89" t="s">
        <v>525</v>
      </c>
    </row>
    <row r="90" spans="1:7" x14ac:dyDescent="0.3">
      <c r="A90">
        <v>0</v>
      </c>
      <c r="B90" t="s">
        <v>312</v>
      </c>
      <c r="C90" t="s">
        <v>417</v>
      </c>
      <c r="D90" t="s">
        <v>2</v>
      </c>
      <c r="E90" t="s">
        <v>417</v>
      </c>
      <c r="F90" t="s">
        <v>13</v>
      </c>
      <c r="G90" t="s">
        <v>525</v>
      </c>
    </row>
    <row r="91" spans="1:7" x14ac:dyDescent="0.3">
      <c r="A91">
        <v>0</v>
      </c>
      <c r="B91" t="s">
        <v>312</v>
      </c>
      <c r="C91" t="s">
        <v>447</v>
      </c>
      <c r="D91" t="s">
        <v>2</v>
      </c>
      <c r="E91" t="s">
        <v>447</v>
      </c>
      <c r="F91" t="s">
        <v>13</v>
      </c>
      <c r="G91" t="s">
        <v>525</v>
      </c>
    </row>
    <row r="92" spans="1:7" x14ac:dyDescent="0.3">
      <c r="A92">
        <v>0</v>
      </c>
      <c r="B92" t="s">
        <v>319</v>
      </c>
      <c r="C92" t="s">
        <v>329</v>
      </c>
      <c r="D92" t="s">
        <v>2</v>
      </c>
      <c r="E92" t="s">
        <v>329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252</v>
      </c>
      <c r="D93" t="s">
        <v>2</v>
      </c>
      <c r="E93" t="s">
        <v>252</v>
      </c>
      <c r="F93" t="s">
        <v>13</v>
      </c>
      <c r="G93" t="s">
        <v>525</v>
      </c>
    </row>
    <row r="94" spans="1:7" x14ac:dyDescent="0.3">
      <c r="A94">
        <v>0</v>
      </c>
      <c r="B94" t="s">
        <v>312</v>
      </c>
      <c r="C94" t="s">
        <v>317</v>
      </c>
      <c r="D94" t="s">
        <v>2</v>
      </c>
      <c r="E94" t="s">
        <v>317</v>
      </c>
      <c r="F94" t="s">
        <v>13</v>
      </c>
      <c r="G94" t="s">
        <v>525</v>
      </c>
    </row>
    <row r="95" spans="1:7" x14ac:dyDescent="0.3">
      <c r="A95">
        <v>0</v>
      </c>
      <c r="B95" t="s">
        <v>312</v>
      </c>
      <c r="C95" t="s">
        <v>436</v>
      </c>
      <c r="D95" t="s">
        <v>2</v>
      </c>
      <c r="E95" t="s">
        <v>436</v>
      </c>
      <c r="F95" t="s">
        <v>13</v>
      </c>
      <c r="G95" t="s">
        <v>525</v>
      </c>
    </row>
    <row r="96" spans="1:7" x14ac:dyDescent="0.3">
      <c r="A96">
        <v>0</v>
      </c>
      <c r="B96" t="s">
        <v>319</v>
      </c>
      <c r="C96" t="s">
        <v>490</v>
      </c>
      <c r="D96" t="s">
        <v>2</v>
      </c>
      <c r="E96" t="s">
        <v>490</v>
      </c>
      <c r="F96" t="s">
        <v>13</v>
      </c>
      <c r="G96" t="s">
        <v>525</v>
      </c>
    </row>
    <row r="97" spans="1:7" x14ac:dyDescent="0.3">
      <c r="A97">
        <v>0</v>
      </c>
      <c r="B97" t="s">
        <v>312</v>
      </c>
      <c r="C97" t="s">
        <v>391</v>
      </c>
      <c r="D97" t="s">
        <v>2</v>
      </c>
      <c r="E97" t="s">
        <v>391</v>
      </c>
      <c r="F97" t="s">
        <v>13</v>
      </c>
      <c r="G97" t="s">
        <v>525</v>
      </c>
    </row>
    <row r="98" spans="1:7" x14ac:dyDescent="0.3">
      <c r="A98">
        <v>0</v>
      </c>
      <c r="B98" t="s">
        <v>312</v>
      </c>
      <c r="C98" t="s">
        <v>235</v>
      </c>
      <c r="D98" t="s">
        <v>2</v>
      </c>
      <c r="E98" t="s">
        <v>235</v>
      </c>
      <c r="F98" t="s">
        <v>13</v>
      </c>
      <c r="G98" t="s">
        <v>525</v>
      </c>
    </row>
    <row r="99" spans="1:7" x14ac:dyDescent="0.3">
      <c r="A99">
        <v>0</v>
      </c>
      <c r="B99" t="s">
        <v>312</v>
      </c>
      <c r="C99" t="s">
        <v>493</v>
      </c>
      <c r="D99" t="s">
        <v>2</v>
      </c>
      <c r="E99" t="s">
        <v>493</v>
      </c>
      <c r="F99" t="s">
        <v>13</v>
      </c>
      <c r="G99" t="s">
        <v>525</v>
      </c>
    </row>
    <row r="100" spans="1:7" x14ac:dyDescent="0.3">
      <c r="A100">
        <v>0</v>
      </c>
      <c r="B100" t="s">
        <v>312</v>
      </c>
      <c r="C100" t="s">
        <v>335</v>
      </c>
      <c r="D100" t="s">
        <v>2</v>
      </c>
      <c r="E100" t="s">
        <v>335</v>
      </c>
      <c r="F100" t="s">
        <v>13</v>
      </c>
      <c r="G100" t="s">
        <v>525</v>
      </c>
    </row>
    <row r="101" spans="1:7" x14ac:dyDescent="0.3">
      <c r="A101">
        <v>0</v>
      </c>
      <c r="B101" t="s">
        <v>312</v>
      </c>
      <c r="C101" t="s">
        <v>354</v>
      </c>
      <c r="D101" t="s">
        <v>2</v>
      </c>
      <c r="E101" t="s">
        <v>354</v>
      </c>
      <c r="F101" t="s">
        <v>13</v>
      </c>
      <c r="G101" t="s">
        <v>525</v>
      </c>
    </row>
    <row r="102" spans="1:7" x14ac:dyDescent="0.3">
      <c r="A102">
        <v>0</v>
      </c>
      <c r="B102" t="s">
        <v>319</v>
      </c>
      <c r="C102" t="s">
        <v>360</v>
      </c>
      <c r="D102" t="s">
        <v>2</v>
      </c>
      <c r="E102" t="s">
        <v>360</v>
      </c>
      <c r="F102" t="s">
        <v>13</v>
      </c>
      <c r="G102" t="s">
        <v>525</v>
      </c>
    </row>
    <row r="103" spans="1:7" x14ac:dyDescent="0.3">
      <c r="A103">
        <v>0</v>
      </c>
      <c r="B103" t="s">
        <v>314</v>
      </c>
      <c r="C103" t="s">
        <v>356</v>
      </c>
      <c r="D103" t="s">
        <v>2</v>
      </c>
      <c r="E103" t="s">
        <v>356</v>
      </c>
      <c r="F103" t="s">
        <v>13</v>
      </c>
      <c r="G103" t="s">
        <v>525</v>
      </c>
    </row>
    <row r="104" spans="1:7" x14ac:dyDescent="0.3">
      <c r="A104">
        <v>0</v>
      </c>
      <c r="B104" t="s">
        <v>312</v>
      </c>
      <c r="C104" t="s">
        <v>405</v>
      </c>
      <c r="D104" t="s">
        <v>2</v>
      </c>
      <c r="E104" t="s">
        <v>405</v>
      </c>
      <c r="F104" t="s">
        <v>13</v>
      </c>
      <c r="G104" t="s">
        <v>525</v>
      </c>
    </row>
    <row r="105" spans="1:7" x14ac:dyDescent="0.3">
      <c r="A105">
        <v>0</v>
      </c>
      <c r="B105" t="s">
        <v>312</v>
      </c>
      <c r="C105" t="s">
        <v>471</v>
      </c>
      <c r="D105" t="s">
        <v>2</v>
      </c>
      <c r="E105" t="s">
        <v>471</v>
      </c>
      <c r="F105" t="s">
        <v>13</v>
      </c>
      <c r="G105" t="s">
        <v>525</v>
      </c>
    </row>
    <row r="106" spans="1:7" x14ac:dyDescent="0.3">
      <c r="A106">
        <v>0</v>
      </c>
      <c r="B106" t="s">
        <v>319</v>
      </c>
      <c r="C106" t="s">
        <v>421</v>
      </c>
      <c r="D106" t="s">
        <v>2</v>
      </c>
      <c r="E106" t="s">
        <v>421</v>
      </c>
      <c r="F106" t="s">
        <v>13</v>
      </c>
      <c r="G106" t="s">
        <v>525</v>
      </c>
    </row>
    <row r="107" spans="1:7" x14ac:dyDescent="0.3">
      <c r="A107">
        <v>0</v>
      </c>
      <c r="B107" t="s">
        <v>312</v>
      </c>
      <c r="C107" t="s">
        <v>321</v>
      </c>
      <c r="D107" t="s">
        <v>2</v>
      </c>
      <c r="E107" t="s">
        <v>321</v>
      </c>
      <c r="F107" t="s">
        <v>13</v>
      </c>
      <c r="G107" t="s">
        <v>525</v>
      </c>
    </row>
    <row r="108" spans="1:7" x14ac:dyDescent="0.3">
      <c r="A108">
        <v>0</v>
      </c>
      <c r="B108" t="s">
        <v>105</v>
      </c>
      <c r="C108" t="s">
        <v>113</v>
      </c>
      <c r="D108" t="s">
        <v>2</v>
      </c>
      <c r="E108" t="s">
        <v>113</v>
      </c>
      <c r="F108" t="s">
        <v>13</v>
      </c>
      <c r="G108" t="s">
        <v>525</v>
      </c>
    </row>
    <row r="109" spans="1:7" x14ac:dyDescent="0.3">
      <c r="A109">
        <v>0</v>
      </c>
      <c r="B109" t="s">
        <v>312</v>
      </c>
      <c r="C109" t="s">
        <v>348</v>
      </c>
      <c r="D109" t="s">
        <v>2</v>
      </c>
      <c r="E109" t="s">
        <v>348</v>
      </c>
      <c r="F109" t="s">
        <v>13</v>
      </c>
      <c r="G109" t="s">
        <v>525</v>
      </c>
    </row>
    <row r="110" spans="1:7" x14ac:dyDescent="0.3">
      <c r="A110">
        <v>0</v>
      </c>
      <c r="B110" t="s">
        <v>105</v>
      </c>
      <c r="C110" t="s">
        <v>469</v>
      </c>
      <c r="D110" t="s">
        <v>2</v>
      </c>
      <c r="E110" t="s">
        <v>469</v>
      </c>
      <c r="F110" t="s">
        <v>13</v>
      </c>
      <c r="G110" t="s">
        <v>525</v>
      </c>
    </row>
    <row r="111" spans="1:7" x14ac:dyDescent="0.3">
      <c r="A111">
        <v>0</v>
      </c>
      <c r="B111" t="s">
        <v>314</v>
      </c>
      <c r="C111" t="s">
        <v>481</v>
      </c>
      <c r="D111" t="s">
        <v>2</v>
      </c>
      <c r="E111" t="s">
        <v>481</v>
      </c>
      <c r="F111" t="s">
        <v>13</v>
      </c>
      <c r="G111" t="s">
        <v>525</v>
      </c>
    </row>
    <row r="112" spans="1:7" x14ac:dyDescent="0.3">
      <c r="A112">
        <v>0</v>
      </c>
      <c r="B112" t="s">
        <v>312</v>
      </c>
      <c r="C112" t="s">
        <v>398</v>
      </c>
      <c r="D112" t="s">
        <v>2</v>
      </c>
      <c r="E112" t="s">
        <v>398</v>
      </c>
      <c r="F112" t="s">
        <v>13</v>
      </c>
      <c r="G112" t="s">
        <v>525</v>
      </c>
    </row>
    <row r="113" spans="1:7" x14ac:dyDescent="0.3">
      <c r="A113">
        <v>0</v>
      </c>
      <c r="B113" t="s">
        <v>314</v>
      </c>
      <c r="C113" t="s">
        <v>342</v>
      </c>
      <c r="D113" t="s">
        <v>2</v>
      </c>
      <c r="E113" t="s">
        <v>342</v>
      </c>
      <c r="F113" t="s">
        <v>13</v>
      </c>
      <c r="G113" t="s">
        <v>525</v>
      </c>
    </row>
    <row r="114" spans="1:7" x14ac:dyDescent="0.3">
      <c r="A114">
        <v>0</v>
      </c>
      <c r="B114" t="s">
        <v>312</v>
      </c>
      <c r="C114" t="s">
        <v>322</v>
      </c>
      <c r="D114" t="s">
        <v>2</v>
      </c>
      <c r="E114" t="s">
        <v>322</v>
      </c>
      <c r="F114" t="s">
        <v>13</v>
      </c>
      <c r="G114" t="s">
        <v>525</v>
      </c>
    </row>
    <row r="115" spans="1:7" x14ac:dyDescent="0.3">
      <c r="A115">
        <v>0</v>
      </c>
      <c r="B115" t="s">
        <v>314</v>
      </c>
      <c r="C115" t="s">
        <v>409</v>
      </c>
      <c r="D115" t="s">
        <v>2</v>
      </c>
      <c r="E115" t="s">
        <v>409</v>
      </c>
      <c r="F115" t="s">
        <v>13</v>
      </c>
      <c r="G115" t="s">
        <v>525</v>
      </c>
    </row>
    <row r="116" spans="1:7" x14ac:dyDescent="0.3">
      <c r="A116">
        <v>0</v>
      </c>
      <c r="B116" t="s">
        <v>314</v>
      </c>
      <c r="C116" t="s">
        <v>480</v>
      </c>
      <c r="D116" t="s">
        <v>2</v>
      </c>
      <c r="E116" t="s">
        <v>480</v>
      </c>
      <c r="F116" t="s">
        <v>13</v>
      </c>
      <c r="G116" t="s">
        <v>525</v>
      </c>
    </row>
    <row r="117" spans="1:7" x14ac:dyDescent="0.3">
      <c r="A117">
        <v>0</v>
      </c>
      <c r="B117" t="s">
        <v>105</v>
      </c>
      <c r="C117" t="s">
        <v>121</v>
      </c>
      <c r="D117" t="s">
        <v>2</v>
      </c>
      <c r="E117" t="s">
        <v>121</v>
      </c>
      <c r="F117" t="s">
        <v>13</v>
      </c>
      <c r="G117" t="s">
        <v>525</v>
      </c>
    </row>
    <row r="118" spans="1:7" x14ac:dyDescent="0.3">
      <c r="A118">
        <v>0</v>
      </c>
      <c r="B118" t="s">
        <v>312</v>
      </c>
      <c r="C118" t="s">
        <v>359</v>
      </c>
      <c r="D118" t="s">
        <v>2</v>
      </c>
      <c r="E118" t="s">
        <v>359</v>
      </c>
      <c r="F118" t="s">
        <v>13</v>
      </c>
      <c r="G118" t="s">
        <v>525</v>
      </c>
    </row>
    <row r="119" spans="1:7" x14ac:dyDescent="0.3">
      <c r="A119">
        <v>0</v>
      </c>
      <c r="B119" t="s">
        <v>319</v>
      </c>
      <c r="C119" t="s">
        <v>468</v>
      </c>
      <c r="D119" t="s">
        <v>2</v>
      </c>
      <c r="E119" t="s">
        <v>468</v>
      </c>
      <c r="F119" t="s">
        <v>13</v>
      </c>
      <c r="G119" t="s">
        <v>525</v>
      </c>
    </row>
    <row r="120" spans="1:7" x14ac:dyDescent="0.3">
      <c r="A120">
        <v>0</v>
      </c>
      <c r="B120" t="s">
        <v>319</v>
      </c>
      <c r="C120" t="s">
        <v>458</v>
      </c>
      <c r="D120" t="s">
        <v>2</v>
      </c>
      <c r="E120" t="s">
        <v>458</v>
      </c>
      <c r="F120" t="s">
        <v>13</v>
      </c>
      <c r="G120" t="s">
        <v>525</v>
      </c>
    </row>
    <row r="121" spans="1:7" x14ac:dyDescent="0.3">
      <c r="A121">
        <v>0</v>
      </c>
      <c r="B121" t="s">
        <v>312</v>
      </c>
      <c r="C121" t="s">
        <v>370</v>
      </c>
      <c r="D121" t="s">
        <v>2</v>
      </c>
      <c r="E121" t="s">
        <v>370</v>
      </c>
      <c r="F121" t="s">
        <v>13</v>
      </c>
      <c r="G121" t="s">
        <v>525</v>
      </c>
    </row>
    <row r="122" spans="1:7" x14ac:dyDescent="0.3">
      <c r="A122">
        <v>0</v>
      </c>
      <c r="B122" t="s">
        <v>57</v>
      </c>
      <c r="C122" t="s">
        <v>114</v>
      </c>
      <c r="D122" t="s">
        <v>2</v>
      </c>
      <c r="E122" t="s">
        <v>114</v>
      </c>
      <c r="F122" t="s">
        <v>13</v>
      </c>
      <c r="G122" t="s">
        <v>525</v>
      </c>
    </row>
    <row r="123" spans="1:7" x14ac:dyDescent="0.3">
      <c r="A123">
        <v>0</v>
      </c>
      <c r="B123" t="s">
        <v>319</v>
      </c>
      <c r="C123" t="s">
        <v>404</v>
      </c>
      <c r="D123" t="s">
        <v>2</v>
      </c>
      <c r="E123" t="s">
        <v>404</v>
      </c>
      <c r="F123" t="s">
        <v>13</v>
      </c>
      <c r="G123" t="s">
        <v>525</v>
      </c>
    </row>
    <row r="124" spans="1:7" x14ac:dyDescent="0.3">
      <c r="A124">
        <v>0</v>
      </c>
      <c r="B124" t="s">
        <v>312</v>
      </c>
      <c r="C124" t="s">
        <v>369</v>
      </c>
      <c r="D124" t="s">
        <v>2</v>
      </c>
      <c r="E124" t="s">
        <v>369</v>
      </c>
      <c r="F124" t="s">
        <v>13</v>
      </c>
      <c r="G124" t="s">
        <v>525</v>
      </c>
    </row>
    <row r="125" spans="1:7" x14ac:dyDescent="0.3">
      <c r="A125">
        <v>0</v>
      </c>
      <c r="B125" t="s">
        <v>57</v>
      </c>
      <c r="C125" t="s">
        <v>122</v>
      </c>
      <c r="D125" t="s">
        <v>2</v>
      </c>
      <c r="E125" t="s">
        <v>122</v>
      </c>
      <c r="F125" t="s">
        <v>13</v>
      </c>
      <c r="G125" t="s">
        <v>525</v>
      </c>
    </row>
    <row r="126" spans="1:7" x14ac:dyDescent="0.3">
      <c r="A126">
        <v>0</v>
      </c>
      <c r="B126" t="s">
        <v>319</v>
      </c>
      <c r="C126" t="s">
        <v>390</v>
      </c>
      <c r="D126" t="s">
        <v>2</v>
      </c>
      <c r="E126" t="s">
        <v>390</v>
      </c>
      <c r="F126" t="s">
        <v>13</v>
      </c>
      <c r="G126" t="s">
        <v>525</v>
      </c>
    </row>
    <row r="127" spans="1:7" x14ac:dyDescent="0.3">
      <c r="A127">
        <v>0</v>
      </c>
      <c r="B127" t="s">
        <v>312</v>
      </c>
      <c r="C127" t="s">
        <v>492</v>
      </c>
      <c r="D127" t="s">
        <v>2</v>
      </c>
      <c r="E127" t="s">
        <v>492</v>
      </c>
      <c r="F127" t="s">
        <v>13</v>
      </c>
      <c r="G127" t="s">
        <v>525</v>
      </c>
    </row>
    <row r="128" spans="1:7" x14ac:dyDescent="0.3">
      <c r="A128">
        <v>0</v>
      </c>
      <c r="B128" t="s">
        <v>312</v>
      </c>
      <c r="C128" t="s">
        <v>345</v>
      </c>
      <c r="D128" t="s">
        <v>2</v>
      </c>
      <c r="E128" t="s">
        <v>345</v>
      </c>
      <c r="F128" t="s">
        <v>13</v>
      </c>
      <c r="G128" t="s">
        <v>525</v>
      </c>
    </row>
    <row r="129" spans="1:7" x14ac:dyDescent="0.3">
      <c r="A129">
        <v>0</v>
      </c>
      <c r="B129" t="s">
        <v>314</v>
      </c>
      <c r="C129" t="s">
        <v>374</v>
      </c>
      <c r="D129" t="s">
        <v>2</v>
      </c>
      <c r="E129" t="s">
        <v>374</v>
      </c>
      <c r="F129" t="s">
        <v>13</v>
      </c>
      <c r="G129" t="s">
        <v>525</v>
      </c>
    </row>
    <row r="130" spans="1:7" x14ac:dyDescent="0.3">
      <c r="A130">
        <v>0</v>
      </c>
      <c r="B130" t="s">
        <v>105</v>
      </c>
      <c r="C130" t="s">
        <v>124</v>
      </c>
      <c r="D130" t="s">
        <v>2</v>
      </c>
      <c r="E130" t="s">
        <v>124</v>
      </c>
      <c r="F130" t="s">
        <v>13</v>
      </c>
      <c r="G130" t="s">
        <v>525</v>
      </c>
    </row>
    <row r="131" spans="1:7" x14ac:dyDescent="0.3">
      <c r="A131">
        <v>0</v>
      </c>
      <c r="B131" t="s">
        <v>312</v>
      </c>
      <c r="C131" t="s">
        <v>440</v>
      </c>
      <c r="D131" t="s">
        <v>2</v>
      </c>
      <c r="E131" t="s">
        <v>440</v>
      </c>
      <c r="F131" t="s">
        <v>13</v>
      </c>
      <c r="G131" t="s">
        <v>525</v>
      </c>
    </row>
    <row r="132" spans="1:7" x14ac:dyDescent="0.3">
      <c r="A132">
        <v>0</v>
      </c>
      <c r="B132" t="s">
        <v>312</v>
      </c>
      <c r="C132" t="s">
        <v>316</v>
      </c>
      <c r="D132" t="s">
        <v>2</v>
      </c>
      <c r="E132" t="s">
        <v>316</v>
      </c>
      <c r="F132" t="s">
        <v>13</v>
      </c>
      <c r="G132" t="s">
        <v>525</v>
      </c>
    </row>
    <row r="133" spans="1:7" x14ac:dyDescent="0.3">
      <c r="A133">
        <v>0</v>
      </c>
      <c r="B133" t="s">
        <v>312</v>
      </c>
      <c r="C133" t="s">
        <v>427</v>
      </c>
      <c r="D133" t="s">
        <v>2</v>
      </c>
      <c r="E133" t="s">
        <v>427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332</v>
      </c>
      <c r="D134" t="s">
        <v>2</v>
      </c>
      <c r="E134" t="s">
        <v>332</v>
      </c>
      <c r="F134" t="s">
        <v>13</v>
      </c>
      <c r="G134" t="s">
        <v>525</v>
      </c>
    </row>
    <row r="135" spans="1:7" x14ac:dyDescent="0.3">
      <c r="A135">
        <v>0</v>
      </c>
      <c r="B135" t="s">
        <v>312</v>
      </c>
      <c r="C135" t="s">
        <v>336</v>
      </c>
      <c r="D135" t="s">
        <v>2</v>
      </c>
      <c r="E135" t="s">
        <v>336</v>
      </c>
      <c r="F135" t="s">
        <v>13</v>
      </c>
      <c r="G135" t="s">
        <v>525</v>
      </c>
    </row>
    <row r="136" spans="1:7" x14ac:dyDescent="0.3">
      <c r="A136">
        <v>0</v>
      </c>
      <c r="B136" t="s">
        <v>314</v>
      </c>
      <c r="C136" t="s">
        <v>393</v>
      </c>
      <c r="D136" t="s">
        <v>2</v>
      </c>
      <c r="E136" t="s">
        <v>393</v>
      </c>
      <c r="F136" t="s">
        <v>13</v>
      </c>
      <c r="G136" t="s">
        <v>525</v>
      </c>
    </row>
    <row r="137" spans="1:7" x14ac:dyDescent="0.3">
      <c r="A137">
        <v>0</v>
      </c>
      <c r="B137" t="s">
        <v>312</v>
      </c>
      <c r="C137" t="s">
        <v>339</v>
      </c>
      <c r="D137" t="s">
        <v>2</v>
      </c>
      <c r="E137" t="s">
        <v>339</v>
      </c>
      <c r="F137" t="s">
        <v>13</v>
      </c>
      <c r="G137" t="s">
        <v>525</v>
      </c>
    </row>
    <row r="138" spans="1:7" x14ac:dyDescent="0.3">
      <c r="A138">
        <v>0</v>
      </c>
      <c r="B138" t="s">
        <v>312</v>
      </c>
      <c r="C138" t="s">
        <v>400</v>
      </c>
      <c r="D138" t="s">
        <v>2</v>
      </c>
      <c r="E138" t="s">
        <v>400</v>
      </c>
      <c r="F138" t="s">
        <v>13</v>
      </c>
      <c r="G138" t="s">
        <v>525</v>
      </c>
    </row>
    <row r="139" spans="1:7" x14ac:dyDescent="0.3">
      <c r="A139">
        <v>0</v>
      </c>
      <c r="B139" t="s">
        <v>312</v>
      </c>
      <c r="C139" t="s">
        <v>380</v>
      </c>
      <c r="D139" t="s">
        <v>2</v>
      </c>
      <c r="E139" t="s">
        <v>380</v>
      </c>
      <c r="F139" t="s">
        <v>13</v>
      </c>
      <c r="G139" t="s">
        <v>525</v>
      </c>
    </row>
    <row r="140" spans="1:7" x14ac:dyDescent="0.3">
      <c r="A140">
        <v>0</v>
      </c>
      <c r="B140" t="s">
        <v>312</v>
      </c>
      <c r="C140" t="s">
        <v>442</v>
      </c>
      <c r="D140" t="s">
        <v>2</v>
      </c>
      <c r="E140" t="s">
        <v>442</v>
      </c>
      <c r="F140" t="s">
        <v>13</v>
      </c>
      <c r="G140" t="s">
        <v>525</v>
      </c>
    </row>
    <row r="141" spans="1:7" x14ac:dyDescent="0.3">
      <c r="A141">
        <v>0</v>
      </c>
      <c r="B141" t="s">
        <v>314</v>
      </c>
      <c r="C141" t="s">
        <v>349</v>
      </c>
      <c r="D141" t="s">
        <v>2</v>
      </c>
      <c r="E141" t="s">
        <v>349</v>
      </c>
      <c r="F141" t="s">
        <v>13</v>
      </c>
      <c r="G141" t="s">
        <v>525</v>
      </c>
    </row>
    <row r="142" spans="1:7" x14ac:dyDescent="0.3">
      <c r="A142">
        <v>0</v>
      </c>
      <c r="B142" t="s">
        <v>57</v>
      </c>
      <c r="C142" t="s">
        <v>470</v>
      </c>
      <c r="D142" t="s">
        <v>2</v>
      </c>
      <c r="E142" t="s">
        <v>470</v>
      </c>
      <c r="F142" t="s">
        <v>13</v>
      </c>
      <c r="G142" t="s">
        <v>525</v>
      </c>
    </row>
    <row r="143" spans="1:7" x14ac:dyDescent="0.3">
      <c r="A143">
        <v>0</v>
      </c>
      <c r="B143" t="s">
        <v>319</v>
      </c>
      <c r="C143" t="s">
        <v>463</v>
      </c>
      <c r="D143" t="s">
        <v>2</v>
      </c>
      <c r="E143" t="s">
        <v>463</v>
      </c>
      <c r="F143" t="s">
        <v>13</v>
      </c>
      <c r="G143" t="s">
        <v>525</v>
      </c>
    </row>
    <row r="144" spans="1:7" x14ac:dyDescent="0.3">
      <c r="A144">
        <v>0</v>
      </c>
      <c r="B144" t="s">
        <v>314</v>
      </c>
      <c r="C144" t="s">
        <v>343</v>
      </c>
      <c r="D144" t="s">
        <v>2</v>
      </c>
      <c r="E144" t="s">
        <v>343</v>
      </c>
      <c r="F144" t="s">
        <v>13</v>
      </c>
      <c r="G144" t="s">
        <v>525</v>
      </c>
    </row>
    <row r="145" spans="1:7" x14ac:dyDescent="0.3">
      <c r="A145">
        <v>0</v>
      </c>
      <c r="B145" t="s">
        <v>312</v>
      </c>
      <c r="C145" t="s">
        <v>371</v>
      </c>
      <c r="D145" t="s">
        <v>2</v>
      </c>
      <c r="E145" t="s">
        <v>371</v>
      </c>
      <c r="F145" t="s">
        <v>13</v>
      </c>
      <c r="G145" t="s">
        <v>525</v>
      </c>
    </row>
    <row r="146" spans="1:7" x14ac:dyDescent="0.3">
      <c r="A146">
        <v>0</v>
      </c>
      <c r="B146" t="s">
        <v>312</v>
      </c>
      <c r="C146" t="s">
        <v>366</v>
      </c>
      <c r="D146" t="s">
        <v>2</v>
      </c>
      <c r="E146" t="s">
        <v>366</v>
      </c>
      <c r="F146" t="s">
        <v>13</v>
      </c>
      <c r="G146" t="s">
        <v>525</v>
      </c>
    </row>
    <row r="147" spans="1:7" x14ac:dyDescent="0.3">
      <c r="A147">
        <v>0</v>
      </c>
      <c r="B147" t="s">
        <v>312</v>
      </c>
      <c r="C147" t="s">
        <v>384</v>
      </c>
      <c r="D147" t="s">
        <v>2</v>
      </c>
      <c r="E147" t="s">
        <v>384</v>
      </c>
      <c r="F147" t="s">
        <v>13</v>
      </c>
      <c r="G147" t="s">
        <v>525</v>
      </c>
    </row>
    <row r="148" spans="1:7" x14ac:dyDescent="0.3">
      <c r="A148">
        <v>0</v>
      </c>
      <c r="B148" t="s">
        <v>319</v>
      </c>
      <c r="C148" t="s">
        <v>464</v>
      </c>
      <c r="D148" t="s">
        <v>2</v>
      </c>
      <c r="E148" t="s">
        <v>464</v>
      </c>
      <c r="F148" t="s">
        <v>13</v>
      </c>
      <c r="G148" t="s">
        <v>525</v>
      </c>
    </row>
    <row r="149" spans="1:7" x14ac:dyDescent="0.3">
      <c r="A149">
        <v>0</v>
      </c>
      <c r="B149" t="s">
        <v>312</v>
      </c>
      <c r="C149" t="s">
        <v>323</v>
      </c>
      <c r="D149" t="s">
        <v>2</v>
      </c>
      <c r="E149" t="s">
        <v>323</v>
      </c>
      <c r="F149" t="s">
        <v>13</v>
      </c>
      <c r="G149" t="s">
        <v>525</v>
      </c>
    </row>
    <row r="150" spans="1:7" x14ac:dyDescent="0.3">
      <c r="A150">
        <v>0</v>
      </c>
      <c r="B150" t="s">
        <v>314</v>
      </c>
      <c r="C150" t="s">
        <v>414</v>
      </c>
      <c r="D150" t="s">
        <v>2</v>
      </c>
      <c r="E150" t="s">
        <v>414</v>
      </c>
      <c r="F150" t="s">
        <v>13</v>
      </c>
      <c r="G150" t="s">
        <v>525</v>
      </c>
    </row>
    <row r="151" spans="1:7" x14ac:dyDescent="0.3">
      <c r="A151">
        <v>0</v>
      </c>
      <c r="B151" t="s">
        <v>312</v>
      </c>
      <c r="C151" t="s">
        <v>261</v>
      </c>
      <c r="D151" t="s">
        <v>2</v>
      </c>
      <c r="E151" t="s">
        <v>261</v>
      </c>
      <c r="F151" t="s">
        <v>13</v>
      </c>
      <c r="G151" t="s">
        <v>525</v>
      </c>
    </row>
    <row r="152" spans="1:7" x14ac:dyDescent="0.3">
      <c r="A152">
        <v>0</v>
      </c>
      <c r="B152" t="s">
        <v>319</v>
      </c>
      <c r="C152" t="s">
        <v>364</v>
      </c>
      <c r="D152" t="s">
        <v>2</v>
      </c>
      <c r="E152" t="s">
        <v>364</v>
      </c>
      <c r="F152" t="s">
        <v>13</v>
      </c>
      <c r="G152" t="s">
        <v>525</v>
      </c>
    </row>
    <row r="153" spans="1:7" x14ac:dyDescent="0.3">
      <c r="A153">
        <v>0</v>
      </c>
      <c r="B153" t="s">
        <v>312</v>
      </c>
      <c r="C153" t="s">
        <v>373</v>
      </c>
      <c r="D153" t="s">
        <v>2</v>
      </c>
      <c r="E153" t="s">
        <v>373</v>
      </c>
      <c r="F153" t="s">
        <v>13</v>
      </c>
      <c r="G153" t="s">
        <v>525</v>
      </c>
    </row>
    <row r="154" spans="1:7" x14ac:dyDescent="0.3">
      <c r="A154">
        <v>0</v>
      </c>
      <c r="B154" t="s">
        <v>312</v>
      </c>
      <c r="C154" t="s">
        <v>482</v>
      </c>
      <c r="D154" t="s">
        <v>2</v>
      </c>
      <c r="E154" t="s">
        <v>482</v>
      </c>
      <c r="F154" t="s">
        <v>13</v>
      </c>
      <c r="G154" t="s">
        <v>525</v>
      </c>
    </row>
    <row r="155" spans="1:7" x14ac:dyDescent="0.3">
      <c r="A155">
        <v>0</v>
      </c>
      <c r="B155" t="s">
        <v>312</v>
      </c>
      <c r="C155" t="s">
        <v>412</v>
      </c>
      <c r="D155" t="s">
        <v>2</v>
      </c>
      <c r="E155" t="s">
        <v>412</v>
      </c>
      <c r="F155" t="s">
        <v>13</v>
      </c>
      <c r="G155" t="s">
        <v>525</v>
      </c>
    </row>
    <row r="156" spans="1:7" x14ac:dyDescent="0.3">
      <c r="A156">
        <v>0</v>
      </c>
      <c r="B156" t="s">
        <v>312</v>
      </c>
      <c r="C156" t="s">
        <v>434</v>
      </c>
      <c r="D156" t="s">
        <v>2</v>
      </c>
      <c r="E156" t="s">
        <v>434</v>
      </c>
      <c r="F156" t="s">
        <v>13</v>
      </c>
      <c r="G156" t="s">
        <v>525</v>
      </c>
    </row>
    <row r="157" spans="1:7" x14ac:dyDescent="0.3">
      <c r="A157">
        <v>0</v>
      </c>
      <c r="B157" t="s">
        <v>314</v>
      </c>
      <c r="C157" t="s">
        <v>443</v>
      </c>
      <c r="D157" t="s">
        <v>2</v>
      </c>
      <c r="E157" t="s">
        <v>443</v>
      </c>
      <c r="F157" t="s">
        <v>13</v>
      </c>
      <c r="G157" t="s">
        <v>525</v>
      </c>
    </row>
    <row r="158" spans="1:7" x14ac:dyDescent="0.3">
      <c r="A158">
        <v>0</v>
      </c>
      <c r="B158" t="s">
        <v>319</v>
      </c>
      <c r="C158" t="s">
        <v>430</v>
      </c>
      <c r="D158" t="s">
        <v>2</v>
      </c>
      <c r="E158" t="s">
        <v>430</v>
      </c>
      <c r="F158" t="s">
        <v>13</v>
      </c>
      <c r="G158" t="s">
        <v>525</v>
      </c>
    </row>
    <row r="159" spans="1:7" x14ac:dyDescent="0.3">
      <c r="A159">
        <v>0</v>
      </c>
      <c r="B159" t="s">
        <v>314</v>
      </c>
      <c r="C159" t="s">
        <v>408</v>
      </c>
      <c r="D159" t="s">
        <v>2</v>
      </c>
      <c r="E159" t="s">
        <v>408</v>
      </c>
      <c r="F159" t="s">
        <v>13</v>
      </c>
      <c r="G159" t="s">
        <v>525</v>
      </c>
    </row>
    <row r="160" spans="1:7" x14ac:dyDescent="0.3">
      <c r="A160">
        <v>0</v>
      </c>
      <c r="B160" t="s">
        <v>312</v>
      </c>
      <c r="C160" t="s">
        <v>138</v>
      </c>
      <c r="D160" t="s">
        <v>2</v>
      </c>
      <c r="E160" t="s">
        <v>138</v>
      </c>
      <c r="F160" t="s">
        <v>13</v>
      </c>
      <c r="G160" t="s">
        <v>525</v>
      </c>
    </row>
    <row r="161" spans="1:7" x14ac:dyDescent="0.3">
      <c r="A161">
        <v>0</v>
      </c>
      <c r="B161" t="s">
        <v>312</v>
      </c>
      <c r="C161" t="s">
        <v>275</v>
      </c>
      <c r="D161" t="s">
        <v>2</v>
      </c>
      <c r="E161" t="s">
        <v>275</v>
      </c>
      <c r="F161" t="s">
        <v>13</v>
      </c>
      <c r="G161" t="s">
        <v>525</v>
      </c>
    </row>
    <row r="162" spans="1:7" x14ac:dyDescent="0.3">
      <c r="A162">
        <v>0</v>
      </c>
      <c r="B162" t="s">
        <v>312</v>
      </c>
      <c r="C162" t="s">
        <v>337</v>
      </c>
      <c r="D162" t="s">
        <v>2</v>
      </c>
      <c r="E162" t="s">
        <v>337</v>
      </c>
      <c r="F162" t="s">
        <v>13</v>
      </c>
      <c r="G162" t="s">
        <v>525</v>
      </c>
    </row>
    <row r="163" spans="1:7" x14ac:dyDescent="0.3">
      <c r="A163">
        <v>0</v>
      </c>
      <c r="B163" t="s">
        <v>312</v>
      </c>
      <c r="C163" t="s">
        <v>331</v>
      </c>
      <c r="D163" t="s">
        <v>2</v>
      </c>
      <c r="E163" t="s">
        <v>331</v>
      </c>
      <c r="F163" t="s">
        <v>13</v>
      </c>
      <c r="G163" t="s">
        <v>525</v>
      </c>
    </row>
    <row r="164" spans="1:7" x14ac:dyDescent="0.3">
      <c r="A164">
        <v>0</v>
      </c>
      <c r="B164" t="s">
        <v>312</v>
      </c>
      <c r="C164" t="s">
        <v>452</v>
      </c>
      <c r="D164" t="s">
        <v>2</v>
      </c>
      <c r="E164" t="s">
        <v>452</v>
      </c>
      <c r="F164" t="s">
        <v>13</v>
      </c>
      <c r="G164" t="s">
        <v>525</v>
      </c>
    </row>
    <row r="165" spans="1:7" x14ac:dyDescent="0.3">
      <c r="A165">
        <v>0</v>
      </c>
      <c r="B165" t="s">
        <v>319</v>
      </c>
      <c r="C165" t="s">
        <v>477</v>
      </c>
      <c r="D165" t="s">
        <v>2</v>
      </c>
      <c r="E165" t="s">
        <v>477</v>
      </c>
      <c r="F165" t="s">
        <v>13</v>
      </c>
      <c r="G165" t="s">
        <v>525</v>
      </c>
    </row>
    <row r="166" spans="1:7" x14ac:dyDescent="0.3">
      <c r="A166">
        <v>0</v>
      </c>
      <c r="B166" t="s">
        <v>312</v>
      </c>
      <c r="C166" t="s">
        <v>446</v>
      </c>
      <c r="D166" t="s">
        <v>2</v>
      </c>
      <c r="E166" t="s">
        <v>446</v>
      </c>
      <c r="F166" t="s">
        <v>13</v>
      </c>
      <c r="G166" t="s">
        <v>525</v>
      </c>
    </row>
    <row r="167" spans="1:7" x14ac:dyDescent="0.3">
      <c r="A167">
        <v>0</v>
      </c>
      <c r="B167" t="s">
        <v>319</v>
      </c>
      <c r="C167" t="s">
        <v>491</v>
      </c>
      <c r="D167" t="s">
        <v>2</v>
      </c>
      <c r="E167" t="s">
        <v>491</v>
      </c>
      <c r="F167" t="s">
        <v>13</v>
      </c>
      <c r="G167" t="s">
        <v>525</v>
      </c>
    </row>
    <row r="168" spans="1:7" x14ac:dyDescent="0.3">
      <c r="A168">
        <v>0</v>
      </c>
      <c r="B168" t="s">
        <v>312</v>
      </c>
      <c r="C168" t="s">
        <v>326</v>
      </c>
      <c r="D168" t="s">
        <v>2</v>
      </c>
      <c r="E168" t="s">
        <v>326</v>
      </c>
      <c r="F168" t="s">
        <v>13</v>
      </c>
      <c r="G168" t="s">
        <v>525</v>
      </c>
    </row>
    <row r="169" spans="1:7" x14ac:dyDescent="0.3">
      <c r="A169">
        <v>0</v>
      </c>
      <c r="B169" t="s">
        <v>319</v>
      </c>
      <c r="C169" t="s">
        <v>415</v>
      </c>
      <c r="D169" t="s">
        <v>2</v>
      </c>
      <c r="E169" t="s">
        <v>415</v>
      </c>
      <c r="F169" t="s">
        <v>13</v>
      </c>
      <c r="G169" t="s">
        <v>525</v>
      </c>
    </row>
    <row r="170" spans="1:7" x14ac:dyDescent="0.3">
      <c r="A170">
        <v>0</v>
      </c>
      <c r="B170" t="s">
        <v>314</v>
      </c>
      <c r="C170" t="s">
        <v>451</v>
      </c>
      <c r="D170" t="s">
        <v>2</v>
      </c>
      <c r="E170" t="s">
        <v>451</v>
      </c>
      <c r="F170" t="s">
        <v>13</v>
      </c>
      <c r="G170" t="s">
        <v>525</v>
      </c>
    </row>
    <row r="171" spans="1:7" x14ac:dyDescent="0.3">
      <c r="A171">
        <v>0</v>
      </c>
      <c r="B171" t="s">
        <v>314</v>
      </c>
      <c r="C171" t="s">
        <v>448</v>
      </c>
      <c r="D171" t="s">
        <v>2</v>
      </c>
      <c r="E171" t="s">
        <v>448</v>
      </c>
      <c r="F171" t="s">
        <v>13</v>
      </c>
      <c r="G171" t="s">
        <v>525</v>
      </c>
    </row>
    <row r="172" spans="1:7" x14ac:dyDescent="0.3">
      <c r="A172">
        <v>0</v>
      </c>
      <c r="B172" t="s">
        <v>312</v>
      </c>
      <c r="C172" t="s">
        <v>423</v>
      </c>
      <c r="D172" t="s">
        <v>2</v>
      </c>
      <c r="E172" t="s">
        <v>423</v>
      </c>
      <c r="F172" t="s">
        <v>13</v>
      </c>
      <c r="G172" t="s">
        <v>525</v>
      </c>
    </row>
    <row r="173" spans="1:7" x14ac:dyDescent="0.3">
      <c r="A173">
        <v>0</v>
      </c>
      <c r="B173" t="s">
        <v>319</v>
      </c>
      <c r="C173" t="s">
        <v>361</v>
      </c>
      <c r="D173" t="s">
        <v>2</v>
      </c>
      <c r="E173" t="s">
        <v>361</v>
      </c>
      <c r="F173" t="s">
        <v>13</v>
      </c>
      <c r="G173" t="s">
        <v>525</v>
      </c>
    </row>
    <row r="174" spans="1:7" x14ac:dyDescent="0.3">
      <c r="A174">
        <v>0</v>
      </c>
      <c r="B174" t="s">
        <v>314</v>
      </c>
      <c r="C174" t="s">
        <v>467</v>
      </c>
      <c r="D174" t="s">
        <v>2</v>
      </c>
      <c r="E174" t="s">
        <v>467</v>
      </c>
      <c r="F174" t="s">
        <v>13</v>
      </c>
      <c r="G174" t="s">
        <v>525</v>
      </c>
    </row>
    <row r="175" spans="1:7" x14ac:dyDescent="0.3">
      <c r="A175">
        <v>0</v>
      </c>
      <c r="B175" t="s">
        <v>319</v>
      </c>
      <c r="C175" t="s">
        <v>420</v>
      </c>
      <c r="D175" t="s">
        <v>2</v>
      </c>
      <c r="E175" t="s">
        <v>420</v>
      </c>
      <c r="F175" t="s">
        <v>13</v>
      </c>
      <c r="G175" t="s">
        <v>525</v>
      </c>
    </row>
    <row r="176" spans="1:7" x14ac:dyDescent="0.3">
      <c r="A176">
        <v>0</v>
      </c>
      <c r="B176" t="s">
        <v>314</v>
      </c>
      <c r="C176" t="s">
        <v>487</v>
      </c>
      <c r="D176" t="s">
        <v>2</v>
      </c>
      <c r="E176" t="s">
        <v>487</v>
      </c>
      <c r="F176" t="s">
        <v>13</v>
      </c>
      <c r="G176" t="s">
        <v>525</v>
      </c>
    </row>
    <row r="177" spans="1:7" x14ac:dyDescent="0.3">
      <c r="A177">
        <v>0</v>
      </c>
      <c r="B177" t="s">
        <v>312</v>
      </c>
      <c r="C177" t="s">
        <v>149</v>
      </c>
      <c r="D177" t="s">
        <v>2</v>
      </c>
      <c r="E177" t="s">
        <v>149</v>
      </c>
      <c r="F177" t="s">
        <v>13</v>
      </c>
      <c r="G177" t="s">
        <v>525</v>
      </c>
    </row>
    <row r="178" spans="1:7" x14ac:dyDescent="0.3">
      <c r="A178">
        <v>0</v>
      </c>
      <c r="B178" t="s">
        <v>314</v>
      </c>
      <c r="C178" t="s">
        <v>377</v>
      </c>
      <c r="D178" t="s">
        <v>2</v>
      </c>
      <c r="E178" t="s">
        <v>377</v>
      </c>
      <c r="F178" t="s">
        <v>13</v>
      </c>
      <c r="G178" t="s">
        <v>525</v>
      </c>
    </row>
    <row r="179" spans="1:7" x14ac:dyDescent="0.3">
      <c r="A179">
        <v>0</v>
      </c>
      <c r="B179" t="s">
        <v>312</v>
      </c>
      <c r="C179" t="s">
        <v>403</v>
      </c>
      <c r="D179" t="s">
        <v>2</v>
      </c>
      <c r="E179" t="s">
        <v>403</v>
      </c>
      <c r="F179" t="s">
        <v>13</v>
      </c>
      <c r="G179" t="s">
        <v>525</v>
      </c>
    </row>
    <row r="180" spans="1:7" x14ac:dyDescent="0.3">
      <c r="A180">
        <v>0</v>
      </c>
      <c r="B180" t="s">
        <v>312</v>
      </c>
      <c r="C180" t="s">
        <v>387</v>
      </c>
      <c r="D180" t="s">
        <v>2</v>
      </c>
      <c r="E180" t="s">
        <v>387</v>
      </c>
      <c r="F180" t="s">
        <v>13</v>
      </c>
      <c r="G180" t="s">
        <v>525</v>
      </c>
    </row>
    <row r="181" spans="1:7" x14ac:dyDescent="0.3">
      <c r="A181">
        <v>0</v>
      </c>
      <c r="B181" t="s">
        <v>312</v>
      </c>
      <c r="C181" t="s">
        <v>431</v>
      </c>
      <c r="D181" t="s">
        <v>2</v>
      </c>
      <c r="E181" t="s">
        <v>431</v>
      </c>
      <c r="F181" t="s">
        <v>13</v>
      </c>
      <c r="G181" t="s">
        <v>525</v>
      </c>
    </row>
    <row r="182" spans="1:7" x14ac:dyDescent="0.3">
      <c r="A182">
        <v>0</v>
      </c>
      <c r="B182" t="s">
        <v>319</v>
      </c>
      <c r="C182" t="s">
        <v>459</v>
      </c>
      <c r="D182" t="s">
        <v>2</v>
      </c>
      <c r="E182" t="s">
        <v>459</v>
      </c>
      <c r="F182" t="s">
        <v>13</v>
      </c>
      <c r="G182" t="s">
        <v>525</v>
      </c>
    </row>
    <row r="183" spans="1:7" x14ac:dyDescent="0.3">
      <c r="A183">
        <v>0</v>
      </c>
      <c r="B183" t="s">
        <v>314</v>
      </c>
      <c r="C183" t="s">
        <v>376</v>
      </c>
      <c r="D183" t="s">
        <v>2</v>
      </c>
      <c r="E183" t="s">
        <v>376</v>
      </c>
      <c r="F183" t="s">
        <v>13</v>
      </c>
      <c r="G183" t="s">
        <v>525</v>
      </c>
    </row>
    <row r="184" spans="1:7" x14ac:dyDescent="0.3">
      <c r="A184">
        <v>0</v>
      </c>
      <c r="B184" t="s">
        <v>312</v>
      </c>
      <c r="C184" t="s">
        <v>379</v>
      </c>
      <c r="D184" t="s">
        <v>2</v>
      </c>
      <c r="E184" t="s">
        <v>379</v>
      </c>
      <c r="F184" t="s">
        <v>13</v>
      </c>
      <c r="G184" t="s">
        <v>525</v>
      </c>
    </row>
    <row r="185" spans="1:7" x14ac:dyDescent="0.3">
      <c r="A185">
        <v>0</v>
      </c>
      <c r="B185" t="s">
        <v>314</v>
      </c>
      <c r="C185" t="s">
        <v>445</v>
      </c>
      <c r="D185" t="s">
        <v>2</v>
      </c>
      <c r="E185" t="s">
        <v>445</v>
      </c>
      <c r="F185" t="s">
        <v>13</v>
      </c>
      <c r="G185" t="s">
        <v>525</v>
      </c>
    </row>
    <row r="186" spans="1:7" x14ac:dyDescent="0.3">
      <c r="A186">
        <v>0</v>
      </c>
      <c r="B186" t="s">
        <v>319</v>
      </c>
      <c r="C186" t="s">
        <v>460</v>
      </c>
      <c r="D186" t="s">
        <v>2</v>
      </c>
      <c r="E186" t="s">
        <v>460</v>
      </c>
      <c r="F186" t="s">
        <v>13</v>
      </c>
      <c r="G186" t="s">
        <v>525</v>
      </c>
    </row>
    <row r="187" spans="1:7" x14ac:dyDescent="0.3">
      <c r="A187">
        <v>0</v>
      </c>
      <c r="B187" t="s">
        <v>314</v>
      </c>
      <c r="C187" t="s">
        <v>450</v>
      </c>
      <c r="D187" t="s">
        <v>2</v>
      </c>
      <c r="E187" t="s">
        <v>450</v>
      </c>
      <c r="F187" t="s">
        <v>13</v>
      </c>
      <c r="G187" t="s">
        <v>525</v>
      </c>
    </row>
    <row r="188" spans="1:7" x14ac:dyDescent="0.3">
      <c r="A188">
        <v>0</v>
      </c>
      <c r="B188" t="s">
        <v>312</v>
      </c>
      <c r="C188" t="s">
        <v>473</v>
      </c>
      <c r="D188" t="s">
        <v>2</v>
      </c>
      <c r="E188" t="s">
        <v>473</v>
      </c>
      <c r="F188" t="s">
        <v>13</v>
      </c>
      <c r="G188" t="s">
        <v>525</v>
      </c>
    </row>
    <row r="189" spans="1:7" x14ac:dyDescent="0.3">
      <c r="A189">
        <v>0</v>
      </c>
      <c r="B189" t="s">
        <v>314</v>
      </c>
      <c r="C189" t="s">
        <v>313</v>
      </c>
      <c r="D189" t="s">
        <v>2</v>
      </c>
      <c r="E189" t="s">
        <v>313</v>
      </c>
      <c r="F189" t="s">
        <v>13</v>
      </c>
      <c r="G189" t="s">
        <v>525</v>
      </c>
    </row>
    <row r="190" spans="1:7" x14ac:dyDescent="0.3">
      <c r="A190">
        <v>0</v>
      </c>
      <c r="B190" t="s">
        <v>312</v>
      </c>
      <c r="C190" t="s">
        <v>472</v>
      </c>
      <c r="D190" t="s">
        <v>2</v>
      </c>
      <c r="E190" t="s">
        <v>472</v>
      </c>
      <c r="F190" t="s">
        <v>13</v>
      </c>
      <c r="G190" t="s">
        <v>525</v>
      </c>
    </row>
    <row r="191" spans="1:7" x14ac:dyDescent="0.3">
      <c r="A191">
        <v>0</v>
      </c>
      <c r="B191" t="s">
        <v>312</v>
      </c>
      <c r="C191" t="s">
        <v>402</v>
      </c>
      <c r="D191" t="s">
        <v>2</v>
      </c>
      <c r="E191" t="s">
        <v>402</v>
      </c>
      <c r="F191" t="s">
        <v>13</v>
      </c>
      <c r="G191" t="s">
        <v>525</v>
      </c>
    </row>
    <row r="192" spans="1:7" x14ac:dyDescent="0.3">
      <c r="A192">
        <v>0</v>
      </c>
      <c r="B192" t="s">
        <v>314</v>
      </c>
      <c r="C192" t="s">
        <v>455</v>
      </c>
      <c r="D192" t="s">
        <v>2</v>
      </c>
      <c r="E192" t="s">
        <v>455</v>
      </c>
      <c r="F192" t="s">
        <v>13</v>
      </c>
      <c r="G192" t="s">
        <v>525</v>
      </c>
    </row>
    <row r="193" spans="1:7" x14ac:dyDescent="0.3">
      <c r="A193">
        <v>0</v>
      </c>
      <c r="B193" t="s">
        <v>312</v>
      </c>
      <c r="C193" t="s">
        <v>411</v>
      </c>
      <c r="D193" t="s">
        <v>2</v>
      </c>
      <c r="E193" t="s">
        <v>411</v>
      </c>
      <c r="F193" t="s">
        <v>13</v>
      </c>
      <c r="G193" t="s">
        <v>525</v>
      </c>
    </row>
    <row r="194" spans="1:7" x14ac:dyDescent="0.3">
      <c r="A194">
        <v>0</v>
      </c>
      <c r="B194" t="s">
        <v>312</v>
      </c>
      <c r="C194" t="s">
        <v>488</v>
      </c>
      <c r="D194" t="s">
        <v>2</v>
      </c>
      <c r="E194" t="s">
        <v>488</v>
      </c>
      <c r="F194" t="s">
        <v>13</v>
      </c>
      <c r="G194" t="s">
        <v>525</v>
      </c>
    </row>
    <row r="195" spans="1:7" x14ac:dyDescent="0.3">
      <c r="A195">
        <v>0</v>
      </c>
      <c r="B195" t="s">
        <v>319</v>
      </c>
      <c r="C195" t="s">
        <v>462</v>
      </c>
      <c r="D195" t="s">
        <v>2</v>
      </c>
      <c r="E195" t="s">
        <v>462</v>
      </c>
      <c r="F195" t="s">
        <v>13</v>
      </c>
      <c r="G195" t="s">
        <v>525</v>
      </c>
    </row>
    <row r="196" spans="1:7" x14ac:dyDescent="0.3">
      <c r="A196">
        <v>0</v>
      </c>
      <c r="B196" t="s">
        <v>312</v>
      </c>
      <c r="C196" t="s">
        <v>246</v>
      </c>
      <c r="D196" t="s">
        <v>2</v>
      </c>
      <c r="E196" t="s">
        <v>246</v>
      </c>
      <c r="F196" t="s">
        <v>13</v>
      </c>
      <c r="G196" t="s">
        <v>525</v>
      </c>
    </row>
    <row r="197" spans="1:7" x14ac:dyDescent="0.3">
      <c r="A197">
        <v>0</v>
      </c>
      <c r="B197" t="s">
        <v>312</v>
      </c>
      <c r="C197" t="s">
        <v>357</v>
      </c>
      <c r="D197" t="s">
        <v>2</v>
      </c>
      <c r="E197" t="s">
        <v>357</v>
      </c>
      <c r="F197" t="s">
        <v>13</v>
      </c>
      <c r="G197" t="s">
        <v>525</v>
      </c>
    </row>
    <row r="198" spans="1:7" x14ac:dyDescent="0.3">
      <c r="A198">
        <v>0</v>
      </c>
      <c r="B198" t="s">
        <v>314</v>
      </c>
      <c r="C198" t="s">
        <v>341</v>
      </c>
      <c r="D198" t="s">
        <v>2</v>
      </c>
      <c r="E198" t="s">
        <v>341</v>
      </c>
      <c r="F198" t="s">
        <v>13</v>
      </c>
      <c r="G198" t="s">
        <v>525</v>
      </c>
    </row>
    <row r="199" spans="1:7" x14ac:dyDescent="0.3">
      <c r="A199">
        <v>0</v>
      </c>
      <c r="B199" t="s">
        <v>319</v>
      </c>
      <c r="C199" t="s">
        <v>466</v>
      </c>
      <c r="D199" t="s">
        <v>2</v>
      </c>
      <c r="E199" t="s">
        <v>466</v>
      </c>
      <c r="F199" t="s">
        <v>13</v>
      </c>
      <c r="G199" t="s">
        <v>525</v>
      </c>
    </row>
    <row r="200" spans="1:7" x14ac:dyDescent="0.3">
      <c r="A200">
        <v>0</v>
      </c>
      <c r="B200" t="s">
        <v>319</v>
      </c>
      <c r="C200" t="s">
        <v>362</v>
      </c>
      <c r="D200" t="s">
        <v>2</v>
      </c>
      <c r="E200" t="s">
        <v>362</v>
      </c>
      <c r="F200" t="s">
        <v>13</v>
      </c>
      <c r="G200" t="s">
        <v>525</v>
      </c>
    </row>
    <row r="201" spans="1:7" x14ac:dyDescent="0.3">
      <c r="A201">
        <v>0</v>
      </c>
      <c r="B201" t="s">
        <v>312</v>
      </c>
      <c r="C201" t="s">
        <v>433</v>
      </c>
      <c r="D201" t="s">
        <v>2</v>
      </c>
      <c r="E201" t="s">
        <v>433</v>
      </c>
      <c r="F201" t="s">
        <v>13</v>
      </c>
      <c r="G201" t="s">
        <v>525</v>
      </c>
    </row>
    <row r="202" spans="1:7" x14ac:dyDescent="0.3">
      <c r="A202">
        <v>0</v>
      </c>
      <c r="B202" t="s">
        <v>312</v>
      </c>
      <c r="C202" t="s">
        <v>397</v>
      </c>
      <c r="D202" t="s">
        <v>2</v>
      </c>
      <c r="E202" t="s">
        <v>397</v>
      </c>
      <c r="F202" t="s">
        <v>13</v>
      </c>
      <c r="G202" t="s">
        <v>525</v>
      </c>
    </row>
    <row r="203" spans="1:7" x14ac:dyDescent="0.3">
      <c r="A203">
        <v>0</v>
      </c>
      <c r="B203" t="s">
        <v>319</v>
      </c>
      <c r="C203" t="s">
        <v>378</v>
      </c>
      <c r="D203" t="s">
        <v>2</v>
      </c>
      <c r="E203" t="s">
        <v>378</v>
      </c>
      <c r="F203" t="s">
        <v>13</v>
      </c>
      <c r="G203" t="s">
        <v>525</v>
      </c>
    </row>
    <row r="204" spans="1:7" x14ac:dyDescent="0.3">
      <c r="A204">
        <v>0</v>
      </c>
      <c r="B204" t="s">
        <v>105</v>
      </c>
      <c r="C204" t="s">
        <v>117</v>
      </c>
      <c r="D204" t="s">
        <v>2</v>
      </c>
      <c r="E204" t="s">
        <v>117</v>
      </c>
      <c r="F204" t="s">
        <v>13</v>
      </c>
      <c r="G204" t="s">
        <v>525</v>
      </c>
    </row>
    <row r="205" spans="1:7" x14ac:dyDescent="0.3">
      <c r="A205">
        <v>0</v>
      </c>
      <c r="B205" t="s">
        <v>312</v>
      </c>
      <c r="C205" t="s">
        <v>476</v>
      </c>
      <c r="D205" t="s">
        <v>2</v>
      </c>
      <c r="E205" t="s">
        <v>476</v>
      </c>
      <c r="F205" t="s">
        <v>13</v>
      </c>
      <c r="G205" t="s">
        <v>525</v>
      </c>
    </row>
    <row r="206" spans="1:7" x14ac:dyDescent="0.3">
      <c r="A206">
        <v>0</v>
      </c>
      <c r="B206" t="s">
        <v>319</v>
      </c>
      <c r="C206" t="s">
        <v>478</v>
      </c>
      <c r="D206" t="s">
        <v>2</v>
      </c>
      <c r="E206" t="s">
        <v>478</v>
      </c>
      <c r="F206" t="s">
        <v>13</v>
      </c>
      <c r="G206" t="s">
        <v>525</v>
      </c>
    </row>
    <row r="207" spans="1:7" x14ac:dyDescent="0.3">
      <c r="A207">
        <v>0</v>
      </c>
      <c r="B207" t="s">
        <v>312</v>
      </c>
      <c r="C207" t="s">
        <v>367</v>
      </c>
      <c r="D207" t="s">
        <v>2</v>
      </c>
      <c r="E207" t="s">
        <v>367</v>
      </c>
      <c r="F207" t="s">
        <v>13</v>
      </c>
      <c r="G207" t="s">
        <v>525</v>
      </c>
    </row>
    <row r="208" spans="1:7" x14ac:dyDescent="0.3">
      <c r="A208">
        <v>0</v>
      </c>
      <c r="B208" t="s">
        <v>312</v>
      </c>
      <c r="C208" t="s">
        <v>346</v>
      </c>
      <c r="D208" t="s">
        <v>2</v>
      </c>
      <c r="E208" t="s">
        <v>346</v>
      </c>
      <c r="F208" t="s">
        <v>13</v>
      </c>
      <c r="G208" t="s">
        <v>525</v>
      </c>
    </row>
    <row r="209" spans="1:7" x14ac:dyDescent="0.3">
      <c r="A209">
        <v>0</v>
      </c>
      <c r="B209" t="s">
        <v>105</v>
      </c>
      <c r="C209" t="s">
        <v>119</v>
      </c>
      <c r="D209" t="s">
        <v>2</v>
      </c>
      <c r="E209" t="s">
        <v>119</v>
      </c>
      <c r="F209" t="s">
        <v>13</v>
      </c>
      <c r="G209" t="s">
        <v>525</v>
      </c>
    </row>
    <row r="210" spans="1:7" x14ac:dyDescent="0.3">
      <c r="A210">
        <v>0</v>
      </c>
      <c r="B210" t="s">
        <v>312</v>
      </c>
      <c r="C210" t="s">
        <v>385</v>
      </c>
      <c r="D210" t="s">
        <v>2</v>
      </c>
      <c r="E210" t="s">
        <v>385</v>
      </c>
      <c r="F210" t="s">
        <v>13</v>
      </c>
      <c r="G210" t="s">
        <v>525</v>
      </c>
    </row>
    <row r="211" spans="1:7" x14ac:dyDescent="0.3">
      <c r="A211">
        <v>0</v>
      </c>
      <c r="B211" t="s">
        <v>57</v>
      </c>
      <c r="C211" t="s">
        <v>120</v>
      </c>
      <c r="D211" t="s">
        <v>2</v>
      </c>
      <c r="E211" t="s">
        <v>120</v>
      </c>
      <c r="F211" t="s">
        <v>13</v>
      </c>
      <c r="G211" t="s">
        <v>525</v>
      </c>
    </row>
    <row r="212" spans="1:7" x14ac:dyDescent="0.3">
      <c r="A212">
        <v>0</v>
      </c>
      <c r="B212" t="s">
        <v>312</v>
      </c>
      <c r="C212" t="s">
        <v>324</v>
      </c>
      <c r="D212" t="s">
        <v>2</v>
      </c>
      <c r="E212" t="s">
        <v>324</v>
      </c>
      <c r="F212" t="s">
        <v>13</v>
      </c>
      <c r="G212" t="s">
        <v>525</v>
      </c>
    </row>
    <row r="213" spans="1:7" x14ac:dyDescent="0.3">
      <c r="A213">
        <v>0</v>
      </c>
      <c r="B213" t="s">
        <v>312</v>
      </c>
      <c r="C213" t="s">
        <v>327</v>
      </c>
      <c r="D213" t="s">
        <v>2</v>
      </c>
      <c r="E213" t="s">
        <v>327</v>
      </c>
      <c r="F213" t="s">
        <v>13</v>
      </c>
      <c r="G213" t="s">
        <v>525</v>
      </c>
    </row>
    <row r="214" spans="1:7" x14ac:dyDescent="0.3">
      <c r="A214">
        <v>0</v>
      </c>
      <c r="B214" t="s">
        <v>314</v>
      </c>
      <c r="C214" t="s">
        <v>441</v>
      </c>
      <c r="D214" t="s">
        <v>2</v>
      </c>
      <c r="E214" t="s">
        <v>441</v>
      </c>
      <c r="F214" t="s">
        <v>13</v>
      </c>
      <c r="G214" t="s">
        <v>525</v>
      </c>
    </row>
    <row r="215" spans="1:7" x14ac:dyDescent="0.3">
      <c r="A215">
        <v>0</v>
      </c>
      <c r="B215" t="s">
        <v>105</v>
      </c>
      <c r="C215" t="s">
        <v>115</v>
      </c>
      <c r="D215" t="s">
        <v>2</v>
      </c>
      <c r="E215" t="s">
        <v>115</v>
      </c>
      <c r="F215" t="s">
        <v>13</v>
      </c>
      <c r="G215" t="s">
        <v>525</v>
      </c>
    </row>
    <row r="216" spans="1:7" x14ac:dyDescent="0.3">
      <c r="A216">
        <v>0</v>
      </c>
      <c r="B216" t="s">
        <v>312</v>
      </c>
      <c r="C216" t="s">
        <v>484</v>
      </c>
      <c r="D216" t="s">
        <v>2</v>
      </c>
      <c r="E216" t="s">
        <v>484</v>
      </c>
      <c r="F216" t="s">
        <v>13</v>
      </c>
      <c r="G216" t="s">
        <v>525</v>
      </c>
    </row>
    <row r="217" spans="1:7" x14ac:dyDescent="0.3">
      <c r="A217">
        <v>0</v>
      </c>
      <c r="B217" t="s">
        <v>312</v>
      </c>
      <c r="C217" t="s">
        <v>311</v>
      </c>
      <c r="D217" t="s">
        <v>2</v>
      </c>
      <c r="E217" t="s">
        <v>311</v>
      </c>
      <c r="F217" t="s">
        <v>13</v>
      </c>
      <c r="G217" t="s">
        <v>525</v>
      </c>
    </row>
    <row r="218" spans="1:7" x14ac:dyDescent="0.3">
      <c r="A218">
        <v>0</v>
      </c>
      <c r="B218" t="s">
        <v>312</v>
      </c>
      <c r="C218" t="s">
        <v>365</v>
      </c>
      <c r="D218" t="s">
        <v>2</v>
      </c>
      <c r="E218" t="s">
        <v>365</v>
      </c>
      <c r="F218" t="s">
        <v>13</v>
      </c>
      <c r="G218" t="s">
        <v>525</v>
      </c>
    </row>
    <row r="219" spans="1:7" x14ac:dyDescent="0.3">
      <c r="A219">
        <v>0</v>
      </c>
      <c r="B219" t="s">
        <v>314</v>
      </c>
      <c r="C219" t="s">
        <v>350</v>
      </c>
      <c r="D219" t="s">
        <v>2</v>
      </c>
      <c r="E219" t="s">
        <v>350</v>
      </c>
      <c r="F219" t="s">
        <v>13</v>
      </c>
      <c r="G219" t="s">
        <v>525</v>
      </c>
    </row>
    <row r="220" spans="1:7" x14ac:dyDescent="0.3">
      <c r="A220">
        <v>0</v>
      </c>
      <c r="B220" t="s">
        <v>105</v>
      </c>
      <c r="C220" t="s">
        <v>123</v>
      </c>
      <c r="D220" t="s">
        <v>2</v>
      </c>
      <c r="E220" t="s">
        <v>123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396</v>
      </c>
      <c r="D221" t="s">
        <v>2</v>
      </c>
      <c r="E221" t="s">
        <v>396</v>
      </c>
      <c r="F221" t="s">
        <v>13</v>
      </c>
      <c r="G221" t="s">
        <v>525</v>
      </c>
    </row>
    <row r="222" spans="1:7" x14ac:dyDescent="0.3">
      <c r="A222">
        <v>0</v>
      </c>
      <c r="B222" t="s">
        <v>312</v>
      </c>
      <c r="C222" t="s">
        <v>428</v>
      </c>
      <c r="D222" t="s">
        <v>2</v>
      </c>
      <c r="E222" t="s">
        <v>428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383</v>
      </c>
      <c r="D223" t="s">
        <v>2</v>
      </c>
      <c r="E223" t="s">
        <v>383</v>
      </c>
      <c r="F223" t="s">
        <v>13</v>
      </c>
      <c r="G223" t="s">
        <v>525</v>
      </c>
    </row>
    <row r="224" spans="1:7" x14ac:dyDescent="0.3">
      <c r="A224">
        <v>0</v>
      </c>
      <c r="B224" t="s">
        <v>312</v>
      </c>
      <c r="C224" t="s">
        <v>426</v>
      </c>
      <c r="D224" t="s">
        <v>2</v>
      </c>
      <c r="E224" t="s">
        <v>426</v>
      </c>
      <c r="F224" t="s">
        <v>13</v>
      </c>
      <c r="G224" t="s">
        <v>525</v>
      </c>
    </row>
    <row r="225" spans="1:7" x14ac:dyDescent="0.3">
      <c r="A225">
        <v>0</v>
      </c>
      <c r="B225" t="s">
        <v>312</v>
      </c>
      <c r="C225" t="s">
        <v>437</v>
      </c>
      <c r="D225" t="s">
        <v>2</v>
      </c>
      <c r="E225" t="s">
        <v>437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454</v>
      </c>
      <c r="D226" t="s">
        <v>2</v>
      </c>
      <c r="E226" t="s">
        <v>454</v>
      </c>
      <c r="F226" t="s">
        <v>13</v>
      </c>
      <c r="G226" t="s">
        <v>525</v>
      </c>
    </row>
    <row r="227" spans="1:7" x14ac:dyDescent="0.3">
      <c r="A227">
        <v>0</v>
      </c>
      <c r="B227" t="s">
        <v>312</v>
      </c>
      <c r="C227" t="s">
        <v>425</v>
      </c>
      <c r="D227" t="s">
        <v>2</v>
      </c>
      <c r="E227" t="s">
        <v>425</v>
      </c>
      <c r="F227" t="s">
        <v>13</v>
      </c>
      <c r="G227" t="s">
        <v>525</v>
      </c>
    </row>
    <row r="228" spans="1:7" x14ac:dyDescent="0.3">
      <c r="A228">
        <v>0</v>
      </c>
      <c r="B228" t="s">
        <v>312</v>
      </c>
      <c r="C228" t="s">
        <v>344</v>
      </c>
      <c r="D228" t="s">
        <v>2</v>
      </c>
      <c r="E228" t="s">
        <v>344</v>
      </c>
      <c r="F228" t="s">
        <v>13</v>
      </c>
      <c r="G228" t="s">
        <v>525</v>
      </c>
    </row>
    <row r="229" spans="1:7" x14ac:dyDescent="0.3">
      <c r="A229">
        <v>0</v>
      </c>
      <c r="B229" t="s">
        <v>312</v>
      </c>
      <c r="C229" t="s">
        <v>407</v>
      </c>
      <c r="D229" t="s">
        <v>2</v>
      </c>
      <c r="E229" t="s">
        <v>407</v>
      </c>
      <c r="F229" t="s">
        <v>13</v>
      </c>
      <c r="G229" t="s">
        <v>525</v>
      </c>
    </row>
    <row r="230" spans="1:7" x14ac:dyDescent="0.3">
      <c r="A230">
        <v>0</v>
      </c>
      <c r="B230" t="s">
        <v>314</v>
      </c>
      <c r="C230" t="s">
        <v>413</v>
      </c>
      <c r="D230" t="s">
        <v>2</v>
      </c>
      <c r="E230" t="s">
        <v>413</v>
      </c>
      <c r="F230" t="s">
        <v>13</v>
      </c>
      <c r="G230" t="s">
        <v>525</v>
      </c>
    </row>
    <row r="231" spans="1:7" x14ac:dyDescent="0.3">
      <c r="A231">
        <v>0</v>
      </c>
      <c r="B231" t="s">
        <v>312</v>
      </c>
      <c r="C231" t="s">
        <v>392</v>
      </c>
      <c r="D231" t="s">
        <v>2</v>
      </c>
      <c r="E231" t="s">
        <v>392</v>
      </c>
      <c r="F231" t="s">
        <v>13</v>
      </c>
      <c r="G231" t="s">
        <v>525</v>
      </c>
    </row>
    <row r="232" spans="1:7" x14ac:dyDescent="0.3">
      <c r="A232">
        <v>0</v>
      </c>
      <c r="B232" t="s">
        <v>319</v>
      </c>
      <c r="C232" t="s">
        <v>422</v>
      </c>
      <c r="D232" t="s">
        <v>2</v>
      </c>
      <c r="E232" t="s">
        <v>422</v>
      </c>
      <c r="F232" t="s">
        <v>13</v>
      </c>
      <c r="G232" t="s">
        <v>525</v>
      </c>
    </row>
    <row r="233" spans="1:7" x14ac:dyDescent="0.3">
      <c r="A233">
        <v>0</v>
      </c>
      <c r="B233" t="s">
        <v>314</v>
      </c>
      <c r="C233" t="s">
        <v>495</v>
      </c>
      <c r="D233" t="s">
        <v>494</v>
      </c>
      <c r="E233" t="s">
        <v>495</v>
      </c>
      <c r="F233" t="s">
        <v>13</v>
      </c>
      <c r="G233" t="s">
        <v>525</v>
      </c>
    </row>
    <row r="234" spans="1:7" x14ac:dyDescent="0.3">
      <c r="A234">
        <v>0</v>
      </c>
      <c r="B234" t="s">
        <v>314</v>
      </c>
      <c r="C234" t="s">
        <v>497</v>
      </c>
      <c r="D234" t="s">
        <v>494</v>
      </c>
      <c r="E234" t="s">
        <v>497</v>
      </c>
      <c r="F234" t="s">
        <v>13</v>
      </c>
      <c r="G234" t="s">
        <v>525</v>
      </c>
    </row>
    <row r="235" spans="1:7" x14ac:dyDescent="0.3">
      <c r="A235">
        <v>0</v>
      </c>
      <c r="B235" t="s">
        <v>314</v>
      </c>
      <c r="C235" t="s">
        <v>496</v>
      </c>
      <c r="D235" t="s">
        <v>494</v>
      </c>
      <c r="E235" t="s">
        <v>496</v>
      </c>
      <c r="F235" t="s">
        <v>13</v>
      </c>
      <c r="G235" t="s">
        <v>525</v>
      </c>
    </row>
    <row r="236" spans="1:7" x14ac:dyDescent="0.3">
      <c r="A236">
        <v>0</v>
      </c>
      <c r="B236" t="s">
        <v>312</v>
      </c>
      <c r="C236" t="s">
        <v>513</v>
      </c>
      <c r="D236" t="s">
        <v>498</v>
      </c>
      <c r="E236" t="s">
        <v>513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515</v>
      </c>
      <c r="D237" t="s">
        <v>498</v>
      </c>
      <c r="E237" t="s">
        <v>515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509</v>
      </c>
      <c r="D238" t="s">
        <v>498</v>
      </c>
      <c r="E238" t="s">
        <v>509</v>
      </c>
      <c r="F238" t="s">
        <v>13</v>
      </c>
      <c r="G238" t="s">
        <v>525</v>
      </c>
    </row>
    <row r="239" spans="1:7" x14ac:dyDescent="0.3">
      <c r="A239">
        <v>0</v>
      </c>
      <c r="B239" t="s">
        <v>312</v>
      </c>
      <c r="C239" t="s">
        <v>502</v>
      </c>
      <c r="D239" t="s">
        <v>498</v>
      </c>
      <c r="E239" t="s">
        <v>502</v>
      </c>
      <c r="F239" t="s">
        <v>13</v>
      </c>
      <c r="G239" t="s">
        <v>525</v>
      </c>
    </row>
    <row r="240" spans="1:7" x14ac:dyDescent="0.3">
      <c r="A240">
        <v>0</v>
      </c>
      <c r="B240" t="s">
        <v>312</v>
      </c>
      <c r="C240" t="s">
        <v>500</v>
      </c>
      <c r="D240" t="s">
        <v>498</v>
      </c>
      <c r="E240" t="s">
        <v>500</v>
      </c>
      <c r="F240" t="s">
        <v>13</v>
      </c>
      <c r="G240" t="s">
        <v>525</v>
      </c>
    </row>
    <row r="241" spans="1:7" x14ac:dyDescent="0.3">
      <c r="A241">
        <v>0</v>
      </c>
      <c r="B241" t="s">
        <v>507</v>
      </c>
      <c r="C241" t="s">
        <v>506</v>
      </c>
      <c r="D241" t="s">
        <v>498</v>
      </c>
      <c r="E241" t="s">
        <v>506</v>
      </c>
      <c r="F241" t="s">
        <v>13</v>
      </c>
      <c r="G241" t="s">
        <v>525</v>
      </c>
    </row>
    <row r="242" spans="1:7" x14ac:dyDescent="0.3">
      <c r="A242">
        <v>0</v>
      </c>
      <c r="B242" t="s">
        <v>312</v>
      </c>
      <c r="C242" t="s">
        <v>514</v>
      </c>
      <c r="D242" t="s">
        <v>498</v>
      </c>
      <c r="E242" t="s">
        <v>514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499</v>
      </c>
      <c r="D243" t="s">
        <v>498</v>
      </c>
      <c r="E243" t="s">
        <v>499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508</v>
      </c>
      <c r="D244" t="s">
        <v>498</v>
      </c>
      <c r="E244" t="s">
        <v>508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t="s">
        <v>519</v>
      </c>
      <c r="D245" t="s">
        <v>498</v>
      </c>
      <c r="E245" t="s">
        <v>519</v>
      </c>
      <c r="F245" t="s">
        <v>13</v>
      </c>
      <c r="G245" t="s">
        <v>525</v>
      </c>
    </row>
    <row r="246" spans="1:7" x14ac:dyDescent="0.3">
      <c r="A246">
        <v>0</v>
      </c>
      <c r="B246" t="s">
        <v>312</v>
      </c>
      <c r="C246" t="s">
        <v>510</v>
      </c>
      <c r="D246" t="s">
        <v>498</v>
      </c>
      <c r="E246" t="s">
        <v>510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521</v>
      </c>
      <c r="D247" t="s">
        <v>498</v>
      </c>
      <c r="E247" t="s">
        <v>521</v>
      </c>
      <c r="F247" t="s">
        <v>13</v>
      </c>
      <c r="G247" t="s">
        <v>525</v>
      </c>
    </row>
    <row r="248" spans="1:7" x14ac:dyDescent="0.3">
      <c r="A248">
        <v>0</v>
      </c>
      <c r="B248" t="s">
        <v>312</v>
      </c>
      <c r="C248" t="s">
        <v>501</v>
      </c>
      <c r="D248" t="s">
        <v>498</v>
      </c>
      <c r="E248" t="s">
        <v>501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504</v>
      </c>
      <c r="D249" t="s">
        <v>498</v>
      </c>
      <c r="E249" t="s">
        <v>504</v>
      </c>
      <c r="F249" t="s">
        <v>13</v>
      </c>
      <c r="G249" t="s">
        <v>525</v>
      </c>
    </row>
    <row r="250" spans="1:7" x14ac:dyDescent="0.3">
      <c r="A250">
        <v>0</v>
      </c>
      <c r="B250" t="s">
        <v>312</v>
      </c>
      <c r="C250" t="s">
        <v>520</v>
      </c>
      <c r="D250" t="s">
        <v>498</v>
      </c>
      <c r="E250" t="s">
        <v>520</v>
      </c>
      <c r="F250" t="s">
        <v>13</v>
      </c>
      <c r="G250" t="s">
        <v>525</v>
      </c>
    </row>
    <row r="251" spans="1:7" x14ac:dyDescent="0.3">
      <c r="A251">
        <v>0</v>
      </c>
      <c r="B251" t="s">
        <v>312</v>
      </c>
      <c r="C251" t="s">
        <v>523</v>
      </c>
      <c r="D251" t="s">
        <v>498</v>
      </c>
      <c r="E251" t="s">
        <v>523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503</v>
      </c>
      <c r="D252" t="s">
        <v>498</v>
      </c>
      <c r="E252" t="s">
        <v>503</v>
      </c>
      <c r="F252" t="s">
        <v>13</v>
      </c>
      <c r="G252" t="s">
        <v>525</v>
      </c>
    </row>
    <row r="253" spans="1:7" x14ac:dyDescent="0.3">
      <c r="A253">
        <v>0</v>
      </c>
      <c r="B253" t="s">
        <v>312</v>
      </c>
      <c r="C253" t="s">
        <v>512</v>
      </c>
      <c r="D253" t="s">
        <v>498</v>
      </c>
      <c r="E253" t="s">
        <v>512</v>
      </c>
      <c r="F253" t="s">
        <v>13</v>
      </c>
      <c r="G253" t="s">
        <v>525</v>
      </c>
    </row>
    <row r="254" spans="1:7" x14ac:dyDescent="0.3">
      <c r="A254">
        <v>0</v>
      </c>
      <c r="B254" t="s">
        <v>312</v>
      </c>
      <c r="C254" t="s">
        <v>505</v>
      </c>
      <c r="D254" t="s">
        <v>498</v>
      </c>
      <c r="E254" t="s">
        <v>505</v>
      </c>
      <c r="F254" t="s">
        <v>13</v>
      </c>
      <c r="G254" t="s">
        <v>525</v>
      </c>
    </row>
    <row r="255" spans="1:7" x14ac:dyDescent="0.3">
      <c r="A255">
        <v>0</v>
      </c>
      <c r="B255" t="s">
        <v>312</v>
      </c>
      <c r="C255" t="s">
        <v>518</v>
      </c>
      <c r="D255" t="s">
        <v>498</v>
      </c>
      <c r="E255" t="s">
        <v>518</v>
      </c>
      <c r="F255" t="s">
        <v>13</v>
      </c>
      <c r="G255" t="s">
        <v>525</v>
      </c>
    </row>
    <row r="256" spans="1:7" x14ac:dyDescent="0.3">
      <c r="A256">
        <v>0</v>
      </c>
      <c r="B256" t="s">
        <v>312</v>
      </c>
      <c r="C256" t="s">
        <v>522</v>
      </c>
      <c r="D256" t="s">
        <v>498</v>
      </c>
      <c r="E256" t="s">
        <v>522</v>
      </c>
      <c r="F256" t="s">
        <v>13</v>
      </c>
      <c r="G256" t="s">
        <v>525</v>
      </c>
    </row>
    <row r="257" spans="1:7" x14ac:dyDescent="0.3">
      <c r="A257">
        <v>0</v>
      </c>
      <c r="B257" t="s">
        <v>312</v>
      </c>
      <c r="C257" t="s">
        <v>516</v>
      </c>
      <c r="D257" t="s">
        <v>498</v>
      </c>
      <c r="E257" t="s">
        <v>516</v>
      </c>
      <c r="F257" t="s">
        <v>13</v>
      </c>
      <c r="G257" t="s">
        <v>525</v>
      </c>
    </row>
    <row r="258" spans="1:7" x14ac:dyDescent="0.3">
      <c r="A258">
        <v>0</v>
      </c>
      <c r="B258" t="s">
        <v>312</v>
      </c>
      <c r="C258" t="s">
        <v>517</v>
      </c>
      <c r="D258" t="s">
        <v>498</v>
      </c>
      <c r="E258" t="s">
        <v>517</v>
      </c>
      <c r="F258" t="s">
        <v>13</v>
      </c>
      <c r="G258" t="s">
        <v>525</v>
      </c>
    </row>
    <row r="259" spans="1:7" x14ac:dyDescent="0.3">
      <c r="A259">
        <v>0</v>
      </c>
      <c r="B259" t="s">
        <v>16</v>
      </c>
      <c r="C259" s="2" t="s">
        <v>22</v>
      </c>
      <c r="D259" t="s">
        <v>2</v>
      </c>
      <c r="E259" s="2" t="s">
        <v>22</v>
      </c>
      <c r="F259" t="s">
        <v>13</v>
      </c>
      <c r="G259" t="s">
        <v>525</v>
      </c>
    </row>
    <row r="260" spans="1:7" x14ac:dyDescent="0.3">
      <c r="A260">
        <v>0</v>
      </c>
      <c r="B260" t="s">
        <v>16</v>
      </c>
      <c r="C260" s="2" t="s">
        <v>49</v>
      </c>
      <c r="D260" t="s">
        <v>2</v>
      </c>
      <c r="E260" s="2" t="s">
        <v>49</v>
      </c>
      <c r="F260" t="s">
        <v>13</v>
      </c>
      <c r="G260" t="s">
        <v>525</v>
      </c>
    </row>
    <row r="261" spans="1:7" x14ac:dyDescent="0.3">
      <c r="A261">
        <v>0</v>
      </c>
      <c r="B261" t="s">
        <v>312</v>
      </c>
      <c r="C261" s="2" t="s">
        <v>55</v>
      </c>
      <c r="D261" t="s">
        <v>2</v>
      </c>
      <c r="E261" s="2" t="s">
        <v>55</v>
      </c>
      <c r="F261" t="s">
        <v>13</v>
      </c>
      <c r="G261" t="s">
        <v>525</v>
      </c>
    </row>
    <row r="262" spans="1:7" x14ac:dyDescent="0.3">
      <c r="A262">
        <v>0</v>
      </c>
      <c r="B262" t="s">
        <v>312</v>
      </c>
      <c r="C262" t="s">
        <v>59</v>
      </c>
      <c r="D262" t="s">
        <v>2</v>
      </c>
      <c r="E262" t="s">
        <v>59</v>
      </c>
      <c r="F262" t="s">
        <v>13</v>
      </c>
      <c r="G262" t="s">
        <v>525</v>
      </c>
    </row>
    <row r="263" spans="1:7" x14ac:dyDescent="0.3">
      <c r="A263">
        <v>0</v>
      </c>
      <c r="B263" t="s">
        <v>16</v>
      </c>
      <c r="C263" s="2" t="s">
        <v>61</v>
      </c>
      <c r="D263" t="s">
        <v>2</v>
      </c>
      <c r="E263" s="2" t="s">
        <v>61</v>
      </c>
      <c r="F263" t="s">
        <v>13</v>
      </c>
      <c r="G263" t="s">
        <v>525</v>
      </c>
    </row>
    <row r="264" spans="1:7" x14ac:dyDescent="0.3">
      <c r="A264">
        <v>0</v>
      </c>
      <c r="B264" t="s">
        <v>312</v>
      </c>
      <c r="C264" s="2" t="s">
        <v>67</v>
      </c>
      <c r="D264" t="s">
        <v>2</v>
      </c>
      <c r="E264" s="2" t="s">
        <v>67</v>
      </c>
      <c r="F264" t="s">
        <v>13</v>
      </c>
      <c r="G264" t="s">
        <v>525</v>
      </c>
    </row>
    <row r="265" spans="1:7" x14ac:dyDescent="0.3">
      <c r="A265">
        <v>0</v>
      </c>
      <c r="B265" t="s">
        <v>312</v>
      </c>
      <c r="C265" t="s">
        <v>73</v>
      </c>
      <c r="D265" t="s">
        <v>2</v>
      </c>
      <c r="E265" t="s">
        <v>73</v>
      </c>
      <c r="F265" t="s">
        <v>13</v>
      </c>
      <c r="G265" t="s">
        <v>525</v>
      </c>
    </row>
    <row r="266" spans="1:7" x14ac:dyDescent="0.3">
      <c r="A266">
        <v>0</v>
      </c>
      <c r="B266" t="s">
        <v>312</v>
      </c>
      <c r="C266" t="s">
        <v>79</v>
      </c>
      <c r="D266" t="s">
        <v>2</v>
      </c>
      <c r="E266" t="s">
        <v>79</v>
      </c>
      <c r="F266" t="s">
        <v>13</v>
      </c>
      <c r="G266" t="s">
        <v>525</v>
      </c>
    </row>
    <row r="267" spans="1:7" x14ac:dyDescent="0.3">
      <c r="A267">
        <v>0</v>
      </c>
      <c r="B267" t="s">
        <v>312</v>
      </c>
      <c r="C267" t="s">
        <v>82</v>
      </c>
      <c r="D267" t="s">
        <v>2</v>
      </c>
      <c r="E267" t="s">
        <v>82</v>
      </c>
      <c r="F267" t="s">
        <v>13</v>
      </c>
      <c r="G267" t="s">
        <v>525</v>
      </c>
    </row>
    <row r="268" spans="1:7" x14ac:dyDescent="0.3">
      <c r="A268">
        <v>0</v>
      </c>
      <c r="B268" t="s">
        <v>312</v>
      </c>
      <c r="C268" t="s">
        <v>85</v>
      </c>
      <c r="D268" t="s">
        <v>2</v>
      </c>
      <c r="E268" t="s">
        <v>85</v>
      </c>
      <c r="F268" t="s">
        <v>13</v>
      </c>
      <c r="G268" t="s">
        <v>525</v>
      </c>
    </row>
    <row r="269" spans="1:7" x14ac:dyDescent="0.3">
      <c r="A269">
        <v>0</v>
      </c>
      <c r="B269" t="s">
        <v>312</v>
      </c>
      <c r="C269" t="s">
        <v>88</v>
      </c>
      <c r="D269" t="s">
        <v>2</v>
      </c>
      <c r="E269" t="s">
        <v>88</v>
      </c>
      <c r="F269" t="s">
        <v>13</v>
      </c>
      <c r="G269" t="s">
        <v>525</v>
      </c>
    </row>
    <row r="270" spans="1:7" x14ac:dyDescent="0.3">
      <c r="A270">
        <v>0</v>
      </c>
      <c r="B270" t="s">
        <v>312</v>
      </c>
      <c r="C270" t="s">
        <v>91</v>
      </c>
      <c r="D270" t="s">
        <v>2</v>
      </c>
      <c r="E270" t="s">
        <v>91</v>
      </c>
      <c r="F270" t="s">
        <v>13</v>
      </c>
      <c r="G270" t="s">
        <v>525</v>
      </c>
    </row>
    <row r="271" spans="1:7" x14ac:dyDescent="0.3">
      <c r="A271">
        <v>0</v>
      </c>
      <c r="B271" t="s">
        <v>312</v>
      </c>
      <c r="C271" t="s">
        <v>94</v>
      </c>
      <c r="D271" t="s">
        <v>2</v>
      </c>
      <c r="E271" t="s">
        <v>94</v>
      </c>
      <c r="F271" t="s">
        <v>13</v>
      </c>
      <c r="G271" t="s">
        <v>525</v>
      </c>
    </row>
    <row r="272" spans="1:7" x14ac:dyDescent="0.3">
      <c r="A272">
        <v>0</v>
      </c>
      <c r="B272" t="s">
        <v>312</v>
      </c>
      <c r="C272" t="s">
        <v>97</v>
      </c>
      <c r="D272" t="s">
        <v>2</v>
      </c>
      <c r="E272" t="s">
        <v>97</v>
      </c>
      <c r="F272" t="s">
        <v>13</v>
      </c>
      <c r="G272" t="s">
        <v>525</v>
      </c>
    </row>
    <row r="273" spans="1:7" x14ac:dyDescent="0.3">
      <c r="A273">
        <v>0</v>
      </c>
      <c r="B273" t="s">
        <v>312</v>
      </c>
      <c r="C273" t="s">
        <v>100</v>
      </c>
      <c r="D273" t="s">
        <v>2</v>
      </c>
      <c r="E273" t="s">
        <v>100</v>
      </c>
      <c r="F273" t="s">
        <v>13</v>
      </c>
      <c r="G273" t="s">
        <v>525</v>
      </c>
    </row>
  </sheetData>
  <pageMargins left="0.75" right="0.75" top="1" bottom="1" header="0.5" footer="0.5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3"/>
  <sheetViews>
    <sheetView topLeftCell="A15" workbookViewId="0">
      <selection activeCell="E28" sqref="E28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0.59523809523809501</v>
      </c>
      <c r="B2" t="s">
        <v>57</v>
      </c>
      <c r="C2" t="s">
        <v>708</v>
      </c>
      <c r="D2" t="s">
        <v>2</v>
      </c>
      <c r="E2" s="19" t="s">
        <v>67</v>
      </c>
      <c r="F2" s="4" t="s">
        <v>13</v>
      </c>
      <c r="G2" t="s">
        <v>525</v>
      </c>
      <c r="H2" t="s">
        <v>626</v>
      </c>
    </row>
    <row r="3" spans="1:9" x14ac:dyDescent="0.3">
      <c r="A3">
        <v>9.9852071005917167E-3</v>
      </c>
      <c r="B3" t="s">
        <v>57</v>
      </c>
      <c r="C3" t="s">
        <v>709</v>
      </c>
      <c r="D3" t="s">
        <v>2</v>
      </c>
      <c r="E3" s="18" t="s">
        <v>371</v>
      </c>
      <c r="F3" t="s">
        <v>13</v>
      </c>
      <c r="G3" t="s">
        <v>525</v>
      </c>
      <c r="H3" t="s">
        <v>626</v>
      </c>
    </row>
    <row r="4" spans="1:9" x14ac:dyDescent="0.3">
      <c r="A4">
        <v>1.499835634451019E-2</v>
      </c>
      <c r="B4" t="s">
        <v>57</v>
      </c>
      <c r="C4" t="s">
        <v>666</v>
      </c>
      <c r="D4" t="s">
        <v>2</v>
      </c>
      <c r="E4" t="s">
        <v>149</v>
      </c>
      <c r="F4" t="s">
        <v>13</v>
      </c>
      <c r="G4" t="s">
        <v>525</v>
      </c>
      <c r="H4" t="s">
        <v>626</v>
      </c>
    </row>
    <row r="5" spans="1:9" x14ac:dyDescent="0.3">
      <c r="A5">
        <v>2.6997041420118344E-3</v>
      </c>
      <c r="B5" t="s">
        <v>57</v>
      </c>
      <c r="C5" t="s">
        <v>665</v>
      </c>
      <c r="D5" t="s">
        <v>2</v>
      </c>
      <c r="E5" t="s">
        <v>149</v>
      </c>
      <c r="F5" t="s">
        <v>13</v>
      </c>
      <c r="G5" t="s">
        <v>525</v>
      </c>
      <c r="H5" t="s">
        <v>626</v>
      </c>
    </row>
    <row r="6" spans="1:9" x14ac:dyDescent="0.3">
      <c r="A6">
        <v>3.8995726495726496E-2</v>
      </c>
      <c r="B6" t="s">
        <v>57</v>
      </c>
      <c r="C6" t="s">
        <v>710</v>
      </c>
      <c r="D6" t="s">
        <v>2</v>
      </c>
      <c r="E6" t="s">
        <v>149</v>
      </c>
      <c r="F6" t="s">
        <v>13</v>
      </c>
      <c r="G6" t="s">
        <v>525</v>
      </c>
      <c r="H6" t="s">
        <v>626</v>
      </c>
    </row>
    <row r="7" spans="1:9" x14ac:dyDescent="0.3">
      <c r="A7">
        <v>0.29996712689020383</v>
      </c>
      <c r="B7" t="s">
        <v>57</v>
      </c>
      <c r="C7" t="s">
        <v>711</v>
      </c>
      <c r="D7" t="s">
        <v>2</v>
      </c>
      <c r="E7" t="s">
        <v>149</v>
      </c>
      <c r="F7" t="s">
        <v>13</v>
      </c>
      <c r="G7" t="s">
        <v>525</v>
      </c>
      <c r="H7" t="s">
        <v>626</v>
      </c>
    </row>
    <row r="8" spans="1:9" x14ac:dyDescent="0.3">
      <c r="A8">
        <v>0.23997370151216305</v>
      </c>
      <c r="B8" t="s">
        <v>57</v>
      </c>
      <c r="C8" t="s">
        <v>712</v>
      </c>
      <c r="D8" t="s">
        <v>2</v>
      </c>
      <c r="E8" t="s">
        <v>149</v>
      </c>
      <c r="F8" t="s">
        <v>13</v>
      </c>
      <c r="G8" t="s">
        <v>525</v>
      </c>
      <c r="H8" t="s">
        <v>626</v>
      </c>
    </row>
    <row r="9" spans="1:9" x14ac:dyDescent="0.3">
      <c r="A9">
        <v>2.0011505588428667E-3</v>
      </c>
      <c r="B9" t="s">
        <v>57</v>
      </c>
      <c r="C9" t="s">
        <v>713</v>
      </c>
      <c r="D9" t="s">
        <v>2</v>
      </c>
      <c r="E9" t="s">
        <v>149</v>
      </c>
      <c r="F9" t="s">
        <v>13</v>
      </c>
      <c r="G9" t="s">
        <v>525</v>
      </c>
      <c r="H9" t="s">
        <v>626</v>
      </c>
    </row>
    <row r="10" spans="1:9" x14ac:dyDescent="0.3">
      <c r="A10">
        <v>7.4375410913872456E-3</v>
      </c>
      <c r="B10" t="s">
        <v>57</v>
      </c>
      <c r="C10" t="s">
        <v>714</v>
      </c>
      <c r="D10" t="s">
        <v>2</v>
      </c>
      <c r="E10" s="18" t="s">
        <v>345</v>
      </c>
      <c r="F10" t="s">
        <v>13</v>
      </c>
      <c r="G10" t="s">
        <v>525</v>
      </c>
      <c r="H10" t="s">
        <v>626</v>
      </c>
    </row>
    <row r="11" spans="1:9" x14ac:dyDescent="0.3">
      <c r="A11">
        <v>1.510490916333472E-3</v>
      </c>
      <c r="B11" t="s">
        <v>57</v>
      </c>
      <c r="C11" t="s">
        <v>715</v>
      </c>
      <c r="D11" t="s">
        <v>2</v>
      </c>
      <c r="E11" s="2" t="s">
        <v>322</v>
      </c>
      <c r="F11" t="s">
        <v>13</v>
      </c>
      <c r="G11" t="s">
        <v>525</v>
      </c>
      <c r="H11" t="s">
        <v>626</v>
      </c>
    </row>
    <row r="12" spans="1:9" x14ac:dyDescent="0.3">
      <c r="A12">
        <v>8.948032007720718E-3</v>
      </c>
      <c r="B12" t="s">
        <v>57</v>
      </c>
      <c r="C12" t="s">
        <v>614</v>
      </c>
      <c r="D12" t="s">
        <v>2</v>
      </c>
      <c r="E12" s="2" t="s">
        <v>322</v>
      </c>
      <c r="F12" t="s">
        <v>13</v>
      </c>
      <c r="G12" t="s">
        <v>525</v>
      </c>
      <c r="H12" t="s">
        <v>626</v>
      </c>
    </row>
    <row r="13" spans="1:9" x14ac:dyDescent="0.3">
      <c r="A13">
        <v>4.7619047619047619</v>
      </c>
      <c r="B13" t="s">
        <v>542</v>
      </c>
      <c r="C13" t="s">
        <v>648</v>
      </c>
      <c r="D13" t="s">
        <v>2</v>
      </c>
      <c r="E13" t="s">
        <v>111</v>
      </c>
      <c r="F13" t="s">
        <v>13</v>
      </c>
      <c r="G13" t="s">
        <v>525</v>
      </c>
      <c r="H13" t="s">
        <v>626</v>
      </c>
    </row>
    <row r="14" spans="1:9" x14ac:dyDescent="0.3">
      <c r="A14">
        <f>3.99819197896121/48</f>
        <v>8.3295666228358545E-2</v>
      </c>
      <c r="B14" t="s">
        <v>57</v>
      </c>
      <c r="C14" t="s">
        <v>671</v>
      </c>
      <c r="D14" t="s">
        <v>2</v>
      </c>
      <c r="E14" t="s">
        <v>398</v>
      </c>
      <c r="F14" t="s">
        <v>13</v>
      </c>
      <c r="G14" t="s">
        <v>525</v>
      </c>
      <c r="H14" t="s">
        <v>626</v>
      </c>
    </row>
    <row r="15" spans="1:9" x14ac:dyDescent="0.3">
      <c r="A15">
        <v>1.1012491781722601E-4</v>
      </c>
      <c r="B15" s="2" t="s">
        <v>319</v>
      </c>
      <c r="C15" t="s">
        <v>716</v>
      </c>
      <c r="D15" t="s">
        <v>2</v>
      </c>
      <c r="E15" s="18" t="s">
        <v>375</v>
      </c>
      <c r="F15" t="s">
        <v>13</v>
      </c>
      <c r="G15" t="s">
        <v>525</v>
      </c>
      <c r="H15" t="s">
        <v>626</v>
      </c>
    </row>
    <row r="16" spans="1:9" x14ac:dyDescent="0.3">
      <c r="A16">
        <f>$A$2*'[1]Ingot prod EU'!I12</f>
        <v>0</v>
      </c>
      <c r="B16" t="s">
        <v>314</v>
      </c>
      <c r="C16" t="s">
        <v>620</v>
      </c>
      <c r="D16" t="s">
        <v>2</v>
      </c>
      <c r="E16" s="2" t="s">
        <v>455</v>
      </c>
      <c r="F16" t="s">
        <v>13</v>
      </c>
      <c r="G16" t="s">
        <v>525</v>
      </c>
      <c r="H16" t="s">
        <v>621</v>
      </c>
    </row>
    <row r="17" spans="1:8" x14ac:dyDescent="0.3">
      <c r="A17">
        <f>$A$2*'[1]Ingot prod EU'!I13</f>
        <v>7.2793179377679282E-8</v>
      </c>
      <c r="B17" s="2" t="s">
        <v>314</v>
      </c>
      <c r="C17" t="s">
        <v>622</v>
      </c>
      <c r="D17" t="s">
        <v>2</v>
      </c>
      <c r="E17" s="2" t="s">
        <v>409</v>
      </c>
      <c r="F17" t="s">
        <v>13</v>
      </c>
      <c r="G17" t="s">
        <v>525</v>
      </c>
      <c r="H17" t="s">
        <v>621</v>
      </c>
    </row>
    <row r="18" spans="1:8" x14ac:dyDescent="0.3">
      <c r="A18">
        <f>$A$2*'[1]Ingot prod EU'!I14</f>
        <v>9.765513937975687E-8</v>
      </c>
      <c r="B18" s="2" t="s">
        <v>314</v>
      </c>
      <c r="C18" t="s">
        <v>623</v>
      </c>
      <c r="D18" t="s">
        <v>2</v>
      </c>
      <c r="E18" s="2" t="s">
        <v>443</v>
      </c>
      <c r="F18" t="s">
        <v>13</v>
      </c>
      <c r="G18" t="s">
        <v>525</v>
      </c>
      <c r="H18" t="s">
        <v>621</v>
      </c>
    </row>
    <row r="19" spans="1:8" x14ac:dyDescent="0.3">
      <c r="A19">
        <f>55.5555555555556*2.31803430690774E-09</f>
        <v>1.2877968371709678E-7</v>
      </c>
      <c r="B19" t="s">
        <v>314</v>
      </c>
      <c r="C19" t="s">
        <v>717</v>
      </c>
      <c r="D19" t="s">
        <v>2</v>
      </c>
      <c r="E19" t="s">
        <v>341</v>
      </c>
      <c r="F19" t="s">
        <v>13</v>
      </c>
      <c r="G19" t="s">
        <v>525</v>
      </c>
      <c r="H19" t="s">
        <v>626</v>
      </c>
    </row>
    <row r="20" spans="1:8" x14ac:dyDescent="0.3">
      <c r="A20">
        <v>1.2569416796599355E-7</v>
      </c>
      <c r="B20" t="s">
        <v>314</v>
      </c>
      <c r="C20" t="s">
        <v>654</v>
      </c>
      <c r="D20" t="s">
        <v>2</v>
      </c>
      <c r="E20" s="2" t="s">
        <v>449</v>
      </c>
      <c r="F20" t="s">
        <v>13</v>
      </c>
      <c r="G20" t="s">
        <v>525</v>
      </c>
      <c r="H20" t="s">
        <v>655</v>
      </c>
    </row>
    <row r="21" spans="1:8" x14ac:dyDescent="0.3">
      <c r="A21">
        <v>6.9131792381296471E-7</v>
      </c>
      <c r="B21" t="s">
        <v>314</v>
      </c>
      <c r="C21" t="s">
        <v>656</v>
      </c>
      <c r="D21" t="s">
        <v>2</v>
      </c>
      <c r="E21" s="2" t="s">
        <v>487</v>
      </c>
      <c r="F21" t="s">
        <v>13</v>
      </c>
      <c r="G21" t="s">
        <v>525</v>
      </c>
      <c r="H21" t="s">
        <v>655</v>
      </c>
    </row>
    <row r="22" spans="1:8" x14ac:dyDescent="0.3">
      <c r="A22">
        <v>7.2201068575814916E-7</v>
      </c>
      <c r="B22" t="s">
        <v>314</v>
      </c>
      <c r="C22" t="s">
        <v>495</v>
      </c>
      <c r="D22" t="s">
        <v>494</v>
      </c>
      <c r="E22" t="s">
        <v>495</v>
      </c>
      <c r="F22" t="s">
        <v>13</v>
      </c>
      <c r="G22" t="s">
        <v>525</v>
      </c>
      <c r="H22" t="s">
        <v>655</v>
      </c>
    </row>
    <row r="23" spans="1:8" x14ac:dyDescent="0.3">
      <c r="A23">
        <v>1.0640157474330618E-6</v>
      </c>
      <c r="B23" t="s">
        <v>314</v>
      </c>
      <c r="C23" t="s">
        <v>496</v>
      </c>
      <c r="D23" t="s">
        <v>494</v>
      </c>
      <c r="E23" s="2" t="s">
        <v>496</v>
      </c>
      <c r="F23" t="s">
        <v>13</v>
      </c>
      <c r="G23" t="s">
        <v>525</v>
      </c>
      <c r="H23" t="s">
        <v>655</v>
      </c>
    </row>
    <row r="24" spans="1:8" x14ac:dyDescent="0.3">
      <c r="A24">
        <v>7.6001124816647296E-7</v>
      </c>
      <c r="B24" t="s">
        <v>314</v>
      </c>
      <c r="C24" t="s">
        <v>497</v>
      </c>
      <c r="D24" t="s">
        <v>494</v>
      </c>
      <c r="E24" s="2" t="s">
        <v>497</v>
      </c>
      <c r="F24" t="s">
        <v>13</v>
      </c>
      <c r="G24" t="s">
        <v>525</v>
      </c>
      <c r="H24" t="s">
        <v>655</v>
      </c>
    </row>
    <row r="25" spans="1:8" x14ac:dyDescent="0.3">
      <c r="A25">
        <v>1.1157500364954052E-7</v>
      </c>
      <c r="B25" t="s">
        <v>507</v>
      </c>
      <c r="C25" t="s">
        <v>506</v>
      </c>
      <c r="D25" t="s">
        <v>498</v>
      </c>
      <c r="E25" s="2" t="s">
        <v>506</v>
      </c>
      <c r="F25" t="s">
        <v>13</v>
      </c>
      <c r="G25" t="s">
        <v>525</v>
      </c>
      <c r="H25" t="s">
        <v>655</v>
      </c>
    </row>
    <row r="26" spans="1:8" x14ac:dyDescent="0.3">
      <c r="A26">
        <v>0.22429857001972389</v>
      </c>
      <c r="B26" t="s">
        <v>57</v>
      </c>
      <c r="C26" t="s">
        <v>535</v>
      </c>
      <c r="D26" t="s">
        <v>498</v>
      </c>
      <c r="E26" t="s">
        <v>502</v>
      </c>
      <c r="F26" t="s">
        <v>13</v>
      </c>
      <c r="G26" t="s">
        <v>525</v>
      </c>
      <c r="H26" t="s">
        <v>658</v>
      </c>
    </row>
    <row r="27" spans="1:8" x14ac:dyDescent="0.3">
      <c r="A27">
        <v>1.9990959894806049E-5</v>
      </c>
      <c r="B27" t="s">
        <v>57</v>
      </c>
      <c r="C27" t="s">
        <v>500</v>
      </c>
      <c r="D27" t="s">
        <v>498</v>
      </c>
      <c r="E27" t="s">
        <v>500</v>
      </c>
      <c r="F27" t="s">
        <v>13</v>
      </c>
      <c r="G27" t="s">
        <v>525</v>
      </c>
      <c r="H27" t="s">
        <v>658</v>
      </c>
    </row>
    <row r="28" spans="1:8" x14ac:dyDescent="0.3">
      <c r="A28">
        <v>3.9981919789612104E-7</v>
      </c>
      <c r="B28" t="s">
        <v>57</v>
      </c>
      <c r="C28" t="s">
        <v>511</v>
      </c>
      <c r="D28" t="s">
        <v>498</v>
      </c>
      <c r="E28" t="s">
        <v>511</v>
      </c>
      <c r="F28" t="s">
        <v>13</v>
      </c>
      <c r="G28" t="s">
        <v>525</v>
      </c>
      <c r="H28" t="s">
        <v>658</v>
      </c>
    </row>
    <row r="29" spans="1:8" x14ac:dyDescent="0.3">
      <c r="A29">
        <v>0</v>
      </c>
      <c r="B29" t="s">
        <v>312</v>
      </c>
      <c r="C29" t="s">
        <v>483</v>
      </c>
      <c r="D29" t="s">
        <v>2</v>
      </c>
      <c r="E29" t="s">
        <v>483</v>
      </c>
      <c r="F29" t="s">
        <v>13</v>
      </c>
      <c r="G29" t="s">
        <v>525</v>
      </c>
    </row>
    <row r="30" spans="1:8" x14ac:dyDescent="0.3">
      <c r="A30">
        <v>0</v>
      </c>
      <c r="B30" t="s">
        <v>105</v>
      </c>
      <c r="C30" t="s">
        <v>125</v>
      </c>
      <c r="D30" t="s">
        <v>2</v>
      </c>
      <c r="E30" t="s">
        <v>125</v>
      </c>
      <c r="F30" t="s">
        <v>13</v>
      </c>
      <c r="G30" t="s">
        <v>525</v>
      </c>
    </row>
    <row r="31" spans="1:8" x14ac:dyDescent="0.3">
      <c r="A31">
        <v>0</v>
      </c>
      <c r="B31" t="s">
        <v>319</v>
      </c>
      <c r="C31" t="s">
        <v>461</v>
      </c>
      <c r="D31" t="s">
        <v>2</v>
      </c>
      <c r="E31" t="s">
        <v>461</v>
      </c>
      <c r="F31" t="s">
        <v>13</v>
      </c>
      <c r="G31" t="s">
        <v>525</v>
      </c>
    </row>
    <row r="32" spans="1:8" x14ac:dyDescent="0.3">
      <c r="A32">
        <v>0</v>
      </c>
      <c r="B32" t="s">
        <v>314</v>
      </c>
      <c r="C32" t="s">
        <v>395</v>
      </c>
      <c r="D32" t="s">
        <v>2</v>
      </c>
      <c r="E32" t="s">
        <v>395</v>
      </c>
      <c r="F32" t="s">
        <v>13</v>
      </c>
      <c r="G32" t="s">
        <v>525</v>
      </c>
    </row>
    <row r="33" spans="1:7" x14ac:dyDescent="0.3">
      <c r="A33">
        <v>0</v>
      </c>
      <c r="B33" t="s">
        <v>312</v>
      </c>
      <c r="C33" t="s">
        <v>399</v>
      </c>
      <c r="D33" t="s">
        <v>2</v>
      </c>
      <c r="E33" t="s">
        <v>399</v>
      </c>
      <c r="F33" t="s">
        <v>13</v>
      </c>
      <c r="G33" t="s">
        <v>525</v>
      </c>
    </row>
    <row r="34" spans="1:7" x14ac:dyDescent="0.3">
      <c r="A34">
        <v>0</v>
      </c>
      <c r="B34" t="s">
        <v>314</v>
      </c>
      <c r="C34" t="s">
        <v>432</v>
      </c>
      <c r="D34" t="s">
        <v>2</v>
      </c>
      <c r="E34" t="s">
        <v>432</v>
      </c>
      <c r="F34" t="s">
        <v>13</v>
      </c>
      <c r="G34" t="s">
        <v>525</v>
      </c>
    </row>
    <row r="35" spans="1:7" x14ac:dyDescent="0.3">
      <c r="A35">
        <v>0</v>
      </c>
      <c r="B35" t="s">
        <v>312</v>
      </c>
      <c r="C35" t="s">
        <v>325</v>
      </c>
      <c r="D35" t="s">
        <v>2</v>
      </c>
      <c r="E35" t="s">
        <v>325</v>
      </c>
      <c r="F35" t="s">
        <v>13</v>
      </c>
      <c r="G35" t="s">
        <v>525</v>
      </c>
    </row>
    <row r="36" spans="1:7" x14ac:dyDescent="0.3">
      <c r="A36">
        <v>0</v>
      </c>
      <c r="B36" t="s">
        <v>314</v>
      </c>
      <c r="C36" t="s">
        <v>372</v>
      </c>
      <c r="D36" t="s">
        <v>2</v>
      </c>
      <c r="E36" t="s">
        <v>372</v>
      </c>
      <c r="F36" t="s">
        <v>13</v>
      </c>
      <c r="G36" t="s">
        <v>525</v>
      </c>
    </row>
    <row r="37" spans="1:7" x14ac:dyDescent="0.3">
      <c r="A37">
        <v>0</v>
      </c>
      <c r="B37" t="s">
        <v>314</v>
      </c>
      <c r="C37" t="s">
        <v>260</v>
      </c>
      <c r="D37" t="s">
        <v>2</v>
      </c>
      <c r="E37" t="s">
        <v>260</v>
      </c>
      <c r="F37" t="s">
        <v>13</v>
      </c>
      <c r="G37" t="s">
        <v>525</v>
      </c>
    </row>
    <row r="38" spans="1:7" x14ac:dyDescent="0.3">
      <c r="A38">
        <v>0</v>
      </c>
      <c r="B38" t="s">
        <v>312</v>
      </c>
      <c r="C38" t="s">
        <v>330</v>
      </c>
      <c r="D38" t="s">
        <v>2</v>
      </c>
      <c r="E38" t="s">
        <v>330</v>
      </c>
      <c r="F38" t="s">
        <v>13</v>
      </c>
      <c r="G38" t="s">
        <v>525</v>
      </c>
    </row>
    <row r="39" spans="1:7" x14ac:dyDescent="0.3">
      <c r="A39">
        <v>0</v>
      </c>
      <c r="B39" t="s">
        <v>105</v>
      </c>
      <c r="C39" t="s">
        <v>401</v>
      </c>
      <c r="D39" t="s">
        <v>2</v>
      </c>
      <c r="E39" t="s">
        <v>401</v>
      </c>
      <c r="F39" t="s">
        <v>13</v>
      </c>
      <c r="G39" t="s">
        <v>525</v>
      </c>
    </row>
    <row r="40" spans="1:7" x14ac:dyDescent="0.3">
      <c r="A40">
        <v>0</v>
      </c>
      <c r="B40" t="s">
        <v>312</v>
      </c>
      <c r="C40" t="s">
        <v>416</v>
      </c>
      <c r="D40" t="s">
        <v>2</v>
      </c>
      <c r="E40" t="s">
        <v>416</v>
      </c>
      <c r="F40" t="s">
        <v>13</v>
      </c>
      <c r="G40" t="s">
        <v>525</v>
      </c>
    </row>
    <row r="41" spans="1:7" x14ac:dyDescent="0.3">
      <c r="A41">
        <v>0</v>
      </c>
      <c r="B41" t="s">
        <v>319</v>
      </c>
      <c r="C41" t="s">
        <v>375</v>
      </c>
      <c r="D41" t="s">
        <v>2</v>
      </c>
      <c r="E41" t="s">
        <v>375</v>
      </c>
      <c r="F41" t="s">
        <v>13</v>
      </c>
      <c r="G41" t="s">
        <v>525</v>
      </c>
    </row>
    <row r="42" spans="1:7" x14ac:dyDescent="0.3">
      <c r="A42">
        <v>0</v>
      </c>
      <c r="B42" t="s">
        <v>312</v>
      </c>
      <c r="C42" t="s">
        <v>333</v>
      </c>
      <c r="D42" t="s">
        <v>2</v>
      </c>
      <c r="E42" t="s">
        <v>333</v>
      </c>
      <c r="F42" t="s">
        <v>13</v>
      </c>
      <c r="G42" t="s">
        <v>525</v>
      </c>
    </row>
    <row r="43" spans="1:7" x14ac:dyDescent="0.3">
      <c r="A43">
        <v>0</v>
      </c>
      <c r="B43" t="s">
        <v>57</v>
      </c>
      <c r="C43" t="s">
        <v>118</v>
      </c>
      <c r="D43" t="s">
        <v>2</v>
      </c>
      <c r="E43" t="s">
        <v>118</v>
      </c>
      <c r="F43" t="s">
        <v>13</v>
      </c>
      <c r="G43" t="s">
        <v>525</v>
      </c>
    </row>
    <row r="44" spans="1:7" x14ac:dyDescent="0.3">
      <c r="A44">
        <v>0</v>
      </c>
      <c r="B44" t="s">
        <v>312</v>
      </c>
      <c r="C44" t="s">
        <v>406</v>
      </c>
      <c r="D44" t="s">
        <v>2</v>
      </c>
      <c r="E44" t="s">
        <v>406</v>
      </c>
      <c r="F44" t="s">
        <v>13</v>
      </c>
      <c r="G44" t="s">
        <v>525</v>
      </c>
    </row>
    <row r="45" spans="1:7" x14ac:dyDescent="0.3">
      <c r="A45">
        <v>0</v>
      </c>
      <c r="B45" t="s">
        <v>312</v>
      </c>
      <c r="C45" t="s">
        <v>315</v>
      </c>
      <c r="D45" t="s">
        <v>2</v>
      </c>
      <c r="E45" t="s">
        <v>315</v>
      </c>
      <c r="F45" t="s">
        <v>13</v>
      </c>
      <c r="G45" t="s">
        <v>525</v>
      </c>
    </row>
    <row r="46" spans="1:7" x14ac:dyDescent="0.3">
      <c r="A46">
        <v>0</v>
      </c>
      <c r="B46" t="s">
        <v>312</v>
      </c>
      <c r="C46" t="s">
        <v>358</v>
      </c>
      <c r="D46" t="s">
        <v>2</v>
      </c>
      <c r="E46" t="s">
        <v>358</v>
      </c>
      <c r="F46" t="s">
        <v>13</v>
      </c>
      <c r="G46" t="s">
        <v>525</v>
      </c>
    </row>
    <row r="47" spans="1:7" x14ac:dyDescent="0.3">
      <c r="A47">
        <v>0</v>
      </c>
      <c r="B47" t="s">
        <v>314</v>
      </c>
      <c r="C47" t="s">
        <v>444</v>
      </c>
      <c r="D47" t="s">
        <v>2</v>
      </c>
      <c r="E47" t="s">
        <v>444</v>
      </c>
      <c r="F47" t="s">
        <v>13</v>
      </c>
      <c r="G47" t="s">
        <v>525</v>
      </c>
    </row>
    <row r="48" spans="1:7" x14ac:dyDescent="0.3">
      <c r="A48">
        <v>0</v>
      </c>
      <c r="B48" t="s">
        <v>312</v>
      </c>
      <c r="C48" t="s">
        <v>439</v>
      </c>
      <c r="D48" t="s">
        <v>2</v>
      </c>
      <c r="E48" t="s">
        <v>439</v>
      </c>
      <c r="F48" t="s">
        <v>13</v>
      </c>
      <c r="G48" t="s">
        <v>525</v>
      </c>
    </row>
    <row r="49" spans="1:7" x14ac:dyDescent="0.3">
      <c r="A49">
        <v>0</v>
      </c>
      <c r="B49" t="s">
        <v>312</v>
      </c>
      <c r="C49" t="s">
        <v>381</v>
      </c>
      <c r="D49" t="s">
        <v>2</v>
      </c>
      <c r="E49" t="s">
        <v>381</v>
      </c>
      <c r="F49" t="s">
        <v>13</v>
      </c>
      <c r="G49" t="s">
        <v>525</v>
      </c>
    </row>
    <row r="50" spans="1:7" x14ac:dyDescent="0.3">
      <c r="A50">
        <v>0</v>
      </c>
      <c r="B50" t="s">
        <v>312</v>
      </c>
      <c r="C50" t="s">
        <v>418</v>
      </c>
      <c r="D50" t="s">
        <v>2</v>
      </c>
      <c r="E50" t="s">
        <v>418</v>
      </c>
      <c r="F50" t="s">
        <v>13</v>
      </c>
      <c r="G50" t="s">
        <v>525</v>
      </c>
    </row>
    <row r="51" spans="1:7" x14ac:dyDescent="0.3">
      <c r="A51">
        <v>0</v>
      </c>
      <c r="B51" t="s">
        <v>314</v>
      </c>
      <c r="C51" t="s">
        <v>465</v>
      </c>
      <c r="D51" t="s">
        <v>2</v>
      </c>
      <c r="E51" t="s">
        <v>465</v>
      </c>
      <c r="F51" t="s">
        <v>13</v>
      </c>
      <c r="G51" t="s">
        <v>525</v>
      </c>
    </row>
    <row r="52" spans="1:7" x14ac:dyDescent="0.3">
      <c r="A52">
        <v>0</v>
      </c>
      <c r="B52" t="s">
        <v>105</v>
      </c>
      <c r="C52" t="s">
        <v>103</v>
      </c>
      <c r="D52" t="s">
        <v>2</v>
      </c>
      <c r="E52" t="s">
        <v>103</v>
      </c>
      <c r="F52" t="s">
        <v>13</v>
      </c>
      <c r="G52" t="s">
        <v>525</v>
      </c>
    </row>
    <row r="53" spans="1:7" x14ac:dyDescent="0.3">
      <c r="A53">
        <v>0</v>
      </c>
      <c r="B53" t="s">
        <v>312</v>
      </c>
      <c r="C53" t="s">
        <v>320</v>
      </c>
      <c r="D53" t="s">
        <v>2</v>
      </c>
      <c r="E53" t="s">
        <v>320</v>
      </c>
      <c r="F53" t="s">
        <v>13</v>
      </c>
      <c r="G53" t="s">
        <v>525</v>
      </c>
    </row>
    <row r="54" spans="1:7" x14ac:dyDescent="0.3">
      <c r="A54">
        <v>0</v>
      </c>
      <c r="B54" t="s">
        <v>312</v>
      </c>
      <c r="C54" t="s">
        <v>334</v>
      </c>
      <c r="D54" t="s">
        <v>2</v>
      </c>
      <c r="E54" t="s">
        <v>334</v>
      </c>
      <c r="F54" t="s">
        <v>13</v>
      </c>
      <c r="G54" t="s">
        <v>525</v>
      </c>
    </row>
    <row r="55" spans="1:7" x14ac:dyDescent="0.3">
      <c r="A55">
        <v>0</v>
      </c>
      <c r="B55" t="s">
        <v>312</v>
      </c>
      <c r="C55" t="s">
        <v>435</v>
      </c>
      <c r="D55" t="s">
        <v>2</v>
      </c>
      <c r="E55" t="s">
        <v>435</v>
      </c>
      <c r="F55" t="s">
        <v>13</v>
      </c>
      <c r="G55" t="s">
        <v>525</v>
      </c>
    </row>
    <row r="56" spans="1:7" x14ac:dyDescent="0.3">
      <c r="A56">
        <v>0</v>
      </c>
      <c r="B56" t="s">
        <v>319</v>
      </c>
      <c r="C56" t="s">
        <v>456</v>
      </c>
      <c r="D56" t="s">
        <v>2</v>
      </c>
      <c r="E56" t="s">
        <v>456</v>
      </c>
      <c r="F56" t="s">
        <v>13</v>
      </c>
      <c r="G56" t="s">
        <v>525</v>
      </c>
    </row>
    <row r="57" spans="1:7" x14ac:dyDescent="0.3">
      <c r="A57">
        <v>0</v>
      </c>
      <c r="B57" t="s">
        <v>312</v>
      </c>
      <c r="C57" t="s">
        <v>474</v>
      </c>
      <c r="D57" t="s">
        <v>2</v>
      </c>
      <c r="E57" t="s">
        <v>474</v>
      </c>
      <c r="F57" t="s">
        <v>13</v>
      </c>
      <c r="G57" t="s">
        <v>525</v>
      </c>
    </row>
    <row r="58" spans="1:7" x14ac:dyDescent="0.3">
      <c r="A58">
        <v>0</v>
      </c>
      <c r="B58" t="s">
        <v>319</v>
      </c>
      <c r="C58" t="s">
        <v>318</v>
      </c>
      <c r="D58" t="s">
        <v>2</v>
      </c>
      <c r="E58" t="s">
        <v>318</v>
      </c>
      <c r="F58" t="s">
        <v>13</v>
      </c>
      <c r="G58" t="s">
        <v>525</v>
      </c>
    </row>
    <row r="59" spans="1:7" x14ac:dyDescent="0.3">
      <c r="A59">
        <v>0</v>
      </c>
      <c r="B59" t="s">
        <v>314</v>
      </c>
      <c r="C59" t="s">
        <v>475</v>
      </c>
      <c r="D59" t="s">
        <v>2</v>
      </c>
      <c r="E59" t="s">
        <v>475</v>
      </c>
      <c r="F59" t="s">
        <v>13</v>
      </c>
      <c r="G59" t="s">
        <v>525</v>
      </c>
    </row>
    <row r="60" spans="1:7" x14ac:dyDescent="0.3">
      <c r="A60">
        <v>0</v>
      </c>
      <c r="B60" t="s">
        <v>314</v>
      </c>
      <c r="C60" t="s">
        <v>449</v>
      </c>
      <c r="D60" t="s">
        <v>2</v>
      </c>
      <c r="E60" t="s">
        <v>449</v>
      </c>
      <c r="F60" t="s">
        <v>13</v>
      </c>
      <c r="G60" t="s">
        <v>525</v>
      </c>
    </row>
    <row r="61" spans="1:7" x14ac:dyDescent="0.3">
      <c r="A61">
        <v>0</v>
      </c>
      <c r="B61" t="s">
        <v>314</v>
      </c>
      <c r="C61" t="s">
        <v>176</v>
      </c>
      <c r="D61" t="s">
        <v>2</v>
      </c>
      <c r="E61" t="s">
        <v>176</v>
      </c>
      <c r="F61" t="s">
        <v>13</v>
      </c>
      <c r="G61" t="s">
        <v>525</v>
      </c>
    </row>
    <row r="62" spans="1:7" x14ac:dyDescent="0.3">
      <c r="A62">
        <v>0</v>
      </c>
      <c r="B62" t="s">
        <v>312</v>
      </c>
      <c r="C62" t="s">
        <v>388</v>
      </c>
      <c r="D62" t="s">
        <v>2</v>
      </c>
      <c r="E62" t="s">
        <v>388</v>
      </c>
      <c r="F62" t="s">
        <v>13</v>
      </c>
      <c r="G62" t="s">
        <v>525</v>
      </c>
    </row>
    <row r="63" spans="1:7" x14ac:dyDescent="0.3">
      <c r="A63">
        <v>0</v>
      </c>
      <c r="B63" t="s">
        <v>319</v>
      </c>
      <c r="C63" t="s">
        <v>429</v>
      </c>
      <c r="D63" t="s">
        <v>2</v>
      </c>
      <c r="E63" t="s">
        <v>429</v>
      </c>
      <c r="F63" t="s">
        <v>13</v>
      </c>
      <c r="G63" t="s">
        <v>525</v>
      </c>
    </row>
    <row r="64" spans="1:7" x14ac:dyDescent="0.3">
      <c r="A64">
        <v>0</v>
      </c>
      <c r="B64" t="s">
        <v>312</v>
      </c>
      <c r="C64" t="s">
        <v>272</v>
      </c>
      <c r="D64" t="s">
        <v>2</v>
      </c>
      <c r="E64" t="s">
        <v>272</v>
      </c>
      <c r="F64" t="s">
        <v>13</v>
      </c>
      <c r="G64" t="s">
        <v>525</v>
      </c>
    </row>
    <row r="65" spans="1:7" x14ac:dyDescent="0.3">
      <c r="A65">
        <v>0</v>
      </c>
      <c r="B65" t="s">
        <v>312</v>
      </c>
      <c r="C65" t="s">
        <v>410</v>
      </c>
      <c r="D65" t="s">
        <v>2</v>
      </c>
      <c r="E65" t="s">
        <v>410</v>
      </c>
      <c r="F65" t="s">
        <v>13</v>
      </c>
      <c r="G65" t="s">
        <v>525</v>
      </c>
    </row>
    <row r="66" spans="1:7" x14ac:dyDescent="0.3">
      <c r="A66">
        <v>0</v>
      </c>
      <c r="B66" t="s">
        <v>319</v>
      </c>
      <c r="C66" t="s">
        <v>363</v>
      </c>
      <c r="D66" t="s">
        <v>2</v>
      </c>
      <c r="E66" t="s">
        <v>363</v>
      </c>
      <c r="F66" t="s">
        <v>13</v>
      </c>
      <c r="G66" t="s">
        <v>525</v>
      </c>
    </row>
    <row r="67" spans="1:7" x14ac:dyDescent="0.3">
      <c r="A67">
        <v>0</v>
      </c>
      <c r="B67" t="s">
        <v>312</v>
      </c>
      <c r="C67" t="s">
        <v>382</v>
      </c>
      <c r="D67" t="s">
        <v>2</v>
      </c>
      <c r="E67" t="s">
        <v>382</v>
      </c>
      <c r="F67" t="s">
        <v>13</v>
      </c>
      <c r="G67" t="s">
        <v>525</v>
      </c>
    </row>
    <row r="68" spans="1:7" x14ac:dyDescent="0.3">
      <c r="A68">
        <v>0</v>
      </c>
      <c r="B68" t="s">
        <v>312</v>
      </c>
      <c r="C68" t="s">
        <v>424</v>
      </c>
      <c r="D68" t="s">
        <v>2</v>
      </c>
      <c r="E68" t="s">
        <v>424</v>
      </c>
      <c r="F68" t="s">
        <v>13</v>
      </c>
      <c r="G68" t="s">
        <v>525</v>
      </c>
    </row>
    <row r="69" spans="1:7" x14ac:dyDescent="0.3">
      <c r="A69">
        <v>0</v>
      </c>
      <c r="B69" t="s">
        <v>314</v>
      </c>
      <c r="C69" t="s">
        <v>351</v>
      </c>
      <c r="D69" t="s">
        <v>2</v>
      </c>
      <c r="E69" t="s">
        <v>351</v>
      </c>
      <c r="F69" t="s">
        <v>13</v>
      </c>
      <c r="G69" t="s">
        <v>525</v>
      </c>
    </row>
    <row r="70" spans="1:7" x14ac:dyDescent="0.3">
      <c r="A70">
        <v>0</v>
      </c>
      <c r="B70" t="s">
        <v>312</v>
      </c>
      <c r="C70" t="s">
        <v>347</v>
      </c>
      <c r="D70" t="s">
        <v>2</v>
      </c>
      <c r="E70" t="s">
        <v>347</v>
      </c>
      <c r="F70" t="s">
        <v>13</v>
      </c>
      <c r="G70" t="s">
        <v>525</v>
      </c>
    </row>
    <row r="71" spans="1:7" x14ac:dyDescent="0.3">
      <c r="A71">
        <v>0</v>
      </c>
      <c r="B71" t="s">
        <v>314</v>
      </c>
      <c r="C71" t="s">
        <v>453</v>
      </c>
      <c r="D71" t="s">
        <v>2</v>
      </c>
      <c r="E71" t="s">
        <v>453</v>
      </c>
      <c r="F71" t="s">
        <v>13</v>
      </c>
      <c r="G71" t="s">
        <v>525</v>
      </c>
    </row>
    <row r="72" spans="1:7" x14ac:dyDescent="0.3">
      <c r="A72">
        <v>0</v>
      </c>
      <c r="B72" t="s">
        <v>319</v>
      </c>
      <c r="C72" t="s">
        <v>457</v>
      </c>
      <c r="D72" t="s">
        <v>2</v>
      </c>
      <c r="E72" t="s">
        <v>457</v>
      </c>
      <c r="F72" t="s">
        <v>13</v>
      </c>
      <c r="G72" t="s">
        <v>525</v>
      </c>
    </row>
    <row r="73" spans="1:7" x14ac:dyDescent="0.3">
      <c r="A73">
        <v>0</v>
      </c>
      <c r="B73" t="s">
        <v>312</v>
      </c>
      <c r="C73" t="s">
        <v>485</v>
      </c>
      <c r="D73" t="s">
        <v>2</v>
      </c>
      <c r="E73" t="s">
        <v>485</v>
      </c>
      <c r="F73" t="s">
        <v>13</v>
      </c>
      <c r="G73" t="s">
        <v>525</v>
      </c>
    </row>
    <row r="74" spans="1:7" x14ac:dyDescent="0.3">
      <c r="A74">
        <v>0</v>
      </c>
      <c r="B74" t="s">
        <v>312</v>
      </c>
      <c r="C74" t="s">
        <v>355</v>
      </c>
      <c r="D74" t="s">
        <v>2</v>
      </c>
      <c r="E74" t="s">
        <v>355</v>
      </c>
      <c r="F74" t="s">
        <v>13</v>
      </c>
      <c r="G74" t="s">
        <v>525</v>
      </c>
    </row>
    <row r="75" spans="1:7" x14ac:dyDescent="0.3">
      <c r="A75">
        <v>0</v>
      </c>
      <c r="B75" t="s">
        <v>312</v>
      </c>
      <c r="C75" t="s">
        <v>338</v>
      </c>
      <c r="D75" t="s">
        <v>2</v>
      </c>
      <c r="E75" t="s">
        <v>338</v>
      </c>
      <c r="F75" t="s">
        <v>13</v>
      </c>
      <c r="G75" t="s">
        <v>525</v>
      </c>
    </row>
    <row r="76" spans="1:7" x14ac:dyDescent="0.3">
      <c r="A76">
        <v>0</v>
      </c>
      <c r="B76" t="s">
        <v>312</v>
      </c>
      <c r="C76" t="s">
        <v>394</v>
      </c>
      <c r="D76" t="s">
        <v>2</v>
      </c>
      <c r="E76" t="s">
        <v>394</v>
      </c>
      <c r="F76" t="s">
        <v>13</v>
      </c>
      <c r="G76" t="s">
        <v>525</v>
      </c>
    </row>
    <row r="77" spans="1:7" x14ac:dyDescent="0.3">
      <c r="A77">
        <v>0</v>
      </c>
      <c r="B77" t="s">
        <v>312</v>
      </c>
      <c r="C77" t="s">
        <v>438</v>
      </c>
      <c r="D77" t="s">
        <v>2</v>
      </c>
      <c r="E77" t="s">
        <v>438</v>
      </c>
      <c r="F77" t="s">
        <v>13</v>
      </c>
      <c r="G77" t="s">
        <v>525</v>
      </c>
    </row>
    <row r="78" spans="1:7" x14ac:dyDescent="0.3">
      <c r="A78">
        <v>0</v>
      </c>
      <c r="B78" t="s">
        <v>312</v>
      </c>
      <c r="C78" t="s">
        <v>486</v>
      </c>
      <c r="D78" t="s">
        <v>2</v>
      </c>
      <c r="E78" t="s">
        <v>486</v>
      </c>
      <c r="F78" t="s">
        <v>13</v>
      </c>
      <c r="G78" t="s">
        <v>525</v>
      </c>
    </row>
    <row r="79" spans="1:7" x14ac:dyDescent="0.3">
      <c r="A79">
        <v>0</v>
      </c>
      <c r="B79" t="s">
        <v>319</v>
      </c>
      <c r="C79" t="s">
        <v>419</v>
      </c>
      <c r="D79" t="s">
        <v>2</v>
      </c>
      <c r="E79" t="s">
        <v>419</v>
      </c>
      <c r="F79" t="s">
        <v>13</v>
      </c>
      <c r="G79" t="s">
        <v>525</v>
      </c>
    </row>
    <row r="80" spans="1:7" x14ac:dyDescent="0.3">
      <c r="A80">
        <v>0</v>
      </c>
      <c r="B80" t="s">
        <v>57</v>
      </c>
      <c r="C80" t="s">
        <v>353</v>
      </c>
      <c r="D80" t="s">
        <v>2</v>
      </c>
      <c r="E80" t="s">
        <v>353</v>
      </c>
      <c r="F80" t="s">
        <v>13</v>
      </c>
      <c r="G80" t="s">
        <v>525</v>
      </c>
    </row>
    <row r="81" spans="1:7" x14ac:dyDescent="0.3">
      <c r="A81">
        <v>0</v>
      </c>
      <c r="B81" t="s">
        <v>319</v>
      </c>
      <c r="C81" t="s">
        <v>489</v>
      </c>
      <c r="D81" t="s">
        <v>2</v>
      </c>
      <c r="E81" t="s">
        <v>489</v>
      </c>
      <c r="F81" t="s">
        <v>13</v>
      </c>
      <c r="G81" t="s">
        <v>525</v>
      </c>
    </row>
    <row r="82" spans="1:7" x14ac:dyDescent="0.3">
      <c r="A82">
        <v>0</v>
      </c>
      <c r="B82" t="s">
        <v>312</v>
      </c>
      <c r="C82" t="s">
        <v>386</v>
      </c>
      <c r="D82" t="s">
        <v>2</v>
      </c>
      <c r="E82" t="s">
        <v>386</v>
      </c>
      <c r="F82" t="s">
        <v>13</v>
      </c>
      <c r="G82" t="s">
        <v>525</v>
      </c>
    </row>
    <row r="83" spans="1:7" x14ac:dyDescent="0.3">
      <c r="A83">
        <v>0</v>
      </c>
      <c r="B83" t="s">
        <v>319</v>
      </c>
      <c r="C83" t="s">
        <v>389</v>
      </c>
      <c r="D83" t="s">
        <v>2</v>
      </c>
      <c r="E83" t="s">
        <v>389</v>
      </c>
      <c r="F83" t="s">
        <v>13</v>
      </c>
      <c r="G83" t="s">
        <v>525</v>
      </c>
    </row>
    <row r="84" spans="1:7" x14ac:dyDescent="0.3">
      <c r="A84">
        <v>0</v>
      </c>
      <c r="B84" t="s">
        <v>312</v>
      </c>
      <c r="C84" t="s">
        <v>340</v>
      </c>
      <c r="D84" t="s">
        <v>2</v>
      </c>
      <c r="E84" t="s">
        <v>340</v>
      </c>
      <c r="F84" t="s">
        <v>13</v>
      </c>
      <c r="G84" t="s">
        <v>525</v>
      </c>
    </row>
    <row r="85" spans="1:7" x14ac:dyDescent="0.3">
      <c r="A85">
        <v>0</v>
      </c>
      <c r="B85" t="s">
        <v>312</v>
      </c>
      <c r="C85" t="s">
        <v>368</v>
      </c>
      <c r="D85" t="s">
        <v>2</v>
      </c>
      <c r="E85" t="s">
        <v>368</v>
      </c>
      <c r="F85" t="s">
        <v>13</v>
      </c>
      <c r="G85" t="s">
        <v>525</v>
      </c>
    </row>
    <row r="86" spans="1:7" x14ac:dyDescent="0.3">
      <c r="A86">
        <v>0</v>
      </c>
      <c r="B86" t="s">
        <v>312</v>
      </c>
      <c r="C86" t="s">
        <v>328</v>
      </c>
      <c r="D86" t="s">
        <v>2</v>
      </c>
      <c r="E86" t="s">
        <v>328</v>
      </c>
      <c r="F86" t="s">
        <v>13</v>
      </c>
      <c r="G86" t="s">
        <v>525</v>
      </c>
    </row>
    <row r="87" spans="1:7" x14ac:dyDescent="0.3">
      <c r="A87">
        <v>0</v>
      </c>
      <c r="B87" t="s">
        <v>312</v>
      </c>
      <c r="C87" t="s">
        <v>479</v>
      </c>
      <c r="D87" t="s">
        <v>2</v>
      </c>
      <c r="E87" t="s">
        <v>479</v>
      </c>
      <c r="F87" t="s">
        <v>13</v>
      </c>
      <c r="G87" t="s">
        <v>525</v>
      </c>
    </row>
    <row r="88" spans="1:7" x14ac:dyDescent="0.3">
      <c r="A88">
        <v>0</v>
      </c>
      <c r="B88" t="s">
        <v>57</v>
      </c>
      <c r="C88" t="s">
        <v>116</v>
      </c>
      <c r="D88" t="s">
        <v>2</v>
      </c>
      <c r="E88" t="s">
        <v>116</v>
      </c>
      <c r="F88" t="s">
        <v>13</v>
      </c>
      <c r="G88" t="s">
        <v>525</v>
      </c>
    </row>
    <row r="89" spans="1:7" x14ac:dyDescent="0.3">
      <c r="A89">
        <v>0</v>
      </c>
      <c r="B89" t="s">
        <v>312</v>
      </c>
      <c r="C89" t="s">
        <v>352</v>
      </c>
      <c r="D89" t="s">
        <v>2</v>
      </c>
      <c r="E89" t="s">
        <v>352</v>
      </c>
      <c r="F89" t="s">
        <v>13</v>
      </c>
      <c r="G89" t="s">
        <v>525</v>
      </c>
    </row>
    <row r="90" spans="1:7" x14ac:dyDescent="0.3">
      <c r="A90">
        <v>0</v>
      </c>
      <c r="B90" t="s">
        <v>312</v>
      </c>
      <c r="C90" t="s">
        <v>417</v>
      </c>
      <c r="D90" t="s">
        <v>2</v>
      </c>
      <c r="E90" t="s">
        <v>417</v>
      </c>
      <c r="F90" t="s">
        <v>13</v>
      </c>
      <c r="G90" t="s">
        <v>525</v>
      </c>
    </row>
    <row r="91" spans="1:7" x14ac:dyDescent="0.3">
      <c r="A91">
        <v>0</v>
      </c>
      <c r="B91" t="s">
        <v>312</v>
      </c>
      <c r="C91" t="s">
        <v>447</v>
      </c>
      <c r="D91" t="s">
        <v>2</v>
      </c>
      <c r="E91" t="s">
        <v>447</v>
      </c>
      <c r="F91" t="s">
        <v>13</v>
      </c>
      <c r="G91" t="s">
        <v>525</v>
      </c>
    </row>
    <row r="92" spans="1:7" x14ac:dyDescent="0.3">
      <c r="A92">
        <v>0</v>
      </c>
      <c r="B92" t="s">
        <v>319</v>
      </c>
      <c r="C92" t="s">
        <v>329</v>
      </c>
      <c r="D92" t="s">
        <v>2</v>
      </c>
      <c r="E92" t="s">
        <v>329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252</v>
      </c>
      <c r="D93" t="s">
        <v>2</v>
      </c>
      <c r="E93" t="s">
        <v>252</v>
      </c>
      <c r="F93" t="s">
        <v>13</v>
      </c>
      <c r="G93" t="s">
        <v>525</v>
      </c>
    </row>
    <row r="94" spans="1:7" x14ac:dyDescent="0.3">
      <c r="A94">
        <v>0</v>
      </c>
      <c r="B94" t="s">
        <v>312</v>
      </c>
      <c r="C94" t="s">
        <v>317</v>
      </c>
      <c r="D94" t="s">
        <v>2</v>
      </c>
      <c r="E94" t="s">
        <v>317</v>
      </c>
      <c r="F94" t="s">
        <v>13</v>
      </c>
      <c r="G94" t="s">
        <v>525</v>
      </c>
    </row>
    <row r="95" spans="1:7" x14ac:dyDescent="0.3">
      <c r="A95">
        <v>0</v>
      </c>
      <c r="B95" t="s">
        <v>312</v>
      </c>
      <c r="C95" t="s">
        <v>436</v>
      </c>
      <c r="D95" t="s">
        <v>2</v>
      </c>
      <c r="E95" t="s">
        <v>436</v>
      </c>
      <c r="F95" t="s">
        <v>13</v>
      </c>
      <c r="G95" t="s">
        <v>525</v>
      </c>
    </row>
    <row r="96" spans="1:7" x14ac:dyDescent="0.3">
      <c r="A96">
        <v>0</v>
      </c>
      <c r="B96" t="s">
        <v>319</v>
      </c>
      <c r="C96" t="s">
        <v>490</v>
      </c>
      <c r="D96" t="s">
        <v>2</v>
      </c>
      <c r="E96" t="s">
        <v>490</v>
      </c>
      <c r="F96" t="s">
        <v>13</v>
      </c>
      <c r="G96" t="s">
        <v>525</v>
      </c>
    </row>
    <row r="97" spans="1:7" x14ac:dyDescent="0.3">
      <c r="A97">
        <v>0</v>
      </c>
      <c r="B97" t="s">
        <v>312</v>
      </c>
      <c r="C97" t="s">
        <v>391</v>
      </c>
      <c r="D97" t="s">
        <v>2</v>
      </c>
      <c r="E97" t="s">
        <v>391</v>
      </c>
      <c r="F97" t="s">
        <v>13</v>
      </c>
      <c r="G97" t="s">
        <v>525</v>
      </c>
    </row>
    <row r="98" spans="1:7" x14ac:dyDescent="0.3">
      <c r="A98">
        <v>0</v>
      </c>
      <c r="B98" t="s">
        <v>312</v>
      </c>
      <c r="C98" t="s">
        <v>235</v>
      </c>
      <c r="D98" t="s">
        <v>2</v>
      </c>
      <c r="E98" t="s">
        <v>235</v>
      </c>
      <c r="F98" t="s">
        <v>13</v>
      </c>
      <c r="G98" t="s">
        <v>525</v>
      </c>
    </row>
    <row r="99" spans="1:7" x14ac:dyDescent="0.3">
      <c r="A99">
        <v>0</v>
      </c>
      <c r="B99" t="s">
        <v>312</v>
      </c>
      <c r="C99" t="s">
        <v>493</v>
      </c>
      <c r="D99" t="s">
        <v>2</v>
      </c>
      <c r="E99" t="s">
        <v>493</v>
      </c>
      <c r="F99" t="s">
        <v>13</v>
      </c>
      <c r="G99" t="s">
        <v>525</v>
      </c>
    </row>
    <row r="100" spans="1:7" x14ac:dyDescent="0.3">
      <c r="A100">
        <v>0</v>
      </c>
      <c r="B100" t="s">
        <v>312</v>
      </c>
      <c r="C100" t="s">
        <v>335</v>
      </c>
      <c r="D100" t="s">
        <v>2</v>
      </c>
      <c r="E100" t="s">
        <v>335</v>
      </c>
      <c r="F100" t="s">
        <v>13</v>
      </c>
      <c r="G100" t="s">
        <v>525</v>
      </c>
    </row>
    <row r="101" spans="1:7" x14ac:dyDescent="0.3">
      <c r="A101">
        <v>0</v>
      </c>
      <c r="B101" t="s">
        <v>312</v>
      </c>
      <c r="C101" t="s">
        <v>354</v>
      </c>
      <c r="D101" t="s">
        <v>2</v>
      </c>
      <c r="E101" t="s">
        <v>354</v>
      </c>
      <c r="F101" t="s">
        <v>13</v>
      </c>
      <c r="G101" t="s">
        <v>525</v>
      </c>
    </row>
    <row r="102" spans="1:7" x14ac:dyDescent="0.3">
      <c r="A102">
        <v>0</v>
      </c>
      <c r="B102" t="s">
        <v>319</v>
      </c>
      <c r="C102" t="s">
        <v>360</v>
      </c>
      <c r="D102" t="s">
        <v>2</v>
      </c>
      <c r="E102" t="s">
        <v>360</v>
      </c>
      <c r="F102" t="s">
        <v>13</v>
      </c>
      <c r="G102" t="s">
        <v>525</v>
      </c>
    </row>
    <row r="103" spans="1:7" x14ac:dyDescent="0.3">
      <c r="A103">
        <v>0</v>
      </c>
      <c r="B103" t="s">
        <v>314</v>
      </c>
      <c r="C103" t="s">
        <v>356</v>
      </c>
      <c r="D103" t="s">
        <v>2</v>
      </c>
      <c r="E103" t="s">
        <v>356</v>
      </c>
      <c r="F103" t="s">
        <v>13</v>
      </c>
      <c r="G103" t="s">
        <v>525</v>
      </c>
    </row>
    <row r="104" spans="1:7" x14ac:dyDescent="0.3">
      <c r="A104">
        <v>0</v>
      </c>
      <c r="B104" t="s">
        <v>312</v>
      </c>
      <c r="C104" t="s">
        <v>405</v>
      </c>
      <c r="D104" t="s">
        <v>2</v>
      </c>
      <c r="E104" t="s">
        <v>405</v>
      </c>
      <c r="F104" t="s">
        <v>13</v>
      </c>
      <c r="G104" t="s">
        <v>525</v>
      </c>
    </row>
    <row r="105" spans="1:7" x14ac:dyDescent="0.3">
      <c r="A105">
        <v>0</v>
      </c>
      <c r="B105" t="s">
        <v>312</v>
      </c>
      <c r="C105" t="s">
        <v>471</v>
      </c>
      <c r="D105" t="s">
        <v>2</v>
      </c>
      <c r="E105" t="s">
        <v>471</v>
      </c>
      <c r="F105" t="s">
        <v>13</v>
      </c>
      <c r="G105" t="s">
        <v>525</v>
      </c>
    </row>
    <row r="106" spans="1:7" x14ac:dyDescent="0.3">
      <c r="A106">
        <v>0</v>
      </c>
      <c r="B106" t="s">
        <v>319</v>
      </c>
      <c r="C106" t="s">
        <v>421</v>
      </c>
      <c r="D106" t="s">
        <v>2</v>
      </c>
      <c r="E106" t="s">
        <v>421</v>
      </c>
      <c r="F106" t="s">
        <v>13</v>
      </c>
      <c r="G106" t="s">
        <v>525</v>
      </c>
    </row>
    <row r="107" spans="1:7" x14ac:dyDescent="0.3">
      <c r="A107">
        <v>0</v>
      </c>
      <c r="B107" t="s">
        <v>312</v>
      </c>
      <c r="C107" t="s">
        <v>321</v>
      </c>
      <c r="D107" t="s">
        <v>2</v>
      </c>
      <c r="E107" t="s">
        <v>321</v>
      </c>
      <c r="F107" t="s">
        <v>13</v>
      </c>
      <c r="G107" t="s">
        <v>525</v>
      </c>
    </row>
    <row r="108" spans="1:7" x14ac:dyDescent="0.3">
      <c r="A108">
        <v>0</v>
      </c>
      <c r="B108" t="s">
        <v>105</v>
      </c>
      <c r="C108" t="s">
        <v>113</v>
      </c>
      <c r="D108" t="s">
        <v>2</v>
      </c>
      <c r="E108" t="s">
        <v>113</v>
      </c>
      <c r="F108" t="s">
        <v>13</v>
      </c>
      <c r="G108" t="s">
        <v>525</v>
      </c>
    </row>
    <row r="109" spans="1:7" x14ac:dyDescent="0.3">
      <c r="A109">
        <v>0</v>
      </c>
      <c r="B109" t="s">
        <v>312</v>
      </c>
      <c r="C109" t="s">
        <v>348</v>
      </c>
      <c r="D109" t="s">
        <v>2</v>
      </c>
      <c r="E109" t="s">
        <v>348</v>
      </c>
      <c r="F109" t="s">
        <v>13</v>
      </c>
      <c r="G109" t="s">
        <v>525</v>
      </c>
    </row>
    <row r="110" spans="1:7" x14ac:dyDescent="0.3">
      <c r="A110">
        <v>0</v>
      </c>
      <c r="B110" t="s">
        <v>105</v>
      </c>
      <c r="C110" t="s">
        <v>469</v>
      </c>
      <c r="D110" t="s">
        <v>2</v>
      </c>
      <c r="E110" t="s">
        <v>469</v>
      </c>
      <c r="F110" t="s">
        <v>13</v>
      </c>
      <c r="G110" t="s">
        <v>525</v>
      </c>
    </row>
    <row r="111" spans="1:7" x14ac:dyDescent="0.3">
      <c r="A111">
        <v>0</v>
      </c>
      <c r="B111" t="s">
        <v>314</v>
      </c>
      <c r="C111" t="s">
        <v>481</v>
      </c>
      <c r="D111" t="s">
        <v>2</v>
      </c>
      <c r="E111" t="s">
        <v>481</v>
      </c>
      <c r="F111" t="s">
        <v>13</v>
      </c>
      <c r="G111" t="s">
        <v>525</v>
      </c>
    </row>
    <row r="112" spans="1:7" x14ac:dyDescent="0.3">
      <c r="A112">
        <v>0</v>
      </c>
      <c r="B112" t="s">
        <v>312</v>
      </c>
      <c r="C112" t="s">
        <v>398</v>
      </c>
      <c r="D112" t="s">
        <v>2</v>
      </c>
      <c r="E112" t="s">
        <v>398</v>
      </c>
      <c r="F112" t="s">
        <v>13</v>
      </c>
      <c r="G112" t="s">
        <v>525</v>
      </c>
    </row>
    <row r="113" spans="1:7" x14ac:dyDescent="0.3">
      <c r="A113">
        <v>0</v>
      </c>
      <c r="B113" t="s">
        <v>314</v>
      </c>
      <c r="C113" t="s">
        <v>342</v>
      </c>
      <c r="D113" t="s">
        <v>2</v>
      </c>
      <c r="E113" t="s">
        <v>342</v>
      </c>
      <c r="F113" t="s">
        <v>13</v>
      </c>
      <c r="G113" t="s">
        <v>525</v>
      </c>
    </row>
    <row r="114" spans="1:7" x14ac:dyDescent="0.3">
      <c r="A114">
        <v>0</v>
      </c>
      <c r="B114" t="s">
        <v>312</v>
      </c>
      <c r="C114" t="s">
        <v>322</v>
      </c>
      <c r="D114" t="s">
        <v>2</v>
      </c>
      <c r="E114" t="s">
        <v>322</v>
      </c>
      <c r="F114" t="s">
        <v>13</v>
      </c>
      <c r="G114" t="s">
        <v>525</v>
      </c>
    </row>
    <row r="115" spans="1:7" x14ac:dyDescent="0.3">
      <c r="A115">
        <v>0</v>
      </c>
      <c r="B115" t="s">
        <v>314</v>
      </c>
      <c r="C115" t="s">
        <v>409</v>
      </c>
      <c r="D115" t="s">
        <v>2</v>
      </c>
      <c r="E115" t="s">
        <v>409</v>
      </c>
      <c r="F115" t="s">
        <v>13</v>
      </c>
      <c r="G115" t="s">
        <v>525</v>
      </c>
    </row>
    <row r="116" spans="1:7" x14ac:dyDescent="0.3">
      <c r="A116">
        <v>0</v>
      </c>
      <c r="B116" t="s">
        <v>314</v>
      </c>
      <c r="C116" t="s">
        <v>480</v>
      </c>
      <c r="D116" t="s">
        <v>2</v>
      </c>
      <c r="E116" t="s">
        <v>480</v>
      </c>
      <c r="F116" t="s">
        <v>13</v>
      </c>
      <c r="G116" t="s">
        <v>525</v>
      </c>
    </row>
    <row r="117" spans="1:7" x14ac:dyDescent="0.3">
      <c r="A117">
        <v>0</v>
      </c>
      <c r="B117" t="s">
        <v>105</v>
      </c>
      <c r="C117" t="s">
        <v>121</v>
      </c>
      <c r="D117" t="s">
        <v>2</v>
      </c>
      <c r="E117" t="s">
        <v>121</v>
      </c>
      <c r="F117" t="s">
        <v>13</v>
      </c>
      <c r="G117" t="s">
        <v>525</v>
      </c>
    </row>
    <row r="118" spans="1:7" x14ac:dyDescent="0.3">
      <c r="A118">
        <v>0</v>
      </c>
      <c r="B118" t="s">
        <v>312</v>
      </c>
      <c r="C118" t="s">
        <v>359</v>
      </c>
      <c r="D118" t="s">
        <v>2</v>
      </c>
      <c r="E118" t="s">
        <v>359</v>
      </c>
      <c r="F118" t="s">
        <v>13</v>
      </c>
      <c r="G118" t="s">
        <v>525</v>
      </c>
    </row>
    <row r="119" spans="1:7" x14ac:dyDescent="0.3">
      <c r="A119">
        <v>0</v>
      </c>
      <c r="B119" t="s">
        <v>319</v>
      </c>
      <c r="C119" t="s">
        <v>468</v>
      </c>
      <c r="D119" t="s">
        <v>2</v>
      </c>
      <c r="E119" t="s">
        <v>468</v>
      </c>
      <c r="F119" t="s">
        <v>13</v>
      </c>
      <c r="G119" t="s">
        <v>525</v>
      </c>
    </row>
    <row r="120" spans="1:7" x14ac:dyDescent="0.3">
      <c r="A120">
        <v>0</v>
      </c>
      <c r="B120" t="s">
        <v>319</v>
      </c>
      <c r="C120" t="s">
        <v>458</v>
      </c>
      <c r="D120" t="s">
        <v>2</v>
      </c>
      <c r="E120" t="s">
        <v>458</v>
      </c>
      <c r="F120" t="s">
        <v>13</v>
      </c>
      <c r="G120" t="s">
        <v>525</v>
      </c>
    </row>
    <row r="121" spans="1:7" x14ac:dyDescent="0.3">
      <c r="A121">
        <v>0</v>
      </c>
      <c r="B121" t="s">
        <v>312</v>
      </c>
      <c r="C121" t="s">
        <v>370</v>
      </c>
      <c r="D121" t="s">
        <v>2</v>
      </c>
      <c r="E121" t="s">
        <v>370</v>
      </c>
      <c r="F121" t="s">
        <v>13</v>
      </c>
      <c r="G121" t="s">
        <v>525</v>
      </c>
    </row>
    <row r="122" spans="1:7" x14ac:dyDescent="0.3">
      <c r="A122">
        <v>0</v>
      </c>
      <c r="B122" t="s">
        <v>57</v>
      </c>
      <c r="C122" t="s">
        <v>114</v>
      </c>
      <c r="D122" t="s">
        <v>2</v>
      </c>
      <c r="E122" t="s">
        <v>114</v>
      </c>
      <c r="F122" t="s">
        <v>13</v>
      </c>
      <c r="G122" t="s">
        <v>525</v>
      </c>
    </row>
    <row r="123" spans="1:7" x14ac:dyDescent="0.3">
      <c r="A123">
        <v>0</v>
      </c>
      <c r="B123" t="s">
        <v>319</v>
      </c>
      <c r="C123" t="s">
        <v>404</v>
      </c>
      <c r="D123" t="s">
        <v>2</v>
      </c>
      <c r="E123" t="s">
        <v>404</v>
      </c>
      <c r="F123" t="s">
        <v>13</v>
      </c>
      <c r="G123" t="s">
        <v>525</v>
      </c>
    </row>
    <row r="124" spans="1:7" x14ac:dyDescent="0.3">
      <c r="A124">
        <v>0</v>
      </c>
      <c r="B124" t="s">
        <v>312</v>
      </c>
      <c r="C124" t="s">
        <v>369</v>
      </c>
      <c r="D124" t="s">
        <v>2</v>
      </c>
      <c r="E124" t="s">
        <v>369</v>
      </c>
      <c r="F124" t="s">
        <v>13</v>
      </c>
      <c r="G124" t="s">
        <v>525</v>
      </c>
    </row>
    <row r="125" spans="1:7" x14ac:dyDescent="0.3">
      <c r="A125">
        <v>0</v>
      </c>
      <c r="B125" t="s">
        <v>57</v>
      </c>
      <c r="C125" t="s">
        <v>122</v>
      </c>
      <c r="D125" t="s">
        <v>2</v>
      </c>
      <c r="E125" t="s">
        <v>122</v>
      </c>
      <c r="F125" t="s">
        <v>13</v>
      </c>
      <c r="G125" t="s">
        <v>525</v>
      </c>
    </row>
    <row r="126" spans="1:7" x14ac:dyDescent="0.3">
      <c r="A126">
        <v>0</v>
      </c>
      <c r="B126" t="s">
        <v>319</v>
      </c>
      <c r="C126" t="s">
        <v>390</v>
      </c>
      <c r="D126" t="s">
        <v>2</v>
      </c>
      <c r="E126" t="s">
        <v>390</v>
      </c>
      <c r="F126" t="s">
        <v>13</v>
      </c>
      <c r="G126" t="s">
        <v>525</v>
      </c>
    </row>
    <row r="127" spans="1:7" x14ac:dyDescent="0.3">
      <c r="A127">
        <v>0</v>
      </c>
      <c r="B127" t="s">
        <v>312</v>
      </c>
      <c r="C127" t="s">
        <v>492</v>
      </c>
      <c r="D127" t="s">
        <v>2</v>
      </c>
      <c r="E127" t="s">
        <v>492</v>
      </c>
      <c r="F127" t="s">
        <v>13</v>
      </c>
      <c r="G127" t="s">
        <v>525</v>
      </c>
    </row>
    <row r="128" spans="1:7" x14ac:dyDescent="0.3">
      <c r="A128">
        <v>0</v>
      </c>
      <c r="B128" t="s">
        <v>312</v>
      </c>
      <c r="C128" t="s">
        <v>345</v>
      </c>
      <c r="D128" t="s">
        <v>2</v>
      </c>
      <c r="E128" t="s">
        <v>345</v>
      </c>
      <c r="F128" t="s">
        <v>13</v>
      </c>
      <c r="G128" t="s">
        <v>525</v>
      </c>
    </row>
    <row r="129" spans="1:7" x14ac:dyDescent="0.3">
      <c r="A129">
        <v>0</v>
      </c>
      <c r="B129" t="s">
        <v>314</v>
      </c>
      <c r="C129" t="s">
        <v>374</v>
      </c>
      <c r="D129" t="s">
        <v>2</v>
      </c>
      <c r="E129" t="s">
        <v>374</v>
      </c>
      <c r="F129" t="s">
        <v>13</v>
      </c>
      <c r="G129" t="s">
        <v>525</v>
      </c>
    </row>
    <row r="130" spans="1:7" x14ac:dyDescent="0.3">
      <c r="A130">
        <v>0</v>
      </c>
      <c r="B130" t="s">
        <v>105</v>
      </c>
      <c r="C130" t="s">
        <v>124</v>
      </c>
      <c r="D130" t="s">
        <v>2</v>
      </c>
      <c r="E130" t="s">
        <v>124</v>
      </c>
      <c r="F130" t="s">
        <v>13</v>
      </c>
      <c r="G130" t="s">
        <v>525</v>
      </c>
    </row>
    <row r="131" spans="1:7" x14ac:dyDescent="0.3">
      <c r="A131">
        <v>0</v>
      </c>
      <c r="B131" t="s">
        <v>312</v>
      </c>
      <c r="C131" t="s">
        <v>440</v>
      </c>
      <c r="D131" t="s">
        <v>2</v>
      </c>
      <c r="E131" t="s">
        <v>440</v>
      </c>
      <c r="F131" t="s">
        <v>13</v>
      </c>
      <c r="G131" t="s">
        <v>525</v>
      </c>
    </row>
    <row r="132" spans="1:7" x14ac:dyDescent="0.3">
      <c r="A132">
        <v>0</v>
      </c>
      <c r="B132" t="s">
        <v>312</v>
      </c>
      <c r="C132" t="s">
        <v>316</v>
      </c>
      <c r="D132" t="s">
        <v>2</v>
      </c>
      <c r="E132" t="s">
        <v>316</v>
      </c>
      <c r="F132" t="s">
        <v>13</v>
      </c>
      <c r="G132" t="s">
        <v>525</v>
      </c>
    </row>
    <row r="133" spans="1:7" x14ac:dyDescent="0.3">
      <c r="A133">
        <v>0</v>
      </c>
      <c r="B133" t="s">
        <v>312</v>
      </c>
      <c r="C133" t="s">
        <v>427</v>
      </c>
      <c r="D133" t="s">
        <v>2</v>
      </c>
      <c r="E133" t="s">
        <v>427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332</v>
      </c>
      <c r="D134" t="s">
        <v>2</v>
      </c>
      <c r="E134" t="s">
        <v>332</v>
      </c>
      <c r="F134" t="s">
        <v>13</v>
      </c>
      <c r="G134" t="s">
        <v>525</v>
      </c>
    </row>
    <row r="135" spans="1:7" x14ac:dyDescent="0.3">
      <c r="A135">
        <v>0</v>
      </c>
      <c r="B135" t="s">
        <v>312</v>
      </c>
      <c r="C135" t="s">
        <v>336</v>
      </c>
      <c r="D135" t="s">
        <v>2</v>
      </c>
      <c r="E135" t="s">
        <v>336</v>
      </c>
      <c r="F135" t="s">
        <v>13</v>
      </c>
      <c r="G135" t="s">
        <v>525</v>
      </c>
    </row>
    <row r="136" spans="1:7" x14ac:dyDescent="0.3">
      <c r="A136">
        <v>0</v>
      </c>
      <c r="B136" t="s">
        <v>314</v>
      </c>
      <c r="C136" t="s">
        <v>393</v>
      </c>
      <c r="D136" t="s">
        <v>2</v>
      </c>
      <c r="E136" t="s">
        <v>393</v>
      </c>
      <c r="F136" t="s">
        <v>13</v>
      </c>
      <c r="G136" t="s">
        <v>525</v>
      </c>
    </row>
    <row r="137" spans="1:7" x14ac:dyDescent="0.3">
      <c r="A137">
        <v>0</v>
      </c>
      <c r="B137" t="s">
        <v>312</v>
      </c>
      <c r="C137" t="s">
        <v>339</v>
      </c>
      <c r="D137" t="s">
        <v>2</v>
      </c>
      <c r="E137" t="s">
        <v>339</v>
      </c>
      <c r="F137" t="s">
        <v>13</v>
      </c>
      <c r="G137" t="s">
        <v>525</v>
      </c>
    </row>
    <row r="138" spans="1:7" x14ac:dyDescent="0.3">
      <c r="A138">
        <v>0</v>
      </c>
      <c r="B138" t="s">
        <v>312</v>
      </c>
      <c r="C138" t="s">
        <v>400</v>
      </c>
      <c r="D138" t="s">
        <v>2</v>
      </c>
      <c r="E138" t="s">
        <v>400</v>
      </c>
      <c r="F138" t="s">
        <v>13</v>
      </c>
      <c r="G138" t="s">
        <v>525</v>
      </c>
    </row>
    <row r="139" spans="1:7" x14ac:dyDescent="0.3">
      <c r="A139">
        <v>0</v>
      </c>
      <c r="B139" t="s">
        <v>312</v>
      </c>
      <c r="C139" t="s">
        <v>380</v>
      </c>
      <c r="D139" t="s">
        <v>2</v>
      </c>
      <c r="E139" t="s">
        <v>380</v>
      </c>
      <c r="F139" t="s">
        <v>13</v>
      </c>
      <c r="G139" t="s">
        <v>525</v>
      </c>
    </row>
    <row r="140" spans="1:7" x14ac:dyDescent="0.3">
      <c r="A140">
        <v>0</v>
      </c>
      <c r="B140" t="s">
        <v>312</v>
      </c>
      <c r="C140" t="s">
        <v>442</v>
      </c>
      <c r="D140" t="s">
        <v>2</v>
      </c>
      <c r="E140" t="s">
        <v>442</v>
      </c>
      <c r="F140" t="s">
        <v>13</v>
      </c>
      <c r="G140" t="s">
        <v>525</v>
      </c>
    </row>
    <row r="141" spans="1:7" x14ac:dyDescent="0.3">
      <c r="A141">
        <v>0</v>
      </c>
      <c r="B141" t="s">
        <v>314</v>
      </c>
      <c r="C141" t="s">
        <v>349</v>
      </c>
      <c r="D141" t="s">
        <v>2</v>
      </c>
      <c r="E141" t="s">
        <v>349</v>
      </c>
      <c r="F141" t="s">
        <v>13</v>
      </c>
      <c r="G141" t="s">
        <v>525</v>
      </c>
    </row>
    <row r="142" spans="1:7" x14ac:dyDescent="0.3">
      <c r="A142">
        <v>0</v>
      </c>
      <c r="B142" t="s">
        <v>57</v>
      </c>
      <c r="C142" t="s">
        <v>470</v>
      </c>
      <c r="D142" t="s">
        <v>2</v>
      </c>
      <c r="E142" t="s">
        <v>470</v>
      </c>
      <c r="F142" t="s">
        <v>13</v>
      </c>
      <c r="G142" t="s">
        <v>525</v>
      </c>
    </row>
    <row r="143" spans="1:7" x14ac:dyDescent="0.3">
      <c r="A143">
        <v>0</v>
      </c>
      <c r="B143" t="s">
        <v>319</v>
      </c>
      <c r="C143" t="s">
        <v>463</v>
      </c>
      <c r="D143" t="s">
        <v>2</v>
      </c>
      <c r="E143" t="s">
        <v>463</v>
      </c>
      <c r="F143" t="s">
        <v>13</v>
      </c>
      <c r="G143" t="s">
        <v>525</v>
      </c>
    </row>
    <row r="144" spans="1:7" x14ac:dyDescent="0.3">
      <c r="A144">
        <v>0</v>
      </c>
      <c r="B144" t="s">
        <v>314</v>
      </c>
      <c r="C144" t="s">
        <v>343</v>
      </c>
      <c r="D144" t="s">
        <v>2</v>
      </c>
      <c r="E144" t="s">
        <v>343</v>
      </c>
      <c r="F144" t="s">
        <v>13</v>
      </c>
      <c r="G144" t="s">
        <v>525</v>
      </c>
    </row>
    <row r="145" spans="1:7" x14ac:dyDescent="0.3">
      <c r="A145">
        <v>0</v>
      </c>
      <c r="B145" t="s">
        <v>312</v>
      </c>
      <c r="C145" t="s">
        <v>371</v>
      </c>
      <c r="D145" t="s">
        <v>2</v>
      </c>
      <c r="E145" t="s">
        <v>371</v>
      </c>
      <c r="F145" t="s">
        <v>13</v>
      </c>
      <c r="G145" t="s">
        <v>525</v>
      </c>
    </row>
    <row r="146" spans="1:7" x14ac:dyDescent="0.3">
      <c r="A146">
        <v>0</v>
      </c>
      <c r="B146" t="s">
        <v>312</v>
      </c>
      <c r="C146" t="s">
        <v>366</v>
      </c>
      <c r="D146" t="s">
        <v>2</v>
      </c>
      <c r="E146" t="s">
        <v>366</v>
      </c>
      <c r="F146" t="s">
        <v>13</v>
      </c>
      <c r="G146" t="s">
        <v>525</v>
      </c>
    </row>
    <row r="147" spans="1:7" x14ac:dyDescent="0.3">
      <c r="A147">
        <v>0</v>
      </c>
      <c r="B147" t="s">
        <v>312</v>
      </c>
      <c r="C147" t="s">
        <v>384</v>
      </c>
      <c r="D147" t="s">
        <v>2</v>
      </c>
      <c r="E147" t="s">
        <v>384</v>
      </c>
      <c r="F147" t="s">
        <v>13</v>
      </c>
      <c r="G147" t="s">
        <v>525</v>
      </c>
    </row>
    <row r="148" spans="1:7" x14ac:dyDescent="0.3">
      <c r="A148">
        <v>0</v>
      </c>
      <c r="B148" t="s">
        <v>319</v>
      </c>
      <c r="C148" t="s">
        <v>464</v>
      </c>
      <c r="D148" t="s">
        <v>2</v>
      </c>
      <c r="E148" t="s">
        <v>464</v>
      </c>
      <c r="F148" t="s">
        <v>13</v>
      </c>
      <c r="G148" t="s">
        <v>525</v>
      </c>
    </row>
    <row r="149" spans="1:7" x14ac:dyDescent="0.3">
      <c r="A149">
        <v>0</v>
      </c>
      <c r="B149" t="s">
        <v>312</v>
      </c>
      <c r="C149" t="s">
        <v>323</v>
      </c>
      <c r="D149" t="s">
        <v>2</v>
      </c>
      <c r="E149" t="s">
        <v>323</v>
      </c>
      <c r="F149" t="s">
        <v>13</v>
      </c>
      <c r="G149" t="s">
        <v>525</v>
      </c>
    </row>
    <row r="150" spans="1:7" x14ac:dyDescent="0.3">
      <c r="A150">
        <v>0</v>
      </c>
      <c r="B150" t="s">
        <v>314</v>
      </c>
      <c r="C150" t="s">
        <v>414</v>
      </c>
      <c r="D150" t="s">
        <v>2</v>
      </c>
      <c r="E150" t="s">
        <v>414</v>
      </c>
      <c r="F150" t="s">
        <v>13</v>
      </c>
      <c r="G150" t="s">
        <v>525</v>
      </c>
    </row>
    <row r="151" spans="1:7" x14ac:dyDescent="0.3">
      <c r="A151">
        <v>0</v>
      </c>
      <c r="B151" t="s">
        <v>312</v>
      </c>
      <c r="C151" t="s">
        <v>261</v>
      </c>
      <c r="D151" t="s">
        <v>2</v>
      </c>
      <c r="E151" t="s">
        <v>261</v>
      </c>
      <c r="F151" t="s">
        <v>13</v>
      </c>
      <c r="G151" t="s">
        <v>525</v>
      </c>
    </row>
    <row r="152" spans="1:7" x14ac:dyDescent="0.3">
      <c r="A152">
        <v>0</v>
      </c>
      <c r="B152" t="s">
        <v>319</v>
      </c>
      <c r="C152" t="s">
        <v>364</v>
      </c>
      <c r="D152" t="s">
        <v>2</v>
      </c>
      <c r="E152" t="s">
        <v>364</v>
      </c>
      <c r="F152" t="s">
        <v>13</v>
      </c>
      <c r="G152" t="s">
        <v>525</v>
      </c>
    </row>
    <row r="153" spans="1:7" x14ac:dyDescent="0.3">
      <c r="A153">
        <v>0</v>
      </c>
      <c r="B153" t="s">
        <v>312</v>
      </c>
      <c r="C153" t="s">
        <v>373</v>
      </c>
      <c r="D153" t="s">
        <v>2</v>
      </c>
      <c r="E153" t="s">
        <v>373</v>
      </c>
      <c r="F153" t="s">
        <v>13</v>
      </c>
      <c r="G153" t="s">
        <v>525</v>
      </c>
    </row>
    <row r="154" spans="1:7" x14ac:dyDescent="0.3">
      <c r="A154">
        <v>0</v>
      </c>
      <c r="B154" t="s">
        <v>312</v>
      </c>
      <c r="C154" t="s">
        <v>482</v>
      </c>
      <c r="D154" t="s">
        <v>2</v>
      </c>
      <c r="E154" t="s">
        <v>482</v>
      </c>
      <c r="F154" t="s">
        <v>13</v>
      </c>
      <c r="G154" t="s">
        <v>525</v>
      </c>
    </row>
    <row r="155" spans="1:7" x14ac:dyDescent="0.3">
      <c r="A155">
        <v>0</v>
      </c>
      <c r="B155" t="s">
        <v>312</v>
      </c>
      <c r="C155" t="s">
        <v>412</v>
      </c>
      <c r="D155" t="s">
        <v>2</v>
      </c>
      <c r="E155" t="s">
        <v>412</v>
      </c>
      <c r="F155" t="s">
        <v>13</v>
      </c>
      <c r="G155" t="s">
        <v>525</v>
      </c>
    </row>
    <row r="156" spans="1:7" x14ac:dyDescent="0.3">
      <c r="A156">
        <v>0</v>
      </c>
      <c r="B156" t="s">
        <v>312</v>
      </c>
      <c r="C156" t="s">
        <v>434</v>
      </c>
      <c r="D156" t="s">
        <v>2</v>
      </c>
      <c r="E156" t="s">
        <v>434</v>
      </c>
      <c r="F156" t="s">
        <v>13</v>
      </c>
      <c r="G156" t="s">
        <v>525</v>
      </c>
    </row>
    <row r="157" spans="1:7" x14ac:dyDescent="0.3">
      <c r="A157">
        <v>0</v>
      </c>
      <c r="B157" t="s">
        <v>314</v>
      </c>
      <c r="C157" t="s">
        <v>443</v>
      </c>
      <c r="D157" t="s">
        <v>2</v>
      </c>
      <c r="E157" t="s">
        <v>443</v>
      </c>
      <c r="F157" t="s">
        <v>13</v>
      </c>
      <c r="G157" t="s">
        <v>525</v>
      </c>
    </row>
    <row r="158" spans="1:7" x14ac:dyDescent="0.3">
      <c r="A158">
        <v>0</v>
      </c>
      <c r="B158" t="s">
        <v>319</v>
      </c>
      <c r="C158" t="s">
        <v>430</v>
      </c>
      <c r="D158" t="s">
        <v>2</v>
      </c>
      <c r="E158" t="s">
        <v>430</v>
      </c>
      <c r="F158" t="s">
        <v>13</v>
      </c>
      <c r="G158" t="s">
        <v>525</v>
      </c>
    </row>
    <row r="159" spans="1:7" x14ac:dyDescent="0.3">
      <c r="A159">
        <v>0</v>
      </c>
      <c r="B159" t="s">
        <v>314</v>
      </c>
      <c r="C159" t="s">
        <v>408</v>
      </c>
      <c r="D159" t="s">
        <v>2</v>
      </c>
      <c r="E159" t="s">
        <v>408</v>
      </c>
      <c r="F159" t="s">
        <v>13</v>
      </c>
      <c r="G159" t="s">
        <v>525</v>
      </c>
    </row>
    <row r="160" spans="1:7" x14ac:dyDescent="0.3">
      <c r="A160">
        <v>0</v>
      </c>
      <c r="B160" t="s">
        <v>312</v>
      </c>
      <c r="C160" t="s">
        <v>138</v>
      </c>
      <c r="D160" t="s">
        <v>2</v>
      </c>
      <c r="E160" t="s">
        <v>138</v>
      </c>
      <c r="F160" t="s">
        <v>13</v>
      </c>
      <c r="G160" t="s">
        <v>525</v>
      </c>
    </row>
    <row r="161" spans="1:7" x14ac:dyDescent="0.3">
      <c r="A161">
        <v>0</v>
      </c>
      <c r="B161" t="s">
        <v>312</v>
      </c>
      <c r="C161" t="s">
        <v>275</v>
      </c>
      <c r="D161" t="s">
        <v>2</v>
      </c>
      <c r="E161" t="s">
        <v>275</v>
      </c>
      <c r="F161" t="s">
        <v>13</v>
      </c>
      <c r="G161" t="s">
        <v>525</v>
      </c>
    </row>
    <row r="162" spans="1:7" x14ac:dyDescent="0.3">
      <c r="A162">
        <v>0</v>
      </c>
      <c r="B162" t="s">
        <v>312</v>
      </c>
      <c r="C162" t="s">
        <v>337</v>
      </c>
      <c r="D162" t="s">
        <v>2</v>
      </c>
      <c r="E162" t="s">
        <v>337</v>
      </c>
      <c r="F162" t="s">
        <v>13</v>
      </c>
      <c r="G162" t="s">
        <v>525</v>
      </c>
    </row>
    <row r="163" spans="1:7" x14ac:dyDescent="0.3">
      <c r="A163">
        <v>0</v>
      </c>
      <c r="B163" t="s">
        <v>312</v>
      </c>
      <c r="C163" t="s">
        <v>331</v>
      </c>
      <c r="D163" t="s">
        <v>2</v>
      </c>
      <c r="E163" t="s">
        <v>331</v>
      </c>
      <c r="F163" t="s">
        <v>13</v>
      </c>
      <c r="G163" t="s">
        <v>525</v>
      </c>
    </row>
    <row r="164" spans="1:7" x14ac:dyDescent="0.3">
      <c r="A164">
        <v>0</v>
      </c>
      <c r="B164" t="s">
        <v>312</v>
      </c>
      <c r="C164" t="s">
        <v>452</v>
      </c>
      <c r="D164" t="s">
        <v>2</v>
      </c>
      <c r="E164" t="s">
        <v>452</v>
      </c>
      <c r="F164" t="s">
        <v>13</v>
      </c>
      <c r="G164" t="s">
        <v>525</v>
      </c>
    </row>
    <row r="165" spans="1:7" x14ac:dyDescent="0.3">
      <c r="A165">
        <v>0</v>
      </c>
      <c r="B165" t="s">
        <v>319</v>
      </c>
      <c r="C165" t="s">
        <v>477</v>
      </c>
      <c r="D165" t="s">
        <v>2</v>
      </c>
      <c r="E165" t="s">
        <v>477</v>
      </c>
      <c r="F165" t="s">
        <v>13</v>
      </c>
      <c r="G165" t="s">
        <v>525</v>
      </c>
    </row>
    <row r="166" spans="1:7" x14ac:dyDescent="0.3">
      <c r="A166">
        <v>0</v>
      </c>
      <c r="B166" t="s">
        <v>312</v>
      </c>
      <c r="C166" t="s">
        <v>446</v>
      </c>
      <c r="D166" t="s">
        <v>2</v>
      </c>
      <c r="E166" t="s">
        <v>446</v>
      </c>
      <c r="F166" t="s">
        <v>13</v>
      </c>
      <c r="G166" t="s">
        <v>525</v>
      </c>
    </row>
    <row r="167" spans="1:7" x14ac:dyDescent="0.3">
      <c r="A167">
        <v>0</v>
      </c>
      <c r="B167" t="s">
        <v>319</v>
      </c>
      <c r="C167" t="s">
        <v>491</v>
      </c>
      <c r="D167" t="s">
        <v>2</v>
      </c>
      <c r="E167" t="s">
        <v>491</v>
      </c>
      <c r="F167" t="s">
        <v>13</v>
      </c>
      <c r="G167" t="s">
        <v>525</v>
      </c>
    </row>
    <row r="168" spans="1:7" x14ac:dyDescent="0.3">
      <c r="A168">
        <v>0</v>
      </c>
      <c r="B168" t="s">
        <v>312</v>
      </c>
      <c r="C168" t="s">
        <v>326</v>
      </c>
      <c r="D168" t="s">
        <v>2</v>
      </c>
      <c r="E168" t="s">
        <v>326</v>
      </c>
      <c r="F168" t="s">
        <v>13</v>
      </c>
      <c r="G168" t="s">
        <v>525</v>
      </c>
    </row>
    <row r="169" spans="1:7" x14ac:dyDescent="0.3">
      <c r="A169">
        <v>0</v>
      </c>
      <c r="B169" t="s">
        <v>319</v>
      </c>
      <c r="C169" t="s">
        <v>415</v>
      </c>
      <c r="D169" t="s">
        <v>2</v>
      </c>
      <c r="E169" t="s">
        <v>415</v>
      </c>
      <c r="F169" t="s">
        <v>13</v>
      </c>
      <c r="G169" t="s">
        <v>525</v>
      </c>
    </row>
    <row r="170" spans="1:7" x14ac:dyDescent="0.3">
      <c r="A170">
        <v>0</v>
      </c>
      <c r="B170" t="s">
        <v>314</v>
      </c>
      <c r="C170" t="s">
        <v>451</v>
      </c>
      <c r="D170" t="s">
        <v>2</v>
      </c>
      <c r="E170" t="s">
        <v>451</v>
      </c>
      <c r="F170" t="s">
        <v>13</v>
      </c>
      <c r="G170" t="s">
        <v>525</v>
      </c>
    </row>
    <row r="171" spans="1:7" x14ac:dyDescent="0.3">
      <c r="A171">
        <v>0</v>
      </c>
      <c r="B171" t="s">
        <v>314</v>
      </c>
      <c r="C171" t="s">
        <v>448</v>
      </c>
      <c r="D171" t="s">
        <v>2</v>
      </c>
      <c r="E171" t="s">
        <v>448</v>
      </c>
      <c r="F171" t="s">
        <v>13</v>
      </c>
      <c r="G171" t="s">
        <v>525</v>
      </c>
    </row>
    <row r="172" spans="1:7" x14ac:dyDescent="0.3">
      <c r="A172">
        <v>0</v>
      </c>
      <c r="B172" t="s">
        <v>312</v>
      </c>
      <c r="C172" t="s">
        <v>423</v>
      </c>
      <c r="D172" t="s">
        <v>2</v>
      </c>
      <c r="E172" t="s">
        <v>423</v>
      </c>
      <c r="F172" t="s">
        <v>13</v>
      </c>
      <c r="G172" t="s">
        <v>525</v>
      </c>
    </row>
    <row r="173" spans="1:7" x14ac:dyDescent="0.3">
      <c r="A173">
        <v>0</v>
      </c>
      <c r="B173" t="s">
        <v>319</v>
      </c>
      <c r="C173" t="s">
        <v>361</v>
      </c>
      <c r="D173" t="s">
        <v>2</v>
      </c>
      <c r="E173" t="s">
        <v>361</v>
      </c>
      <c r="F173" t="s">
        <v>13</v>
      </c>
      <c r="G173" t="s">
        <v>525</v>
      </c>
    </row>
    <row r="174" spans="1:7" x14ac:dyDescent="0.3">
      <c r="A174">
        <v>0</v>
      </c>
      <c r="B174" t="s">
        <v>314</v>
      </c>
      <c r="C174" t="s">
        <v>467</v>
      </c>
      <c r="D174" t="s">
        <v>2</v>
      </c>
      <c r="E174" t="s">
        <v>467</v>
      </c>
      <c r="F174" t="s">
        <v>13</v>
      </c>
      <c r="G174" t="s">
        <v>525</v>
      </c>
    </row>
    <row r="175" spans="1:7" x14ac:dyDescent="0.3">
      <c r="A175">
        <v>0</v>
      </c>
      <c r="B175" t="s">
        <v>319</v>
      </c>
      <c r="C175" t="s">
        <v>420</v>
      </c>
      <c r="D175" t="s">
        <v>2</v>
      </c>
      <c r="E175" t="s">
        <v>420</v>
      </c>
      <c r="F175" t="s">
        <v>13</v>
      </c>
      <c r="G175" t="s">
        <v>525</v>
      </c>
    </row>
    <row r="176" spans="1:7" x14ac:dyDescent="0.3">
      <c r="A176">
        <v>0</v>
      </c>
      <c r="B176" t="s">
        <v>314</v>
      </c>
      <c r="C176" t="s">
        <v>487</v>
      </c>
      <c r="D176" t="s">
        <v>2</v>
      </c>
      <c r="E176" t="s">
        <v>487</v>
      </c>
      <c r="F176" t="s">
        <v>13</v>
      </c>
      <c r="G176" t="s">
        <v>525</v>
      </c>
    </row>
    <row r="177" spans="1:7" x14ac:dyDescent="0.3">
      <c r="A177">
        <v>0</v>
      </c>
      <c r="B177" t="s">
        <v>312</v>
      </c>
      <c r="C177" t="s">
        <v>149</v>
      </c>
      <c r="D177" t="s">
        <v>2</v>
      </c>
      <c r="E177" t="s">
        <v>149</v>
      </c>
      <c r="F177" t="s">
        <v>13</v>
      </c>
      <c r="G177" t="s">
        <v>525</v>
      </c>
    </row>
    <row r="178" spans="1:7" x14ac:dyDescent="0.3">
      <c r="A178">
        <v>0</v>
      </c>
      <c r="B178" t="s">
        <v>314</v>
      </c>
      <c r="C178" t="s">
        <v>377</v>
      </c>
      <c r="D178" t="s">
        <v>2</v>
      </c>
      <c r="E178" t="s">
        <v>377</v>
      </c>
      <c r="F178" t="s">
        <v>13</v>
      </c>
      <c r="G178" t="s">
        <v>525</v>
      </c>
    </row>
    <row r="179" spans="1:7" x14ac:dyDescent="0.3">
      <c r="A179">
        <v>0</v>
      </c>
      <c r="B179" t="s">
        <v>312</v>
      </c>
      <c r="C179" t="s">
        <v>403</v>
      </c>
      <c r="D179" t="s">
        <v>2</v>
      </c>
      <c r="E179" t="s">
        <v>403</v>
      </c>
      <c r="F179" t="s">
        <v>13</v>
      </c>
      <c r="G179" t="s">
        <v>525</v>
      </c>
    </row>
    <row r="180" spans="1:7" x14ac:dyDescent="0.3">
      <c r="A180">
        <v>0</v>
      </c>
      <c r="B180" t="s">
        <v>312</v>
      </c>
      <c r="C180" t="s">
        <v>387</v>
      </c>
      <c r="D180" t="s">
        <v>2</v>
      </c>
      <c r="E180" t="s">
        <v>387</v>
      </c>
      <c r="F180" t="s">
        <v>13</v>
      </c>
      <c r="G180" t="s">
        <v>525</v>
      </c>
    </row>
    <row r="181" spans="1:7" x14ac:dyDescent="0.3">
      <c r="A181">
        <v>0</v>
      </c>
      <c r="B181" t="s">
        <v>312</v>
      </c>
      <c r="C181" t="s">
        <v>431</v>
      </c>
      <c r="D181" t="s">
        <v>2</v>
      </c>
      <c r="E181" t="s">
        <v>431</v>
      </c>
      <c r="F181" t="s">
        <v>13</v>
      </c>
      <c r="G181" t="s">
        <v>525</v>
      </c>
    </row>
    <row r="182" spans="1:7" x14ac:dyDescent="0.3">
      <c r="A182">
        <v>0</v>
      </c>
      <c r="B182" t="s">
        <v>319</v>
      </c>
      <c r="C182" t="s">
        <v>459</v>
      </c>
      <c r="D182" t="s">
        <v>2</v>
      </c>
      <c r="E182" t="s">
        <v>459</v>
      </c>
      <c r="F182" t="s">
        <v>13</v>
      </c>
      <c r="G182" t="s">
        <v>525</v>
      </c>
    </row>
    <row r="183" spans="1:7" x14ac:dyDescent="0.3">
      <c r="A183">
        <v>0</v>
      </c>
      <c r="B183" t="s">
        <v>314</v>
      </c>
      <c r="C183" t="s">
        <v>376</v>
      </c>
      <c r="D183" t="s">
        <v>2</v>
      </c>
      <c r="E183" t="s">
        <v>376</v>
      </c>
      <c r="F183" t="s">
        <v>13</v>
      </c>
      <c r="G183" t="s">
        <v>525</v>
      </c>
    </row>
    <row r="184" spans="1:7" x14ac:dyDescent="0.3">
      <c r="A184">
        <v>0</v>
      </c>
      <c r="B184" t="s">
        <v>312</v>
      </c>
      <c r="C184" t="s">
        <v>379</v>
      </c>
      <c r="D184" t="s">
        <v>2</v>
      </c>
      <c r="E184" t="s">
        <v>379</v>
      </c>
      <c r="F184" t="s">
        <v>13</v>
      </c>
      <c r="G184" t="s">
        <v>525</v>
      </c>
    </row>
    <row r="185" spans="1:7" x14ac:dyDescent="0.3">
      <c r="A185">
        <v>0</v>
      </c>
      <c r="B185" t="s">
        <v>314</v>
      </c>
      <c r="C185" t="s">
        <v>445</v>
      </c>
      <c r="D185" t="s">
        <v>2</v>
      </c>
      <c r="E185" t="s">
        <v>445</v>
      </c>
      <c r="F185" t="s">
        <v>13</v>
      </c>
      <c r="G185" t="s">
        <v>525</v>
      </c>
    </row>
    <row r="186" spans="1:7" x14ac:dyDescent="0.3">
      <c r="A186">
        <v>0</v>
      </c>
      <c r="B186" t="s">
        <v>319</v>
      </c>
      <c r="C186" t="s">
        <v>460</v>
      </c>
      <c r="D186" t="s">
        <v>2</v>
      </c>
      <c r="E186" t="s">
        <v>460</v>
      </c>
      <c r="F186" t="s">
        <v>13</v>
      </c>
      <c r="G186" t="s">
        <v>525</v>
      </c>
    </row>
    <row r="187" spans="1:7" x14ac:dyDescent="0.3">
      <c r="A187">
        <v>0</v>
      </c>
      <c r="B187" t="s">
        <v>314</v>
      </c>
      <c r="C187" t="s">
        <v>450</v>
      </c>
      <c r="D187" t="s">
        <v>2</v>
      </c>
      <c r="E187" t="s">
        <v>450</v>
      </c>
      <c r="F187" t="s">
        <v>13</v>
      </c>
      <c r="G187" t="s">
        <v>525</v>
      </c>
    </row>
    <row r="188" spans="1:7" x14ac:dyDescent="0.3">
      <c r="A188">
        <v>0</v>
      </c>
      <c r="B188" t="s">
        <v>312</v>
      </c>
      <c r="C188" t="s">
        <v>473</v>
      </c>
      <c r="D188" t="s">
        <v>2</v>
      </c>
      <c r="E188" t="s">
        <v>473</v>
      </c>
      <c r="F188" t="s">
        <v>13</v>
      </c>
      <c r="G188" t="s">
        <v>525</v>
      </c>
    </row>
    <row r="189" spans="1:7" x14ac:dyDescent="0.3">
      <c r="A189">
        <v>0</v>
      </c>
      <c r="B189" t="s">
        <v>314</v>
      </c>
      <c r="C189" t="s">
        <v>313</v>
      </c>
      <c r="D189" t="s">
        <v>2</v>
      </c>
      <c r="E189" t="s">
        <v>313</v>
      </c>
      <c r="F189" t="s">
        <v>13</v>
      </c>
      <c r="G189" t="s">
        <v>525</v>
      </c>
    </row>
    <row r="190" spans="1:7" x14ac:dyDescent="0.3">
      <c r="A190">
        <v>0</v>
      </c>
      <c r="B190" t="s">
        <v>312</v>
      </c>
      <c r="C190" t="s">
        <v>472</v>
      </c>
      <c r="D190" t="s">
        <v>2</v>
      </c>
      <c r="E190" t="s">
        <v>472</v>
      </c>
      <c r="F190" t="s">
        <v>13</v>
      </c>
      <c r="G190" t="s">
        <v>525</v>
      </c>
    </row>
    <row r="191" spans="1:7" x14ac:dyDescent="0.3">
      <c r="A191">
        <v>0</v>
      </c>
      <c r="B191" t="s">
        <v>312</v>
      </c>
      <c r="C191" t="s">
        <v>402</v>
      </c>
      <c r="D191" t="s">
        <v>2</v>
      </c>
      <c r="E191" t="s">
        <v>402</v>
      </c>
      <c r="F191" t="s">
        <v>13</v>
      </c>
      <c r="G191" t="s">
        <v>525</v>
      </c>
    </row>
    <row r="192" spans="1:7" x14ac:dyDescent="0.3">
      <c r="A192">
        <v>0</v>
      </c>
      <c r="B192" t="s">
        <v>314</v>
      </c>
      <c r="C192" t="s">
        <v>455</v>
      </c>
      <c r="D192" t="s">
        <v>2</v>
      </c>
      <c r="E192" t="s">
        <v>455</v>
      </c>
      <c r="F192" t="s">
        <v>13</v>
      </c>
      <c r="G192" t="s">
        <v>525</v>
      </c>
    </row>
    <row r="193" spans="1:7" x14ac:dyDescent="0.3">
      <c r="A193">
        <v>0</v>
      </c>
      <c r="B193" t="s">
        <v>312</v>
      </c>
      <c r="C193" t="s">
        <v>411</v>
      </c>
      <c r="D193" t="s">
        <v>2</v>
      </c>
      <c r="E193" t="s">
        <v>411</v>
      </c>
      <c r="F193" t="s">
        <v>13</v>
      </c>
      <c r="G193" t="s">
        <v>525</v>
      </c>
    </row>
    <row r="194" spans="1:7" x14ac:dyDescent="0.3">
      <c r="A194">
        <v>0</v>
      </c>
      <c r="B194" t="s">
        <v>312</v>
      </c>
      <c r="C194" t="s">
        <v>488</v>
      </c>
      <c r="D194" t="s">
        <v>2</v>
      </c>
      <c r="E194" t="s">
        <v>488</v>
      </c>
      <c r="F194" t="s">
        <v>13</v>
      </c>
      <c r="G194" t="s">
        <v>525</v>
      </c>
    </row>
    <row r="195" spans="1:7" x14ac:dyDescent="0.3">
      <c r="A195">
        <v>0</v>
      </c>
      <c r="B195" t="s">
        <v>319</v>
      </c>
      <c r="C195" t="s">
        <v>462</v>
      </c>
      <c r="D195" t="s">
        <v>2</v>
      </c>
      <c r="E195" t="s">
        <v>462</v>
      </c>
      <c r="F195" t="s">
        <v>13</v>
      </c>
      <c r="G195" t="s">
        <v>525</v>
      </c>
    </row>
    <row r="196" spans="1:7" x14ac:dyDescent="0.3">
      <c r="A196">
        <v>0</v>
      </c>
      <c r="B196" t="s">
        <v>312</v>
      </c>
      <c r="C196" t="s">
        <v>246</v>
      </c>
      <c r="D196" t="s">
        <v>2</v>
      </c>
      <c r="E196" t="s">
        <v>246</v>
      </c>
      <c r="F196" t="s">
        <v>13</v>
      </c>
      <c r="G196" t="s">
        <v>525</v>
      </c>
    </row>
    <row r="197" spans="1:7" x14ac:dyDescent="0.3">
      <c r="A197">
        <v>0</v>
      </c>
      <c r="B197" t="s">
        <v>312</v>
      </c>
      <c r="C197" t="s">
        <v>357</v>
      </c>
      <c r="D197" t="s">
        <v>2</v>
      </c>
      <c r="E197" t="s">
        <v>357</v>
      </c>
      <c r="F197" t="s">
        <v>13</v>
      </c>
      <c r="G197" t="s">
        <v>525</v>
      </c>
    </row>
    <row r="198" spans="1:7" x14ac:dyDescent="0.3">
      <c r="A198">
        <v>0</v>
      </c>
      <c r="B198" t="s">
        <v>314</v>
      </c>
      <c r="C198" t="s">
        <v>341</v>
      </c>
      <c r="D198" t="s">
        <v>2</v>
      </c>
      <c r="E198" t="s">
        <v>341</v>
      </c>
      <c r="F198" t="s">
        <v>13</v>
      </c>
      <c r="G198" t="s">
        <v>525</v>
      </c>
    </row>
    <row r="199" spans="1:7" x14ac:dyDescent="0.3">
      <c r="A199">
        <v>0</v>
      </c>
      <c r="B199" t="s">
        <v>319</v>
      </c>
      <c r="C199" t="s">
        <v>466</v>
      </c>
      <c r="D199" t="s">
        <v>2</v>
      </c>
      <c r="E199" t="s">
        <v>466</v>
      </c>
      <c r="F199" t="s">
        <v>13</v>
      </c>
      <c r="G199" t="s">
        <v>525</v>
      </c>
    </row>
    <row r="200" spans="1:7" x14ac:dyDescent="0.3">
      <c r="A200">
        <v>0</v>
      </c>
      <c r="B200" t="s">
        <v>319</v>
      </c>
      <c r="C200" t="s">
        <v>362</v>
      </c>
      <c r="D200" t="s">
        <v>2</v>
      </c>
      <c r="E200" t="s">
        <v>362</v>
      </c>
      <c r="F200" t="s">
        <v>13</v>
      </c>
      <c r="G200" t="s">
        <v>525</v>
      </c>
    </row>
    <row r="201" spans="1:7" x14ac:dyDescent="0.3">
      <c r="A201">
        <v>0</v>
      </c>
      <c r="B201" t="s">
        <v>312</v>
      </c>
      <c r="C201" t="s">
        <v>433</v>
      </c>
      <c r="D201" t="s">
        <v>2</v>
      </c>
      <c r="E201" t="s">
        <v>433</v>
      </c>
      <c r="F201" t="s">
        <v>13</v>
      </c>
      <c r="G201" t="s">
        <v>525</v>
      </c>
    </row>
    <row r="202" spans="1:7" x14ac:dyDescent="0.3">
      <c r="A202">
        <v>0</v>
      </c>
      <c r="B202" t="s">
        <v>312</v>
      </c>
      <c r="C202" t="s">
        <v>397</v>
      </c>
      <c r="D202" t="s">
        <v>2</v>
      </c>
      <c r="E202" t="s">
        <v>397</v>
      </c>
      <c r="F202" t="s">
        <v>13</v>
      </c>
      <c r="G202" t="s">
        <v>525</v>
      </c>
    </row>
    <row r="203" spans="1:7" x14ac:dyDescent="0.3">
      <c r="A203">
        <v>0</v>
      </c>
      <c r="B203" t="s">
        <v>319</v>
      </c>
      <c r="C203" t="s">
        <v>378</v>
      </c>
      <c r="D203" t="s">
        <v>2</v>
      </c>
      <c r="E203" t="s">
        <v>378</v>
      </c>
      <c r="F203" t="s">
        <v>13</v>
      </c>
      <c r="G203" t="s">
        <v>525</v>
      </c>
    </row>
    <row r="204" spans="1:7" x14ac:dyDescent="0.3">
      <c r="A204">
        <v>0</v>
      </c>
      <c r="B204" t="s">
        <v>105</v>
      </c>
      <c r="C204" t="s">
        <v>117</v>
      </c>
      <c r="D204" t="s">
        <v>2</v>
      </c>
      <c r="E204" t="s">
        <v>117</v>
      </c>
      <c r="F204" t="s">
        <v>13</v>
      </c>
      <c r="G204" t="s">
        <v>525</v>
      </c>
    </row>
    <row r="205" spans="1:7" x14ac:dyDescent="0.3">
      <c r="A205">
        <v>0</v>
      </c>
      <c r="B205" t="s">
        <v>312</v>
      </c>
      <c r="C205" t="s">
        <v>476</v>
      </c>
      <c r="D205" t="s">
        <v>2</v>
      </c>
      <c r="E205" t="s">
        <v>476</v>
      </c>
      <c r="F205" t="s">
        <v>13</v>
      </c>
      <c r="G205" t="s">
        <v>525</v>
      </c>
    </row>
    <row r="206" spans="1:7" x14ac:dyDescent="0.3">
      <c r="A206">
        <v>0</v>
      </c>
      <c r="B206" t="s">
        <v>319</v>
      </c>
      <c r="C206" t="s">
        <v>478</v>
      </c>
      <c r="D206" t="s">
        <v>2</v>
      </c>
      <c r="E206" t="s">
        <v>478</v>
      </c>
      <c r="F206" t="s">
        <v>13</v>
      </c>
      <c r="G206" t="s">
        <v>525</v>
      </c>
    </row>
    <row r="207" spans="1:7" x14ac:dyDescent="0.3">
      <c r="A207">
        <v>0</v>
      </c>
      <c r="B207" t="s">
        <v>312</v>
      </c>
      <c r="C207" t="s">
        <v>367</v>
      </c>
      <c r="D207" t="s">
        <v>2</v>
      </c>
      <c r="E207" t="s">
        <v>367</v>
      </c>
      <c r="F207" t="s">
        <v>13</v>
      </c>
      <c r="G207" t="s">
        <v>525</v>
      </c>
    </row>
    <row r="208" spans="1:7" x14ac:dyDescent="0.3">
      <c r="A208">
        <v>0</v>
      </c>
      <c r="B208" t="s">
        <v>312</v>
      </c>
      <c r="C208" t="s">
        <v>346</v>
      </c>
      <c r="D208" t="s">
        <v>2</v>
      </c>
      <c r="E208" t="s">
        <v>346</v>
      </c>
      <c r="F208" t="s">
        <v>13</v>
      </c>
      <c r="G208" t="s">
        <v>525</v>
      </c>
    </row>
    <row r="209" spans="1:7" x14ac:dyDescent="0.3">
      <c r="A209">
        <v>0</v>
      </c>
      <c r="B209" t="s">
        <v>105</v>
      </c>
      <c r="C209" t="s">
        <v>119</v>
      </c>
      <c r="D209" t="s">
        <v>2</v>
      </c>
      <c r="E209" t="s">
        <v>119</v>
      </c>
      <c r="F209" t="s">
        <v>13</v>
      </c>
      <c r="G209" t="s">
        <v>525</v>
      </c>
    </row>
    <row r="210" spans="1:7" x14ac:dyDescent="0.3">
      <c r="A210">
        <v>0</v>
      </c>
      <c r="B210" t="s">
        <v>312</v>
      </c>
      <c r="C210" t="s">
        <v>385</v>
      </c>
      <c r="D210" t="s">
        <v>2</v>
      </c>
      <c r="E210" t="s">
        <v>385</v>
      </c>
      <c r="F210" t="s">
        <v>13</v>
      </c>
      <c r="G210" t="s">
        <v>525</v>
      </c>
    </row>
    <row r="211" spans="1:7" x14ac:dyDescent="0.3">
      <c r="A211">
        <v>0</v>
      </c>
      <c r="B211" t="s">
        <v>57</v>
      </c>
      <c r="C211" t="s">
        <v>120</v>
      </c>
      <c r="D211" t="s">
        <v>2</v>
      </c>
      <c r="E211" t="s">
        <v>120</v>
      </c>
      <c r="F211" t="s">
        <v>13</v>
      </c>
      <c r="G211" t="s">
        <v>525</v>
      </c>
    </row>
    <row r="212" spans="1:7" x14ac:dyDescent="0.3">
      <c r="A212">
        <v>0</v>
      </c>
      <c r="B212" t="s">
        <v>312</v>
      </c>
      <c r="C212" t="s">
        <v>324</v>
      </c>
      <c r="D212" t="s">
        <v>2</v>
      </c>
      <c r="E212" t="s">
        <v>324</v>
      </c>
      <c r="F212" t="s">
        <v>13</v>
      </c>
      <c r="G212" t="s">
        <v>525</v>
      </c>
    </row>
    <row r="213" spans="1:7" x14ac:dyDescent="0.3">
      <c r="A213">
        <v>0</v>
      </c>
      <c r="B213" t="s">
        <v>312</v>
      </c>
      <c r="C213" t="s">
        <v>327</v>
      </c>
      <c r="D213" t="s">
        <v>2</v>
      </c>
      <c r="E213" t="s">
        <v>327</v>
      </c>
      <c r="F213" t="s">
        <v>13</v>
      </c>
      <c r="G213" t="s">
        <v>525</v>
      </c>
    </row>
    <row r="214" spans="1:7" x14ac:dyDescent="0.3">
      <c r="A214">
        <v>0</v>
      </c>
      <c r="B214" t="s">
        <v>314</v>
      </c>
      <c r="C214" t="s">
        <v>441</v>
      </c>
      <c r="D214" t="s">
        <v>2</v>
      </c>
      <c r="E214" t="s">
        <v>441</v>
      </c>
      <c r="F214" t="s">
        <v>13</v>
      </c>
      <c r="G214" t="s">
        <v>525</v>
      </c>
    </row>
    <row r="215" spans="1:7" x14ac:dyDescent="0.3">
      <c r="A215">
        <v>0</v>
      </c>
      <c r="B215" t="s">
        <v>105</v>
      </c>
      <c r="C215" t="s">
        <v>115</v>
      </c>
      <c r="D215" t="s">
        <v>2</v>
      </c>
      <c r="E215" t="s">
        <v>115</v>
      </c>
      <c r="F215" t="s">
        <v>13</v>
      </c>
      <c r="G215" t="s">
        <v>525</v>
      </c>
    </row>
    <row r="216" spans="1:7" x14ac:dyDescent="0.3">
      <c r="A216">
        <v>0</v>
      </c>
      <c r="B216" t="s">
        <v>312</v>
      </c>
      <c r="C216" t="s">
        <v>484</v>
      </c>
      <c r="D216" t="s">
        <v>2</v>
      </c>
      <c r="E216" t="s">
        <v>484</v>
      </c>
      <c r="F216" t="s">
        <v>13</v>
      </c>
      <c r="G216" t="s">
        <v>525</v>
      </c>
    </row>
    <row r="217" spans="1:7" x14ac:dyDescent="0.3">
      <c r="A217">
        <v>0</v>
      </c>
      <c r="B217" t="s">
        <v>312</v>
      </c>
      <c r="C217" t="s">
        <v>311</v>
      </c>
      <c r="D217" t="s">
        <v>2</v>
      </c>
      <c r="E217" t="s">
        <v>311</v>
      </c>
      <c r="F217" t="s">
        <v>13</v>
      </c>
      <c r="G217" t="s">
        <v>525</v>
      </c>
    </row>
    <row r="218" spans="1:7" x14ac:dyDescent="0.3">
      <c r="A218">
        <v>0</v>
      </c>
      <c r="B218" t="s">
        <v>312</v>
      </c>
      <c r="C218" t="s">
        <v>365</v>
      </c>
      <c r="D218" t="s">
        <v>2</v>
      </c>
      <c r="E218" t="s">
        <v>365</v>
      </c>
      <c r="F218" t="s">
        <v>13</v>
      </c>
      <c r="G218" t="s">
        <v>525</v>
      </c>
    </row>
    <row r="219" spans="1:7" x14ac:dyDescent="0.3">
      <c r="A219">
        <v>0</v>
      </c>
      <c r="B219" t="s">
        <v>314</v>
      </c>
      <c r="C219" t="s">
        <v>350</v>
      </c>
      <c r="D219" t="s">
        <v>2</v>
      </c>
      <c r="E219" t="s">
        <v>350</v>
      </c>
      <c r="F219" t="s">
        <v>13</v>
      </c>
      <c r="G219" t="s">
        <v>525</v>
      </c>
    </row>
    <row r="220" spans="1:7" x14ac:dyDescent="0.3">
      <c r="A220">
        <v>0</v>
      </c>
      <c r="B220" t="s">
        <v>105</v>
      </c>
      <c r="C220" t="s">
        <v>123</v>
      </c>
      <c r="D220" t="s">
        <v>2</v>
      </c>
      <c r="E220" t="s">
        <v>123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396</v>
      </c>
      <c r="D221" t="s">
        <v>2</v>
      </c>
      <c r="E221" t="s">
        <v>396</v>
      </c>
      <c r="F221" t="s">
        <v>13</v>
      </c>
      <c r="G221" t="s">
        <v>525</v>
      </c>
    </row>
    <row r="222" spans="1:7" x14ac:dyDescent="0.3">
      <c r="A222">
        <v>0</v>
      </c>
      <c r="B222" t="s">
        <v>312</v>
      </c>
      <c r="C222" t="s">
        <v>428</v>
      </c>
      <c r="D222" t="s">
        <v>2</v>
      </c>
      <c r="E222" t="s">
        <v>428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383</v>
      </c>
      <c r="D223" t="s">
        <v>2</v>
      </c>
      <c r="E223" t="s">
        <v>383</v>
      </c>
      <c r="F223" t="s">
        <v>13</v>
      </c>
      <c r="G223" t="s">
        <v>525</v>
      </c>
    </row>
    <row r="224" spans="1:7" x14ac:dyDescent="0.3">
      <c r="A224">
        <v>0</v>
      </c>
      <c r="B224" t="s">
        <v>312</v>
      </c>
      <c r="C224" t="s">
        <v>426</v>
      </c>
      <c r="D224" t="s">
        <v>2</v>
      </c>
      <c r="E224" t="s">
        <v>426</v>
      </c>
      <c r="F224" t="s">
        <v>13</v>
      </c>
      <c r="G224" t="s">
        <v>525</v>
      </c>
    </row>
    <row r="225" spans="1:7" x14ac:dyDescent="0.3">
      <c r="A225">
        <v>0</v>
      </c>
      <c r="B225" t="s">
        <v>312</v>
      </c>
      <c r="C225" t="s">
        <v>437</v>
      </c>
      <c r="D225" t="s">
        <v>2</v>
      </c>
      <c r="E225" t="s">
        <v>437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454</v>
      </c>
      <c r="D226" t="s">
        <v>2</v>
      </c>
      <c r="E226" t="s">
        <v>454</v>
      </c>
      <c r="F226" t="s">
        <v>13</v>
      </c>
      <c r="G226" t="s">
        <v>525</v>
      </c>
    </row>
    <row r="227" spans="1:7" x14ac:dyDescent="0.3">
      <c r="A227">
        <v>0</v>
      </c>
      <c r="B227" t="s">
        <v>312</v>
      </c>
      <c r="C227" t="s">
        <v>425</v>
      </c>
      <c r="D227" t="s">
        <v>2</v>
      </c>
      <c r="E227" t="s">
        <v>425</v>
      </c>
      <c r="F227" t="s">
        <v>13</v>
      </c>
      <c r="G227" t="s">
        <v>525</v>
      </c>
    </row>
    <row r="228" spans="1:7" x14ac:dyDescent="0.3">
      <c r="A228">
        <v>0</v>
      </c>
      <c r="B228" t="s">
        <v>312</v>
      </c>
      <c r="C228" t="s">
        <v>344</v>
      </c>
      <c r="D228" t="s">
        <v>2</v>
      </c>
      <c r="E228" t="s">
        <v>344</v>
      </c>
      <c r="F228" t="s">
        <v>13</v>
      </c>
      <c r="G228" t="s">
        <v>525</v>
      </c>
    </row>
    <row r="229" spans="1:7" x14ac:dyDescent="0.3">
      <c r="A229">
        <v>0</v>
      </c>
      <c r="B229" t="s">
        <v>312</v>
      </c>
      <c r="C229" t="s">
        <v>407</v>
      </c>
      <c r="D229" t="s">
        <v>2</v>
      </c>
      <c r="E229" t="s">
        <v>407</v>
      </c>
      <c r="F229" t="s">
        <v>13</v>
      </c>
      <c r="G229" t="s">
        <v>525</v>
      </c>
    </row>
    <row r="230" spans="1:7" x14ac:dyDescent="0.3">
      <c r="A230">
        <v>0</v>
      </c>
      <c r="B230" t="s">
        <v>314</v>
      </c>
      <c r="C230" t="s">
        <v>413</v>
      </c>
      <c r="D230" t="s">
        <v>2</v>
      </c>
      <c r="E230" t="s">
        <v>413</v>
      </c>
      <c r="F230" t="s">
        <v>13</v>
      </c>
      <c r="G230" t="s">
        <v>525</v>
      </c>
    </row>
    <row r="231" spans="1:7" x14ac:dyDescent="0.3">
      <c r="A231">
        <v>0</v>
      </c>
      <c r="B231" t="s">
        <v>312</v>
      </c>
      <c r="C231" t="s">
        <v>392</v>
      </c>
      <c r="D231" t="s">
        <v>2</v>
      </c>
      <c r="E231" t="s">
        <v>392</v>
      </c>
      <c r="F231" t="s">
        <v>13</v>
      </c>
      <c r="G231" t="s">
        <v>525</v>
      </c>
    </row>
    <row r="232" spans="1:7" x14ac:dyDescent="0.3">
      <c r="A232">
        <v>0</v>
      </c>
      <c r="B232" t="s">
        <v>319</v>
      </c>
      <c r="C232" t="s">
        <v>422</v>
      </c>
      <c r="D232" t="s">
        <v>2</v>
      </c>
      <c r="E232" t="s">
        <v>422</v>
      </c>
      <c r="F232" t="s">
        <v>13</v>
      </c>
      <c r="G232" t="s">
        <v>525</v>
      </c>
    </row>
    <row r="233" spans="1:7" x14ac:dyDescent="0.3">
      <c r="A233">
        <v>0</v>
      </c>
      <c r="B233" t="s">
        <v>314</v>
      </c>
      <c r="C233" t="s">
        <v>495</v>
      </c>
      <c r="D233" t="s">
        <v>494</v>
      </c>
      <c r="E233" t="s">
        <v>495</v>
      </c>
      <c r="F233" t="s">
        <v>13</v>
      </c>
      <c r="G233" t="s">
        <v>525</v>
      </c>
    </row>
    <row r="234" spans="1:7" x14ac:dyDescent="0.3">
      <c r="A234">
        <v>0</v>
      </c>
      <c r="B234" t="s">
        <v>314</v>
      </c>
      <c r="C234" t="s">
        <v>497</v>
      </c>
      <c r="D234" t="s">
        <v>494</v>
      </c>
      <c r="E234" t="s">
        <v>497</v>
      </c>
      <c r="F234" t="s">
        <v>13</v>
      </c>
      <c r="G234" t="s">
        <v>525</v>
      </c>
    </row>
    <row r="235" spans="1:7" x14ac:dyDescent="0.3">
      <c r="A235">
        <v>0</v>
      </c>
      <c r="B235" t="s">
        <v>314</v>
      </c>
      <c r="C235" t="s">
        <v>496</v>
      </c>
      <c r="D235" t="s">
        <v>494</v>
      </c>
      <c r="E235" t="s">
        <v>496</v>
      </c>
      <c r="F235" t="s">
        <v>13</v>
      </c>
      <c r="G235" t="s">
        <v>525</v>
      </c>
    </row>
    <row r="236" spans="1:7" x14ac:dyDescent="0.3">
      <c r="A236">
        <v>0</v>
      </c>
      <c r="B236" t="s">
        <v>312</v>
      </c>
      <c r="C236" t="s">
        <v>513</v>
      </c>
      <c r="D236" t="s">
        <v>498</v>
      </c>
      <c r="E236" t="s">
        <v>513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515</v>
      </c>
      <c r="D237" t="s">
        <v>498</v>
      </c>
      <c r="E237" t="s">
        <v>515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509</v>
      </c>
      <c r="D238" t="s">
        <v>498</v>
      </c>
      <c r="E238" t="s">
        <v>509</v>
      </c>
      <c r="F238" t="s">
        <v>13</v>
      </c>
      <c r="G238" t="s">
        <v>525</v>
      </c>
    </row>
    <row r="239" spans="1:7" x14ac:dyDescent="0.3">
      <c r="A239">
        <v>0</v>
      </c>
      <c r="B239" t="s">
        <v>312</v>
      </c>
      <c r="C239" t="s">
        <v>502</v>
      </c>
      <c r="D239" t="s">
        <v>498</v>
      </c>
      <c r="E239" t="s">
        <v>502</v>
      </c>
      <c r="F239" t="s">
        <v>13</v>
      </c>
      <c r="G239" t="s">
        <v>525</v>
      </c>
    </row>
    <row r="240" spans="1:7" x14ac:dyDescent="0.3">
      <c r="A240">
        <v>0</v>
      </c>
      <c r="B240" t="s">
        <v>312</v>
      </c>
      <c r="C240" t="s">
        <v>500</v>
      </c>
      <c r="D240" t="s">
        <v>498</v>
      </c>
      <c r="E240" t="s">
        <v>500</v>
      </c>
      <c r="F240" t="s">
        <v>13</v>
      </c>
      <c r="G240" t="s">
        <v>525</v>
      </c>
    </row>
    <row r="241" spans="1:7" x14ac:dyDescent="0.3">
      <c r="A241">
        <v>0</v>
      </c>
      <c r="B241" t="s">
        <v>507</v>
      </c>
      <c r="C241" t="s">
        <v>506</v>
      </c>
      <c r="D241" t="s">
        <v>498</v>
      </c>
      <c r="E241" t="s">
        <v>506</v>
      </c>
      <c r="F241" t="s">
        <v>13</v>
      </c>
      <c r="G241" t="s">
        <v>525</v>
      </c>
    </row>
    <row r="242" spans="1:7" x14ac:dyDescent="0.3">
      <c r="A242">
        <v>0</v>
      </c>
      <c r="B242" t="s">
        <v>312</v>
      </c>
      <c r="C242" t="s">
        <v>514</v>
      </c>
      <c r="D242" t="s">
        <v>498</v>
      </c>
      <c r="E242" t="s">
        <v>514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499</v>
      </c>
      <c r="D243" t="s">
        <v>498</v>
      </c>
      <c r="E243" t="s">
        <v>499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508</v>
      </c>
      <c r="D244" t="s">
        <v>498</v>
      </c>
      <c r="E244" t="s">
        <v>508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t="s">
        <v>519</v>
      </c>
      <c r="D245" t="s">
        <v>498</v>
      </c>
      <c r="E245" t="s">
        <v>519</v>
      </c>
      <c r="F245" t="s">
        <v>13</v>
      </c>
      <c r="G245" t="s">
        <v>525</v>
      </c>
    </row>
    <row r="246" spans="1:7" x14ac:dyDescent="0.3">
      <c r="A246">
        <v>0</v>
      </c>
      <c r="B246" t="s">
        <v>312</v>
      </c>
      <c r="C246" t="s">
        <v>510</v>
      </c>
      <c r="D246" t="s">
        <v>498</v>
      </c>
      <c r="E246" t="s">
        <v>510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521</v>
      </c>
      <c r="D247" t="s">
        <v>498</v>
      </c>
      <c r="E247" t="s">
        <v>521</v>
      </c>
      <c r="F247" t="s">
        <v>13</v>
      </c>
      <c r="G247" t="s">
        <v>525</v>
      </c>
    </row>
    <row r="248" spans="1:7" x14ac:dyDescent="0.3">
      <c r="A248">
        <v>0</v>
      </c>
      <c r="B248" t="s">
        <v>312</v>
      </c>
      <c r="C248" t="s">
        <v>501</v>
      </c>
      <c r="D248" t="s">
        <v>498</v>
      </c>
      <c r="E248" t="s">
        <v>501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504</v>
      </c>
      <c r="D249" t="s">
        <v>498</v>
      </c>
      <c r="E249" t="s">
        <v>504</v>
      </c>
      <c r="F249" t="s">
        <v>13</v>
      </c>
      <c r="G249" t="s">
        <v>525</v>
      </c>
    </row>
    <row r="250" spans="1:7" x14ac:dyDescent="0.3">
      <c r="A250">
        <v>0</v>
      </c>
      <c r="B250" t="s">
        <v>312</v>
      </c>
      <c r="C250" t="s">
        <v>520</v>
      </c>
      <c r="D250" t="s">
        <v>498</v>
      </c>
      <c r="E250" t="s">
        <v>520</v>
      </c>
      <c r="F250" t="s">
        <v>13</v>
      </c>
      <c r="G250" t="s">
        <v>525</v>
      </c>
    </row>
    <row r="251" spans="1:7" x14ac:dyDescent="0.3">
      <c r="A251">
        <v>0</v>
      </c>
      <c r="B251" t="s">
        <v>312</v>
      </c>
      <c r="C251" t="s">
        <v>523</v>
      </c>
      <c r="D251" t="s">
        <v>498</v>
      </c>
      <c r="E251" t="s">
        <v>523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503</v>
      </c>
      <c r="D252" t="s">
        <v>498</v>
      </c>
      <c r="E252" t="s">
        <v>503</v>
      </c>
      <c r="F252" t="s">
        <v>13</v>
      </c>
      <c r="G252" t="s">
        <v>525</v>
      </c>
    </row>
    <row r="253" spans="1:7" x14ac:dyDescent="0.3">
      <c r="A253">
        <v>0</v>
      </c>
      <c r="B253" t="s">
        <v>312</v>
      </c>
      <c r="C253" t="s">
        <v>512</v>
      </c>
      <c r="D253" t="s">
        <v>498</v>
      </c>
      <c r="E253" t="s">
        <v>512</v>
      </c>
      <c r="F253" t="s">
        <v>13</v>
      </c>
      <c r="G253" t="s">
        <v>525</v>
      </c>
    </row>
    <row r="254" spans="1:7" x14ac:dyDescent="0.3">
      <c r="A254">
        <v>0</v>
      </c>
      <c r="B254" t="s">
        <v>312</v>
      </c>
      <c r="C254" t="s">
        <v>505</v>
      </c>
      <c r="D254" t="s">
        <v>498</v>
      </c>
      <c r="E254" t="s">
        <v>505</v>
      </c>
      <c r="F254" t="s">
        <v>13</v>
      </c>
      <c r="G254" t="s">
        <v>525</v>
      </c>
    </row>
    <row r="255" spans="1:7" x14ac:dyDescent="0.3">
      <c r="A255">
        <v>0</v>
      </c>
      <c r="B255" t="s">
        <v>312</v>
      </c>
      <c r="C255" t="s">
        <v>518</v>
      </c>
      <c r="D255" t="s">
        <v>498</v>
      </c>
      <c r="E255" t="s">
        <v>518</v>
      </c>
      <c r="F255" t="s">
        <v>13</v>
      </c>
      <c r="G255" t="s">
        <v>525</v>
      </c>
    </row>
    <row r="256" spans="1:7" x14ac:dyDescent="0.3">
      <c r="A256">
        <v>0</v>
      </c>
      <c r="B256" t="s">
        <v>312</v>
      </c>
      <c r="C256" t="s">
        <v>522</v>
      </c>
      <c r="D256" t="s">
        <v>498</v>
      </c>
      <c r="E256" t="s">
        <v>522</v>
      </c>
      <c r="F256" t="s">
        <v>13</v>
      </c>
      <c r="G256" t="s">
        <v>525</v>
      </c>
    </row>
    <row r="257" spans="1:7" x14ac:dyDescent="0.3">
      <c r="A257">
        <v>0</v>
      </c>
      <c r="B257" t="s">
        <v>312</v>
      </c>
      <c r="C257" t="s">
        <v>516</v>
      </c>
      <c r="D257" t="s">
        <v>498</v>
      </c>
      <c r="E257" t="s">
        <v>516</v>
      </c>
      <c r="F257" t="s">
        <v>13</v>
      </c>
      <c r="G257" t="s">
        <v>525</v>
      </c>
    </row>
    <row r="258" spans="1:7" x14ac:dyDescent="0.3">
      <c r="A258">
        <v>0</v>
      </c>
      <c r="B258" t="s">
        <v>312</v>
      </c>
      <c r="C258" t="s">
        <v>517</v>
      </c>
      <c r="D258" t="s">
        <v>498</v>
      </c>
      <c r="E258" t="s">
        <v>517</v>
      </c>
      <c r="F258" t="s">
        <v>13</v>
      </c>
      <c r="G258" t="s">
        <v>525</v>
      </c>
    </row>
    <row r="259" spans="1:7" x14ac:dyDescent="0.3">
      <c r="A259">
        <v>0</v>
      </c>
      <c r="B259" t="s">
        <v>16</v>
      </c>
      <c r="C259" s="2" t="s">
        <v>22</v>
      </c>
      <c r="D259" t="s">
        <v>2</v>
      </c>
      <c r="E259" s="2" t="s">
        <v>22</v>
      </c>
      <c r="F259" t="s">
        <v>13</v>
      </c>
      <c r="G259" t="s">
        <v>525</v>
      </c>
    </row>
    <row r="260" spans="1:7" x14ac:dyDescent="0.3">
      <c r="A260">
        <v>0</v>
      </c>
      <c r="B260" t="s">
        <v>16</v>
      </c>
      <c r="C260" s="2" t="s">
        <v>49</v>
      </c>
      <c r="D260" t="s">
        <v>2</v>
      </c>
      <c r="E260" s="2" t="s">
        <v>49</v>
      </c>
      <c r="F260" t="s">
        <v>13</v>
      </c>
      <c r="G260" t="s">
        <v>525</v>
      </c>
    </row>
    <row r="261" spans="1:7" x14ac:dyDescent="0.3">
      <c r="A261">
        <v>0</v>
      </c>
      <c r="B261" t="s">
        <v>312</v>
      </c>
      <c r="C261" s="2" t="s">
        <v>55</v>
      </c>
      <c r="D261" t="s">
        <v>2</v>
      </c>
      <c r="E261" s="2" t="s">
        <v>55</v>
      </c>
      <c r="F261" t="s">
        <v>13</v>
      </c>
      <c r="G261" t="s">
        <v>525</v>
      </c>
    </row>
    <row r="262" spans="1:7" x14ac:dyDescent="0.3">
      <c r="A262">
        <v>0</v>
      </c>
      <c r="B262" t="s">
        <v>312</v>
      </c>
      <c r="C262" t="s">
        <v>59</v>
      </c>
      <c r="D262" t="s">
        <v>2</v>
      </c>
      <c r="E262" t="s">
        <v>59</v>
      </c>
      <c r="F262" t="s">
        <v>13</v>
      </c>
      <c r="G262" t="s">
        <v>525</v>
      </c>
    </row>
    <row r="263" spans="1:7" x14ac:dyDescent="0.3">
      <c r="A263">
        <v>0</v>
      </c>
      <c r="B263" t="s">
        <v>16</v>
      </c>
      <c r="C263" s="2" t="s">
        <v>61</v>
      </c>
      <c r="D263" t="s">
        <v>2</v>
      </c>
      <c r="E263" s="2" t="s">
        <v>61</v>
      </c>
      <c r="F263" t="s">
        <v>13</v>
      </c>
      <c r="G263" t="s">
        <v>525</v>
      </c>
    </row>
    <row r="264" spans="1:7" x14ac:dyDescent="0.3">
      <c r="A264">
        <v>0</v>
      </c>
      <c r="B264" t="s">
        <v>312</v>
      </c>
      <c r="C264" s="2" t="s">
        <v>67</v>
      </c>
      <c r="D264" t="s">
        <v>2</v>
      </c>
      <c r="E264" s="2" t="s">
        <v>67</v>
      </c>
      <c r="F264" t="s">
        <v>13</v>
      </c>
      <c r="G264" t="s">
        <v>525</v>
      </c>
    </row>
    <row r="265" spans="1:7" x14ac:dyDescent="0.3">
      <c r="A265">
        <v>0</v>
      </c>
      <c r="B265" t="s">
        <v>312</v>
      </c>
      <c r="C265" t="s">
        <v>73</v>
      </c>
      <c r="D265" t="s">
        <v>2</v>
      </c>
      <c r="E265" t="s">
        <v>73</v>
      </c>
      <c r="F265" t="s">
        <v>13</v>
      </c>
      <c r="G265" t="s">
        <v>525</v>
      </c>
    </row>
    <row r="266" spans="1:7" x14ac:dyDescent="0.3">
      <c r="A266">
        <v>0</v>
      </c>
      <c r="B266" t="s">
        <v>312</v>
      </c>
      <c r="C266" t="s">
        <v>79</v>
      </c>
      <c r="D266" t="s">
        <v>2</v>
      </c>
      <c r="E266" t="s">
        <v>79</v>
      </c>
      <c r="F266" t="s">
        <v>13</v>
      </c>
      <c r="G266" t="s">
        <v>525</v>
      </c>
    </row>
    <row r="267" spans="1:7" x14ac:dyDescent="0.3">
      <c r="A267">
        <v>0</v>
      </c>
      <c r="B267" t="s">
        <v>312</v>
      </c>
      <c r="C267" t="s">
        <v>82</v>
      </c>
      <c r="D267" t="s">
        <v>2</v>
      </c>
      <c r="E267" t="s">
        <v>82</v>
      </c>
      <c r="F267" t="s">
        <v>13</v>
      </c>
      <c r="G267" t="s">
        <v>525</v>
      </c>
    </row>
    <row r="268" spans="1:7" x14ac:dyDescent="0.3">
      <c r="A268">
        <v>0</v>
      </c>
      <c r="B268" t="s">
        <v>312</v>
      </c>
      <c r="C268" t="s">
        <v>85</v>
      </c>
      <c r="D268" t="s">
        <v>2</v>
      </c>
      <c r="E268" t="s">
        <v>85</v>
      </c>
      <c r="F268" t="s">
        <v>13</v>
      </c>
      <c r="G268" t="s">
        <v>525</v>
      </c>
    </row>
    <row r="269" spans="1:7" x14ac:dyDescent="0.3">
      <c r="A269">
        <v>0</v>
      </c>
      <c r="B269" t="s">
        <v>312</v>
      </c>
      <c r="C269" t="s">
        <v>88</v>
      </c>
      <c r="D269" t="s">
        <v>2</v>
      </c>
      <c r="E269" t="s">
        <v>88</v>
      </c>
      <c r="F269" t="s">
        <v>13</v>
      </c>
      <c r="G269" t="s">
        <v>525</v>
      </c>
    </row>
    <row r="270" spans="1:7" x14ac:dyDescent="0.3">
      <c r="A270">
        <v>0</v>
      </c>
      <c r="B270" t="s">
        <v>312</v>
      </c>
      <c r="C270" t="s">
        <v>91</v>
      </c>
      <c r="D270" t="s">
        <v>2</v>
      </c>
      <c r="E270" t="s">
        <v>91</v>
      </c>
      <c r="F270" t="s">
        <v>13</v>
      </c>
      <c r="G270" t="s">
        <v>525</v>
      </c>
    </row>
    <row r="271" spans="1:7" x14ac:dyDescent="0.3">
      <c r="A271">
        <v>0</v>
      </c>
      <c r="B271" t="s">
        <v>312</v>
      </c>
      <c r="C271" t="s">
        <v>94</v>
      </c>
      <c r="D271" t="s">
        <v>2</v>
      </c>
      <c r="E271" t="s">
        <v>94</v>
      </c>
      <c r="F271" t="s">
        <v>13</v>
      </c>
      <c r="G271" t="s">
        <v>525</v>
      </c>
    </row>
    <row r="272" spans="1:7" x14ac:dyDescent="0.3">
      <c r="A272">
        <v>0</v>
      </c>
      <c r="B272" t="s">
        <v>312</v>
      </c>
      <c r="C272" t="s">
        <v>97</v>
      </c>
      <c r="D272" t="s">
        <v>2</v>
      </c>
      <c r="E272" t="s">
        <v>97</v>
      </c>
      <c r="F272" t="s">
        <v>13</v>
      </c>
      <c r="G272" t="s">
        <v>525</v>
      </c>
    </row>
    <row r="273" spans="1:7" x14ac:dyDescent="0.3">
      <c r="A273">
        <v>0</v>
      </c>
      <c r="B273" t="s">
        <v>312</v>
      </c>
      <c r="C273" t="s">
        <v>100</v>
      </c>
      <c r="D273" t="s">
        <v>2</v>
      </c>
      <c r="E273" t="s">
        <v>100</v>
      </c>
      <c r="F273" t="s">
        <v>13</v>
      </c>
      <c r="G273" t="s">
        <v>525</v>
      </c>
    </row>
  </sheetData>
  <pageMargins left="0.75" right="0.75" top="1" bottom="1" header="0.5" footer="0.5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3"/>
  <sheetViews>
    <sheetView topLeftCell="A15" workbookViewId="0">
      <selection activeCell="E28" sqref="E28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0.59523809523809501</v>
      </c>
      <c r="B2" t="s">
        <v>57</v>
      </c>
      <c r="C2" t="s">
        <v>708</v>
      </c>
      <c r="D2" t="s">
        <v>2</v>
      </c>
      <c r="E2" s="19" t="s">
        <v>67</v>
      </c>
      <c r="F2" s="4" t="s">
        <v>13</v>
      </c>
      <c r="G2" t="s">
        <v>525</v>
      </c>
      <c r="H2" t="s">
        <v>626</v>
      </c>
    </row>
    <row r="3" spans="1:9" x14ac:dyDescent="0.3">
      <c r="A3">
        <v>9.9852071005917167E-3</v>
      </c>
      <c r="B3" t="s">
        <v>57</v>
      </c>
      <c r="C3" t="s">
        <v>709</v>
      </c>
      <c r="D3" t="s">
        <v>2</v>
      </c>
      <c r="E3" s="18" t="s">
        <v>371</v>
      </c>
      <c r="F3" t="s">
        <v>13</v>
      </c>
      <c r="G3" t="s">
        <v>525</v>
      </c>
      <c r="H3" t="s">
        <v>626</v>
      </c>
    </row>
    <row r="4" spans="1:9" x14ac:dyDescent="0.3">
      <c r="A4">
        <v>1.499835634451019E-2</v>
      </c>
      <c r="B4" t="s">
        <v>57</v>
      </c>
      <c r="C4" t="s">
        <v>666</v>
      </c>
      <c r="D4" t="s">
        <v>2</v>
      </c>
      <c r="E4" t="s">
        <v>149</v>
      </c>
      <c r="F4" t="s">
        <v>13</v>
      </c>
      <c r="G4" t="s">
        <v>525</v>
      </c>
      <c r="H4" t="s">
        <v>626</v>
      </c>
    </row>
    <row r="5" spans="1:9" x14ac:dyDescent="0.3">
      <c r="A5">
        <v>2.6997041420118344E-3</v>
      </c>
      <c r="B5" t="s">
        <v>57</v>
      </c>
      <c r="C5" t="s">
        <v>665</v>
      </c>
      <c r="D5" t="s">
        <v>2</v>
      </c>
      <c r="E5" t="s">
        <v>149</v>
      </c>
      <c r="F5" t="s">
        <v>13</v>
      </c>
      <c r="G5" t="s">
        <v>525</v>
      </c>
      <c r="H5" t="s">
        <v>626</v>
      </c>
    </row>
    <row r="6" spans="1:9" x14ac:dyDescent="0.3">
      <c r="A6">
        <v>3.8995726495726496E-2</v>
      </c>
      <c r="B6" t="s">
        <v>57</v>
      </c>
      <c r="C6" t="s">
        <v>710</v>
      </c>
      <c r="D6" t="s">
        <v>2</v>
      </c>
      <c r="E6" t="s">
        <v>149</v>
      </c>
      <c r="F6" t="s">
        <v>13</v>
      </c>
      <c r="G6" t="s">
        <v>525</v>
      </c>
      <c r="H6" t="s">
        <v>626</v>
      </c>
    </row>
    <row r="7" spans="1:9" x14ac:dyDescent="0.3">
      <c r="A7">
        <v>0.29996712689020383</v>
      </c>
      <c r="B7" t="s">
        <v>57</v>
      </c>
      <c r="C7" t="s">
        <v>711</v>
      </c>
      <c r="D7" t="s">
        <v>2</v>
      </c>
      <c r="E7" t="s">
        <v>149</v>
      </c>
      <c r="F7" t="s">
        <v>13</v>
      </c>
      <c r="G7" t="s">
        <v>525</v>
      </c>
      <c r="H7" t="s">
        <v>626</v>
      </c>
    </row>
    <row r="8" spans="1:9" x14ac:dyDescent="0.3">
      <c r="A8">
        <v>0.23997370151216305</v>
      </c>
      <c r="B8" t="s">
        <v>57</v>
      </c>
      <c r="C8" t="s">
        <v>712</v>
      </c>
      <c r="D8" t="s">
        <v>2</v>
      </c>
      <c r="E8" t="s">
        <v>149</v>
      </c>
      <c r="F8" t="s">
        <v>13</v>
      </c>
      <c r="G8" t="s">
        <v>525</v>
      </c>
      <c r="H8" t="s">
        <v>626</v>
      </c>
    </row>
    <row r="9" spans="1:9" x14ac:dyDescent="0.3">
      <c r="A9">
        <v>2.0011505588428667E-3</v>
      </c>
      <c r="B9" t="s">
        <v>57</v>
      </c>
      <c r="C9" t="s">
        <v>713</v>
      </c>
      <c r="D9" t="s">
        <v>2</v>
      </c>
      <c r="E9" t="s">
        <v>149</v>
      </c>
      <c r="F9" t="s">
        <v>13</v>
      </c>
      <c r="G9" t="s">
        <v>525</v>
      </c>
      <c r="H9" t="s">
        <v>626</v>
      </c>
    </row>
    <row r="10" spans="1:9" x14ac:dyDescent="0.3">
      <c r="A10">
        <v>7.4375410913872456E-3</v>
      </c>
      <c r="B10" t="s">
        <v>57</v>
      </c>
      <c r="C10" t="s">
        <v>714</v>
      </c>
      <c r="D10" t="s">
        <v>2</v>
      </c>
      <c r="E10" s="18" t="s">
        <v>345</v>
      </c>
      <c r="F10" t="s">
        <v>13</v>
      </c>
      <c r="G10" t="s">
        <v>525</v>
      </c>
      <c r="H10" t="s">
        <v>626</v>
      </c>
    </row>
    <row r="11" spans="1:9" x14ac:dyDescent="0.3">
      <c r="A11">
        <v>1.510490916333472E-3</v>
      </c>
      <c r="B11" t="s">
        <v>57</v>
      </c>
      <c r="C11" t="s">
        <v>715</v>
      </c>
      <c r="D11" t="s">
        <v>2</v>
      </c>
      <c r="E11" s="2" t="s">
        <v>322</v>
      </c>
      <c r="F11" t="s">
        <v>13</v>
      </c>
      <c r="G11" t="s">
        <v>525</v>
      </c>
      <c r="H11" t="s">
        <v>626</v>
      </c>
    </row>
    <row r="12" spans="1:9" x14ac:dyDescent="0.3">
      <c r="A12">
        <v>8.948032007720718E-3</v>
      </c>
      <c r="B12" t="s">
        <v>57</v>
      </c>
      <c r="C12" t="s">
        <v>614</v>
      </c>
      <c r="D12" t="s">
        <v>2</v>
      </c>
      <c r="E12" s="2" t="s">
        <v>322</v>
      </c>
      <c r="F12" t="s">
        <v>13</v>
      </c>
      <c r="G12" t="s">
        <v>525</v>
      </c>
      <c r="H12" t="s">
        <v>626</v>
      </c>
    </row>
    <row r="13" spans="1:9" x14ac:dyDescent="0.3">
      <c r="A13">
        <v>4.7619047619047619</v>
      </c>
      <c r="B13" t="s">
        <v>542</v>
      </c>
      <c r="C13" t="s">
        <v>648</v>
      </c>
      <c r="D13" t="s">
        <v>2</v>
      </c>
      <c r="E13" t="s">
        <v>111</v>
      </c>
      <c r="F13" t="s">
        <v>13</v>
      </c>
      <c r="G13" t="s">
        <v>525</v>
      </c>
      <c r="H13" t="s">
        <v>626</v>
      </c>
    </row>
    <row r="14" spans="1:9" x14ac:dyDescent="0.3">
      <c r="A14">
        <f>3.99819197896121/48</f>
        <v>8.3295666228358545E-2</v>
      </c>
      <c r="B14" t="s">
        <v>57</v>
      </c>
      <c r="C14" t="s">
        <v>671</v>
      </c>
      <c r="D14" t="s">
        <v>2</v>
      </c>
      <c r="E14" t="s">
        <v>398</v>
      </c>
      <c r="F14" t="s">
        <v>13</v>
      </c>
      <c r="G14" t="s">
        <v>525</v>
      </c>
      <c r="H14" t="s">
        <v>626</v>
      </c>
    </row>
    <row r="15" spans="1:9" x14ac:dyDescent="0.3">
      <c r="A15">
        <v>1.1012491781722601E-4</v>
      </c>
      <c r="B15" s="2" t="s">
        <v>319</v>
      </c>
      <c r="C15" t="s">
        <v>716</v>
      </c>
      <c r="D15" t="s">
        <v>2</v>
      </c>
      <c r="E15" s="18" t="s">
        <v>375</v>
      </c>
      <c r="F15" t="s">
        <v>13</v>
      </c>
      <c r="G15" t="s">
        <v>525</v>
      </c>
      <c r="H15" t="s">
        <v>626</v>
      </c>
    </row>
    <row r="16" spans="1:9" x14ac:dyDescent="0.3">
      <c r="A16">
        <f>$A$2*'[1]Ingot prod US'!I12</f>
        <v>0</v>
      </c>
      <c r="B16" t="s">
        <v>314</v>
      </c>
      <c r="C16" t="s">
        <v>620</v>
      </c>
      <c r="D16" t="s">
        <v>2</v>
      </c>
      <c r="E16" s="2" t="s">
        <v>455</v>
      </c>
      <c r="F16" t="s">
        <v>13</v>
      </c>
      <c r="G16" t="s">
        <v>525</v>
      </c>
      <c r="H16" t="s">
        <v>621</v>
      </c>
    </row>
    <row r="17" spans="1:8" x14ac:dyDescent="0.3">
      <c r="A17">
        <f>$A$2*'[1]Ingot prod US'!I13</f>
        <v>7.2793179377679282E-8</v>
      </c>
      <c r="B17" s="2" t="s">
        <v>314</v>
      </c>
      <c r="C17" t="s">
        <v>622</v>
      </c>
      <c r="D17" t="s">
        <v>2</v>
      </c>
      <c r="E17" s="2" t="s">
        <v>409</v>
      </c>
      <c r="F17" t="s">
        <v>13</v>
      </c>
      <c r="G17" t="s">
        <v>525</v>
      </c>
      <c r="H17" t="s">
        <v>621</v>
      </c>
    </row>
    <row r="18" spans="1:8" x14ac:dyDescent="0.3">
      <c r="A18">
        <f>$A$2*'[1]Ingot prod US'!I14</f>
        <v>9.765513937975687E-8</v>
      </c>
      <c r="B18" s="2" t="s">
        <v>314</v>
      </c>
      <c r="C18" t="s">
        <v>623</v>
      </c>
      <c r="D18" t="s">
        <v>2</v>
      </c>
      <c r="E18" s="2" t="s">
        <v>443</v>
      </c>
      <c r="F18" t="s">
        <v>13</v>
      </c>
      <c r="G18" t="s">
        <v>525</v>
      </c>
      <c r="H18" t="s">
        <v>621</v>
      </c>
    </row>
    <row r="19" spans="1:8" x14ac:dyDescent="0.3">
      <c r="A19">
        <f>55.5555555555556*2.31803430690774E-09</f>
        <v>1.2877968371709678E-7</v>
      </c>
      <c r="B19" t="s">
        <v>314</v>
      </c>
      <c r="C19" t="s">
        <v>717</v>
      </c>
      <c r="D19" t="s">
        <v>2</v>
      </c>
      <c r="E19" t="s">
        <v>341</v>
      </c>
      <c r="F19" t="s">
        <v>13</v>
      </c>
      <c r="G19" t="s">
        <v>525</v>
      </c>
      <c r="H19" t="s">
        <v>626</v>
      </c>
    </row>
    <row r="20" spans="1:8" x14ac:dyDescent="0.3">
      <c r="A20">
        <v>1.2569416796599355E-7</v>
      </c>
      <c r="B20" t="s">
        <v>314</v>
      </c>
      <c r="C20" t="s">
        <v>654</v>
      </c>
      <c r="D20" t="s">
        <v>2</v>
      </c>
      <c r="E20" s="2" t="s">
        <v>449</v>
      </c>
      <c r="F20" t="s">
        <v>13</v>
      </c>
      <c r="G20" t="s">
        <v>525</v>
      </c>
      <c r="H20" t="s">
        <v>655</v>
      </c>
    </row>
    <row r="21" spans="1:8" x14ac:dyDescent="0.3">
      <c r="A21">
        <v>6.9131792381296471E-7</v>
      </c>
      <c r="B21" t="s">
        <v>314</v>
      </c>
      <c r="C21" t="s">
        <v>656</v>
      </c>
      <c r="D21" t="s">
        <v>2</v>
      </c>
      <c r="E21" s="2" t="s">
        <v>487</v>
      </c>
      <c r="F21" t="s">
        <v>13</v>
      </c>
      <c r="G21" t="s">
        <v>525</v>
      </c>
      <c r="H21" t="s">
        <v>655</v>
      </c>
    </row>
    <row r="22" spans="1:8" x14ac:dyDescent="0.3">
      <c r="A22">
        <v>7.2201068575814916E-7</v>
      </c>
      <c r="B22" t="s">
        <v>314</v>
      </c>
      <c r="C22" t="s">
        <v>495</v>
      </c>
      <c r="D22" t="s">
        <v>494</v>
      </c>
      <c r="E22" t="s">
        <v>495</v>
      </c>
      <c r="F22" t="s">
        <v>13</v>
      </c>
      <c r="G22" t="s">
        <v>525</v>
      </c>
      <c r="H22" t="s">
        <v>655</v>
      </c>
    </row>
    <row r="23" spans="1:8" x14ac:dyDescent="0.3">
      <c r="A23">
        <v>1.0640157474330618E-6</v>
      </c>
      <c r="B23" t="s">
        <v>314</v>
      </c>
      <c r="C23" t="s">
        <v>496</v>
      </c>
      <c r="D23" t="s">
        <v>494</v>
      </c>
      <c r="E23" s="2" t="s">
        <v>496</v>
      </c>
      <c r="F23" t="s">
        <v>13</v>
      </c>
      <c r="G23" t="s">
        <v>525</v>
      </c>
      <c r="H23" t="s">
        <v>655</v>
      </c>
    </row>
    <row r="24" spans="1:8" x14ac:dyDescent="0.3">
      <c r="A24">
        <v>7.6001124816647296E-7</v>
      </c>
      <c r="B24" t="s">
        <v>314</v>
      </c>
      <c r="C24" t="s">
        <v>497</v>
      </c>
      <c r="D24" t="s">
        <v>494</v>
      </c>
      <c r="E24" s="2" t="s">
        <v>497</v>
      </c>
      <c r="F24" t="s">
        <v>13</v>
      </c>
      <c r="G24" t="s">
        <v>525</v>
      </c>
      <c r="H24" t="s">
        <v>655</v>
      </c>
    </row>
    <row r="25" spans="1:8" x14ac:dyDescent="0.3">
      <c r="A25">
        <v>1.1157500364954052E-7</v>
      </c>
      <c r="B25" t="s">
        <v>507</v>
      </c>
      <c r="C25" t="s">
        <v>506</v>
      </c>
      <c r="D25" t="s">
        <v>498</v>
      </c>
      <c r="E25" s="2" t="s">
        <v>506</v>
      </c>
      <c r="F25" t="s">
        <v>13</v>
      </c>
      <c r="G25" t="s">
        <v>525</v>
      </c>
      <c r="H25" t="s">
        <v>655</v>
      </c>
    </row>
    <row r="26" spans="1:8" x14ac:dyDescent="0.3">
      <c r="A26">
        <v>0.22429857001972389</v>
      </c>
      <c r="B26" t="s">
        <v>57</v>
      </c>
      <c r="C26" t="s">
        <v>535</v>
      </c>
      <c r="D26" t="s">
        <v>498</v>
      </c>
      <c r="E26" t="s">
        <v>502</v>
      </c>
      <c r="F26" t="s">
        <v>13</v>
      </c>
      <c r="G26" t="s">
        <v>525</v>
      </c>
      <c r="H26" t="s">
        <v>658</v>
      </c>
    </row>
    <row r="27" spans="1:8" x14ac:dyDescent="0.3">
      <c r="A27">
        <v>1.9990959894806049E-5</v>
      </c>
      <c r="B27" t="s">
        <v>57</v>
      </c>
      <c r="C27" t="s">
        <v>500</v>
      </c>
      <c r="D27" t="s">
        <v>498</v>
      </c>
      <c r="E27" t="s">
        <v>500</v>
      </c>
      <c r="F27" t="s">
        <v>13</v>
      </c>
      <c r="G27" t="s">
        <v>525</v>
      </c>
      <c r="H27" t="s">
        <v>658</v>
      </c>
    </row>
    <row r="28" spans="1:8" x14ac:dyDescent="0.3">
      <c r="A28">
        <v>3.9981919789612104E-7</v>
      </c>
      <c r="B28" t="s">
        <v>57</v>
      </c>
      <c r="C28" t="s">
        <v>511</v>
      </c>
      <c r="D28" t="s">
        <v>498</v>
      </c>
      <c r="E28" t="s">
        <v>511</v>
      </c>
      <c r="F28" t="s">
        <v>13</v>
      </c>
      <c r="G28" t="s">
        <v>525</v>
      </c>
      <c r="H28" t="s">
        <v>658</v>
      </c>
    </row>
    <row r="29" spans="1:8" x14ac:dyDescent="0.3">
      <c r="A29">
        <v>0</v>
      </c>
      <c r="B29" t="s">
        <v>312</v>
      </c>
      <c r="C29" t="s">
        <v>483</v>
      </c>
      <c r="D29" t="s">
        <v>2</v>
      </c>
      <c r="E29" t="s">
        <v>483</v>
      </c>
      <c r="F29" t="s">
        <v>13</v>
      </c>
      <c r="G29" t="s">
        <v>525</v>
      </c>
    </row>
    <row r="30" spans="1:8" x14ac:dyDescent="0.3">
      <c r="A30">
        <v>0</v>
      </c>
      <c r="B30" t="s">
        <v>105</v>
      </c>
      <c r="C30" t="s">
        <v>125</v>
      </c>
      <c r="D30" t="s">
        <v>2</v>
      </c>
      <c r="E30" t="s">
        <v>125</v>
      </c>
      <c r="F30" t="s">
        <v>13</v>
      </c>
      <c r="G30" t="s">
        <v>525</v>
      </c>
    </row>
    <row r="31" spans="1:8" x14ac:dyDescent="0.3">
      <c r="A31">
        <v>0</v>
      </c>
      <c r="B31" t="s">
        <v>319</v>
      </c>
      <c r="C31" t="s">
        <v>461</v>
      </c>
      <c r="D31" t="s">
        <v>2</v>
      </c>
      <c r="E31" t="s">
        <v>461</v>
      </c>
      <c r="F31" t="s">
        <v>13</v>
      </c>
      <c r="G31" t="s">
        <v>525</v>
      </c>
    </row>
    <row r="32" spans="1:8" x14ac:dyDescent="0.3">
      <c r="A32">
        <v>0</v>
      </c>
      <c r="B32" t="s">
        <v>314</v>
      </c>
      <c r="C32" t="s">
        <v>395</v>
      </c>
      <c r="D32" t="s">
        <v>2</v>
      </c>
      <c r="E32" t="s">
        <v>395</v>
      </c>
      <c r="F32" t="s">
        <v>13</v>
      </c>
      <c r="G32" t="s">
        <v>525</v>
      </c>
    </row>
    <row r="33" spans="1:7" x14ac:dyDescent="0.3">
      <c r="A33">
        <v>0</v>
      </c>
      <c r="B33" t="s">
        <v>312</v>
      </c>
      <c r="C33" t="s">
        <v>399</v>
      </c>
      <c r="D33" t="s">
        <v>2</v>
      </c>
      <c r="E33" t="s">
        <v>399</v>
      </c>
      <c r="F33" t="s">
        <v>13</v>
      </c>
      <c r="G33" t="s">
        <v>525</v>
      </c>
    </row>
    <row r="34" spans="1:7" x14ac:dyDescent="0.3">
      <c r="A34">
        <v>0</v>
      </c>
      <c r="B34" t="s">
        <v>314</v>
      </c>
      <c r="C34" t="s">
        <v>432</v>
      </c>
      <c r="D34" t="s">
        <v>2</v>
      </c>
      <c r="E34" t="s">
        <v>432</v>
      </c>
      <c r="F34" t="s">
        <v>13</v>
      </c>
      <c r="G34" t="s">
        <v>525</v>
      </c>
    </row>
    <row r="35" spans="1:7" x14ac:dyDescent="0.3">
      <c r="A35">
        <v>0</v>
      </c>
      <c r="B35" t="s">
        <v>312</v>
      </c>
      <c r="C35" t="s">
        <v>325</v>
      </c>
      <c r="D35" t="s">
        <v>2</v>
      </c>
      <c r="E35" t="s">
        <v>325</v>
      </c>
      <c r="F35" t="s">
        <v>13</v>
      </c>
      <c r="G35" t="s">
        <v>525</v>
      </c>
    </row>
    <row r="36" spans="1:7" x14ac:dyDescent="0.3">
      <c r="A36">
        <v>0</v>
      </c>
      <c r="B36" t="s">
        <v>314</v>
      </c>
      <c r="C36" t="s">
        <v>372</v>
      </c>
      <c r="D36" t="s">
        <v>2</v>
      </c>
      <c r="E36" t="s">
        <v>372</v>
      </c>
      <c r="F36" t="s">
        <v>13</v>
      </c>
      <c r="G36" t="s">
        <v>525</v>
      </c>
    </row>
    <row r="37" spans="1:7" x14ac:dyDescent="0.3">
      <c r="A37">
        <v>0</v>
      </c>
      <c r="B37" t="s">
        <v>314</v>
      </c>
      <c r="C37" t="s">
        <v>260</v>
      </c>
      <c r="D37" t="s">
        <v>2</v>
      </c>
      <c r="E37" t="s">
        <v>260</v>
      </c>
      <c r="F37" t="s">
        <v>13</v>
      </c>
      <c r="G37" t="s">
        <v>525</v>
      </c>
    </row>
    <row r="38" spans="1:7" x14ac:dyDescent="0.3">
      <c r="A38">
        <v>0</v>
      </c>
      <c r="B38" t="s">
        <v>312</v>
      </c>
      <c r="C38" t="s">
        <v>330</v>
      </c>
      <c r="D38" t="s">
        <v>2</v>
      </c>
      <c r="E38" t="s">
        <v>330</v>
      </c>
      <c r="F38" t="s">
        <v>13</v>
      </c>
      <c r="G38" t="s">
        <v>525</v>
      </c>
    </row>
    <row r="39" spans="1:7" x14ac:dyDescent="0.3">
      <c r="A39">
        <v>0</v>
      </c>
      <c r="B39" t="s">
        <v>105</v>
      </c>
      <c r="C39" t="s">
        <v>401</v>
      </c>
      <c r="D39" t="s">
        <v>2</v>
      </c>
      <c r="E39" t="s">
        <v>401</v>
      </c>
      <c r="F39" t="s">
        <v>13</v>
      </c>
      <c r="G39" t="s">
        <v>525</v>
      </c>
    </row>
    <row r="40" spans="1:7" x14ac:dyDescent="0.3">
      <c r="A40">
        <v>0</v>
      </c>
      <c r="B40" t="s">
        <v>312</v>
      </c>
      <c r="C40" t="s">
        <v>416</v>
      </c>
      <c r="D40" t="s">
        <v>2</v>
      </c>
      <c r="E40" t="s">
        <v>416</v>
      </c>
      <c r="F40" t="s">
        <v>13</v>
      </c>
      <c r="G40" t="s">
        <v>525</v>
      </c>
    </row>
    <row r="41" spans="1:7" x14ac:dyDescent="0.3">
      <c r="A41">
        <v>0</v>
      </c>
      <c r="B41" t="s">
        <v>319</v>
      </c>
      <c r="C41" t="s">
        <v>375</v>
      </c>
      <c r="D41" t="s">
        <v>2</v>
      </c>
      <c r="E41" t="s">
        <v>375</v>
      </c>
      <c r="F41" t="s">
        <v>13</v>
      </c>
      <c r="G41" t="s">
        <v>525</v>
      </c>
    </row>
    <row r="42" spans="1:7" x14ac:dyDescent="0.3">
      <c r="A42">
        <v>0</v>
      </c>
      <c r="B42" t="s">
        <v>312</v>
      </c>
      <c r="C42" t="s">
        <v>333</v>
      </c>
      <c r="D42" t="s">
        <v>2</v>
      </c>
      <c r="E42" t="s">
        <v>333</v>
      </c>
      <c r="F42" t="s">
        <v>13</v>
      </c>
      <c r="G42" t="s">
        <v>525</v>
      </c>
    </row>
    <row r="43" spans="1:7" x14ac:dyDescent="0.3">
      <c r="A43">
        <v>0</v>
      </c>
      <c r="B43" t="s">
        <v>57</v>
      </c>
      <c r="C43" t="s">
        <v>118</v>
      </c>
      <c r="D43" t="s">
        <v>2</v>
      </c>
      <c r="E43" t="s">
        <v>118</v>
      </c>
      <c r="F43" t="s">
        <v>13</v>
      </c>
      <c r="G43" t="s">
        <v>525</v>
      </c>
    </row>
    <row r="44" spans="1:7" x14ac:dyDescent="0.3">
      <c r="A44">
        <v>0</v>
      </c>
      <c r="B44" t="s">
        <v>312</v>
      </c>
      <c r="C44" t="s">
        <v>406</v>
      </c>
      <c r="D44" t="s">
        <v>2</v>
      </c>
      <c r="E44" t="s">
        <v>406</v>
      </c>
      <c r="F44" t="s">
        <v>13</v>
      </c>
      <c r="G44" t="s">
        <v>525</v>
      </c>
    </row>
    <row r="45" spans="1:7" x14ac:dyDescent="0.3">
      <c r="A45">
        <v>0</v>
      </c>
      <c r="B45" t="s">
        <v>312</v>
      </c>
      <c r="C45" t="s">
        <v>315</v>
      </c>
      <c r="D45" t="s">
        <v>2</v>
      </c>
      <c r="E45" t="s">
        <v>315</v>
      </c>
      <c r="F45" t="s">
        <v>13</v>
      </c>
      <c r="G45" t="s">
        <v>525</v>
      </c>
    </row>
    <row r="46" spans="1:7" x14ac:dyDescent="0.3">
      <c r="A46">
        <v>0</v>
      </c>
      <c r="B46" t="s">
        <v>312</v>
      </c>
      <c r="C46" t="s">
        <v>358</v>
      </c>
      <c r="D46" t="s">
        <v>2</v>
      </c>
      <c r="E46" t="s">
        <v>358</v>
      </c>
      <c r="F46" t="s">
        <v>13</v>
      </c>
      <c r="G46" t="s">
        <v>525</v>
      </c>
    </row>
    <row r="47" spans="1:7" x14ac:dyDescent="0.3">
      <c r="A47">
        <v>0</v>
      </c>
      <c r="B47" t="s">
        <v>314</v>
      </c>
      <c r="C47" t="s">
        <v>444</v>
      </c>
      <c r="D47" t="s">
        <v>2</v>
      </c>
      <c r="E47" t="s">
        <v>444</v>
      </c>
      <c r="F47" t="s">
        <v>13</v>
      </c>
      <c r="G47" t="s">
        <v>525</v>
      </c>
    </row>
    <row r="48" spans="1:7" x14ac:dyDescent="0.3">
      <c r="A48">
        <v>0</v>
      </c>
      <c r="B48" t="s">
        <v>312</v>
      </c>
      <c r="C48" t="s">
        <v>439</v>
      </c>
      <c r="D48" t="s">
        <v>2</v>
      </c>
      <c r="E48" t="s">
        <v>439</v>
      </c>
      <c r="F48" t="s">
        <v>13</v>
      </c>
      <c r="G48" t="s">
        <v>525</v>
      </c>
    </row>
    <row r="49" spans="1:7" x14ac:dyDescent="0.3">
      <c r="A49">
        <v>0</v>
      </c>
      <c r="B49" t="s">
        <v>312</v>
      </c>
      <c r="C49" t="s">
        <v>381</v>
      </c>
      <c r="D49" t="s">
        <v>2</v>
      </c>
      <c r="E49" t="s">
        <v>381</v>
      </c>
      <c r="F49" t="s">
        <v>13</v>
      </c>
      <c r="G49" t="s">
        <v>525</v>
      </c>
    </row>
    <row r="50" spans="1:7" x14ac:dyDescent="0.3">
      <c r="A50">
        <v>0</v>
      </c>
      <c r="B50" t="s">
        <v>312</v>
      </c>
      <c r="C50" t="s">
        <v>418</v>
      </c>
      <c r="D50" t="s">
        <v>2</v>
      </c>
      <c r="E50" t="s">
        <v>418</v>
      </c>
      <c r="F50" t="s">
        <v>13</v>
      </c>
      <c r="G50" t="s">
        <v>525</v>
      </c>
    </row>
    <row r="51" spans="1:7" x14ac:dyDescent="0.3">
      <c r="A51">
        <v>0</v>
      </c>
      <c r="B51" t="s">
        <v>314</v>
      </c>
      <c r="C51" t="s">
        <v>465</v>
      </c>
      <c r="D51" t="s">
        <v>2</v>
      </c>
      <c r="E51" t="s">
        <v>465</v>
      </c>
      <c r="F51" t="s">
        <v>13</v>
      </c>
      <c r="G51" t="s">
        <v>525</v>
      </c>
    </row>
    <row r="52" spans="1:7" x14ac:dyDescent="0.3">
      <c r="A52">
        <v>0</v>
      </c>
      <c r="B52" t="s">
        <v>105</v>
      </c>
      <c r="C52" t="s">
        <v>103</v>
      </c>
      <c r="D52" t="s">
        <v>2</v>
      </c>
      <c r="E52" t="s">
        <v>103</v>
      </c>
      <c r="F52" t="s">
        <v>13</v>
      </c>
      <c r="G52" t="s">
        <v>525</v>
      </c>
    </row>
    <row r="53" spans="1:7" x14ac:dyDescent="0.3">
      <c r="A53">
        <v>0</v>
      </c>
      <c r="B53" t="s">
        <v>312</v>
      </c>
      <c r="C53" t="s">
        <v>320</v>
      </c>
      <c r="D53" t="s">
        <v>2</v>
      </c>
      <c r="E53" t="s">
        <v>320</v>
      </c>
      <c r="F53" t="s">
        <v>13</v>
      </c>
      <c r="G53" t="s">
        <v>525</v>
      </c>
    </row>
    <row r="54" spans="1:7" x14ac:dyDescent="0.3">
      <c r="A54">
        <v>0</v>
      </c>
      <c r="B54" t="s">
        <v>312</v>
      </c>
      <c r="C54" t="s">
        <v>334</v>
      </c>
      <c r="D54" t="s">
        <v>2</v>
      </c>
      <c r="E54" t="s">
        <v>334</v>
      </c>
      <c r="F54" t="s">
        <v>13</v>
      </c>
      <c r="G54" t="s">
        <v>525</v>
      </c>
    </row>
    <row r="55" spans="1:7" x14ac:dyDescent="0.3">
      <c r="A55">
        <v>0</v>
      </c>
      <c r="B55" t="s">
        <v>312</v>
      </c>
      <c r="C55" t="s">
        <v>435</v>
      </c>
      <c r="D55" t="s">
        <v>2</v>
      </c>
      <c r="E55" t="s">
        <v>435</v>
      </c>
      <c r="F55" t="s">
        <v>13</v>
      </c>
      <c r="G55" t="s">
        <v>525</v>
      </c>
    </row>
    <row r="56" spans="1:7" x14ac:dyDescent="0.3">
      <c r="A56">
        <v>0</v>
      </c>
      <c r="B56" t="s">
        <v>319</v>
      </c>
      <c r="C56" t="s">
        <v>456</v>
      </c>
      <c r="D56" t="s">
        <v>2</v>
      </c>
      <c r="E56" t="s">
        <v>456</v>
      </c>
      <c r="F56" t="s">
        <v>13</v>
      </c>
      <c r="G56" t="s">
        <v>525</v>
      </c>
    </row>
    <row r="57" spans="1:7" x14ac:dyDescent="0.3">
      <c r="A57">
        <v>0</v>
      </c>
      <c r="B57" t="s">
        <v>312</v>
      </c>
      <c r="C57" t="s">
        <v>474</v>
      </c>
      <c r="D57" t="s">
        <v>2</v>
      </c>
      <c r="E57" t="s">
        <v>474</v>
      </c>
      <c r="F57" t="s">
        <v>13</v>
      </c>
      <c r="G57" t="s">
        <v>525</v>
      </c>
    </row>
    <row r="58" spans="1:7" x14ac:dyDescent="0.3">
      <c r="A58">
        <v>0</v>
      </c>
      <c r="B58" t="s">
        <v>319</v>
      </c>
      <c r="C58" t="s">
        <v>318</v>
      </c>
      <c r="D58" t="s">
        <v>2</v>
      </c>
      <c r="E58" t="s">
        <v>318</v>
      </c>
      <c r="F58" t="s">
        <v>13</v>
      </c>
      <c r="G58" t="s">
        <v>525</v>
      </c>
    </row>
    <row r="59" spans="1:7" x14ac:dyDescent="0.3">
      <c r="A59">
        <v>0</v>
      </c>
      <c r="B59" t="s">
        <v>314</v>
      </c>
      <c r="C59" t="s">
        <v>475</v>
      </c>
      <c r="D59" t="s">
        <v>2</v>
      </c>
      <c r="E59" t="s">
        <v>475</v>
      </c>
      <c r="F59" t="s">
        <v>13</v>
      </c>
      <c r="G59" t="s">
        <v>525</v>
      </c>
    </row>
    <row r="60" spans="1:7" x14ac:dyDescent="0.3">
      <c r="A60">
        <v>0</v>
      </c>
      <c r="B60" t="s">
        <v>314</v>
      </c>
      <c r="C60" t="s">
        <v>449</v>
      </c>
      <c r="D60" t="s">
        <v>2</v>
      </c>
      <c r="E60" t="s">
        <v>449</v>
      </c>
      <c r="F60" t="s">
        <v>13</v>
      </c>
      <c r="G60" t="s">
        <v>525</v>
      </c>
    </row>
    <row r="61" spans="1:7" x14ac:dyDescent="0.3">
      <c r="A61">
        <v>0</v>
      </c>
      <c r="B61" t="s">
        <v>314</v>
      </c>
      <c r="C61" t="s">
        <v>176</v>
      </c>
      <c r="D61" t="s">
        <v>2</v>
      </c>
      <c r="E61" t="s">
        <v>176</v>
      </c>
      <c r="F61" t="s">
        <v>13</v>
      </c>
      <c r="G61" t="s">
        <v>525</v>
      </c>
    </row>
    <row r="62" spans="1:7" x14ac:dyDescent="0.3">
      <c r="A62">
        <v>0</v>
      </c>
      <c r="B62" t="s">
        <v>312</v>
      </c>
      <c r="C62" t="s">
        <v>388</v>
      </c>
      <c r="D62" t="s">
        <v>2</v>
      </c>
      <c r="E62" t="s">
        <v>388</v>
      </c>
      <c r="F62" t="s">
        <v>13</v>
      </c>
      <c r="G62" t="s">
        <v>525</v>
      </c>
    </row>
    <row r="63" spans="1:7" x14ac:dyDescent="0.3">
      <c r="A63">
        <v>0</v>
      </c>
      <c r="B63" t="s">
        <v>319</v>
      </c>
      <c r="C63" t="s">
        <v>429</v>
      </c>
      <c r="D63" t="s">
        <v>2</v>
      </c>
      <c r="E63" t="s">
        <v>429</v>
      </c>
      <c r="F63" t="s">
        <v>13</v>
      </c>
      <c r="G63" t="s">
        <v>525</v>
      </c>
    </row>
    <row r="64" spans="1:7" x14ac:dyDescent="0.3">
      <c r="A64">
        <v>0</v>
      </c>
      <c r="B64" t="s">
        <v>312</v>
      </c>
      <c r="C64" t="s">
        <v>272</v>
      </c>
      <c r="D64" t="s">
        <v>2</v>
      </c>
      <c r="E64" t="s">
        <v>272</v>
      </c>
      <c r="F64" t="s">
        <v>13</v>
      </c>
      <c r="G64" t="s">
        <v>525</v>
      </c>
    </row>
    <row r="65" spans="1:7" x14ac:dyDescent="0.3">
      <c r="A65">
        <v>0</v>
      </c>
      <c r="B65" t="s">
        <v>312</v>
      </c>
      <c r="C65" t="s">
        <v>410</v>
      </c>
      <c r="D65" t="s">
        <v>2</v>
      </c>
      <c r="E65" t="s">
        <v>410</v>
      </c>
      <c r="F65" t="s">
        <v>13</v>
      </c>
      <c r="G65" t="s">
        <v>525</v>
      </c>
    </row>
    <row r="66" spans="1:7" x14ac:dyDescent="0.3">
      <c r="A66">
        <v>0</v>
      </c>
      <c r="B66" t="s">
        <v>319</v>
      </c>
      <c r="C66" t="s">
        <v>363</v>
      </c>
      <c r="D66" t="s">
        <v>2</v>
      </c>
      <c r="E66" t="s">
        <v>363</v>
      </c>
      <c r="F66" t="s">
        <v>13</v>
      </c>
      <c r="G66" t="s">
        <v>525</v>
      </c>
    </row>
    <row r="67" spans="1:7" x14ac:dyDescent="0.3">
      <c r="A67">
        <v>0</v>
      </c>
      <c r="B67" t="s">
        <v>312</v>
      </c>
      <c r="C67" t="s">
        <v>382</v>
      </c>
      <c r="D67" t="s">
        <v>2</v>
      </c>
      <c r="E67" t="s">
        <v>382</v>
      </c>
      <c r="F67" t="s">
        <v>13</v>
      </c>
      <c r="G67" t="s">
        <v>525</v>
      </c>
    </row>
    <row r="68" spans="1:7" x14ac:dyDescent="0.3">
      <c r="A68">
        <v>0</v>
      </c>
      <c r="B68" t="s">
        <v>312</v>
      </c>
      <c r="C68" t="s">
        <v>424</v>
      </c>
      <c r="D68" t="s">
        <v>2</v>
      </c>
      <c r="E68" t="s">
        <v>424</v>
      </c>
      <c r="F68" t="s">
        <v>13</v>
      </c>
      <c r="G68" t="s">
        <v>525</v>
      </c>
    </row>
    <row r="69" spans="1:7" x14ac:dyDescent="0.3">
      <c r="A69">
        <v>0</v>
      </c>
      <c r="B69" t="s">
        <v>314</v>
      </c>
      <c r="C69" t="s">
        <v>351</v>
      </c>
      <c r="D69" t="s">
        <v>2</v>
      </c>
      <c r="E69" t="s">
        <v>351</v>
      </c>
      <c r="F69" t="s">
        <v>13</v>
      </c>
      <c r="G69" t="s">
        <v>525</v>
      </c>
    </row>
    <row r="70" spans="1:7" x14ac:dyDescent="0.3">
      <c r="A70">
        <v>0</v>
      </c>
      <c r="B70" t="s">
        <v>312</v>
      </c>
      <c r="C70" t="s">
        <v>347</v>
      </c>
      <c r="D70" t="s">
        <v>2</v>
      </c>
      <c r="E70" t="s">
        <v>347</v>
      </c>
      <c r="F70" t="s">
        <v>13</v>
      </c>
      <c r="G70" t="s">
        <v>525</v>
      </c>
    </row>
    <row r="71" spans="1:7" x14ac:dyDescent="0.3">
      <c r="A71">
        <v>0</v>
      </c>
      <c r="B71" t="s">
        <v>314</v>
      </c>
      <c r="C71" t="s">
        <v>453</v>
      </c>
      <c r="D71" t="s">
        <v>2</v>
      </c>
      <c r="E71" t="s">
        <v>453</v>
      </c>
      <c r="F71" t="s">
        <v>13</v>
      </c>
      <c r="G71" t="s">
        <v>525</v>
      </c>
    </row>
    <row r="72" spans="1:7" x14ac:dyDescent="0.3">
      <c r="A72">
        <v>0</v>
      </c>
      <c r="B72" t="s">
        <v>319</v>
      </c>
      <c r="C72" t="s">
        <v>457</v>
      </c>
      <c r="D72" t="s">
        <v>2</v>
      </c>
      <c r="E72" t="s">
        <v>457</v>
      </c>
      <c r="F72" t="s">
        <v>13</v>
      </c>
      <c r="G72" t="s">
        <v>525</v>
      </c>
    </row>
    <row r="73" spans="1:7" x14ac:dyDescent="0.3">
      <c r="A73">
        <v>0</v>
      </c>
      <c r="B73" t="s">
        <v>312</v>
      </c>
      <c r="C73" t="s">
        <v>485</v>
      </c>
      <c r="D73" t="s">
        <v>2</v>
      </c>
      <c r="E73" t="s">
        <v>485</v>
      </c>
      <c r="F73" t="s">
        <v>13</v>
      </c>
      <c r="G73" t="s">
        <v>525</v>
      </c>
    </row>
    <row r="74" spans="1:7" x14ac:dyDescent="0.3">
      <c r="A74">
        <v>0</v>
      </c>
      <c r="B74" t="s">
        <v>312</v>
      </c>
      <c r="C74" t="s">
        <v>355</v>
      </c>
      <c r="D74" t="s">
        <v>2</v>
      </c>
      <c r="E74" t="s">
        <v>355</v>
      </c>
      <c r="F74" t="s">
        <v>13</v>
      </c>
      <c r="G74" t="s">
        <v>525</v>
      </c>
    </row>
    <row r="75" spans="1:7" x14ac:dyDescent="0.3">
      <c r="A75">
        <v>0</v>
      </c>
      <c r="B75" t="s">
        <v>312</v>
      </c>
      <c r="C75" t="s">
        <v>338</v>
      </c>
      <c r="D75" t="s">
        <v>2</v>
      </c>
      <c r="E75" t="s">
        <v>338</v>
      </c>
      <c r="F75" t="s">
        <v>13</v>
      </c>
      <c r="G75" t="s">
        <v>525</v>
      </c>
    </row>
    <row r="76" spans="1:7" x14ac:dyDescent="0.3">
      <c r="A76">
        <v>0</v>
      </c>
      <c r="B76" t="s">
        <v>312</v>
      </c>
      <c r="C76" t="s">
        <v>394</v>
      </c>
      <c r="D76" t="s">
        <v>2</v>
      </c>
      <c r="E76" t="s">
        <v>394</v>
      </c>
      <c r="F76" t="s">
        <v>13</v>
      </c>
      <c r="G76" t="s">
        <v>525</v>
      </c>
    </row>
    <row r="77" spans="1:7" x14ac:dyDescent="0.3">
      <c r="A77">
        <v>0</v>
      </c>
      <c r="B77" t="s">
        <v>312</v>
      </c>
      <c r="C77" t="s">
        <v>438</v>
      </c>
      <c r="D77" t="s">
        <v>2</v>
      </c>
      <c r="E77" t="s">
        <v>438</v>
      </c>
      <c r="F77" t="s">
        <v>13</v>
      </c>
      <c r="G77" t="s">
        <v>525</v>
      </c>
    </row>
    <row r="78" spans="1:7" x14ac:dyDescent="0.3">
      <c r="A78">
        <v>0</v>
      </c>
      <c r="B78" t="s">
        <v>312</v>
      </c>
      <c r="C78" t="s">
        <v>486</v>
      </c>
      <c r="D78" t="s">
        <v>2</v>
      </c>
      <c r="E78" t="s">
        <v>486</v>
      </c>
      <c r="F78" t="s">
        <v>13</v>
      </c>
      <c r="G78" t="s">
        <v>525</v>
      </c>
    </row>
    <row r="79" spans="1:7" x14ac:dyDescent="0.3">
      <c r="A79">
        <v>0</v>
      </c>
      <c r="B79" t="s">
        <v>319</v>
      </c>
      <c r="C79" t="s">
        <v>419</v>
      </c>
      <c r="D79" t="s">
        <v>2</v>
      </c>
      <c r="E79" t="s">
        <v>419</v>
      </c>
      <c r="F79" t="s">
        <v>13</v>
      </c>
      <c r="G79" t="s">
        <v>525</v>
      </c>
    </row>
    <row r="80" spans="1:7" x14ac:dyDescent="0.3">
      <c r="A80">
        <v>0</v>
      </c>
      <c r="B80" t="s">
        <v>57</v>
      </c>
      <c r="C80" t="s">
        <v>353</v>
      </c>
      <c r="D80" t="s">
        <v>2</v>
      </c>
      <c r="E80" t="s">
        <v>353</v>
      </c>
      <c r="F80" t="s">
        <v>13</v>
      </c>
      <c r="G80" t="s">
        <v>525</v>
      </c>
    </row>
    <row r="81" spans="1:7" x14ac:dyDescent="0.3">
      <c r="A81">
        <v>0</v>
      </c>
      <c r="B81" t="s">
        <v>319</v>
      </c>
      <c r="C81" t="s">
        <v>489</v>
      </c>
      <c r="D81" t="s">
        <v>2</v>
      </c>
      <c r="E81" t="s">
        <v>489</v>
      </c>
      <c r="F81" t="s">
        <v>13</v>
      </c>
      <c r="G81" t="s">
        <v>525</v>
      </c>
    </row>
    <row r="82" spans="1:7" x14ac:dyDescent="0.3">
      <c r="A82">
        <v>0</v>
      </c>
      <c r="B82" t="s">
        <v>312</v>
      </c>
      <c r="C82" t="s">
        <v>386</v>
      </c>
      <c r="D82" t="s">
        <v>2</v>
      </c>
      <c r="E82" t="s">
        <v>386</v>
      </c>
      <c r="F82" t="s">
        <v>13</v>
      </c>
      <c r="G82" t="s">
        <v>525</v>
      </c>
    </row>
    <row r="83" spans="1:7" x14ac:dyDescent="0.3">
      <c r="A83">
        <v>0</v>
      </c>
      <c r="B83" t="s">
        <v>319</v>
      </c>
      <c r="C83" t="s">
        <v>389</v>
      </c>
      <c r="D83" t="s">
        <v>2</v>
      </c>
      <c r="E83" t="s">
        <v>389</v>
      </c>
      <c r="F83" t="s">
        <v>13</v>
      </c>
      <c r="G83" t="s">
        <v>525</v>
      </c>
    </row>
    <row r="84" spans="1:7" x14ac:dyDescent="0.3">
      <c r="A84">
        <v>0</v>
      </c>
      <c r="B84" t="s">
        <v>312</v>
      </c>
      <c r="C84" t="s">
        <v>340</v>
      </c>
      <c r="D84" t="s">
        <v>2</v>
      </c>
      <c r="E84" t="s">
        <v>340</v>
      </c>
      <c r="F84" t="s">
        <v>13</v>
      </c>
      <c r="G84" t="s">
        <v>525</v>
      </c>
    </row>
    <row r="85" spans="1:7" x14ac:dyDescent="0.3">
      <c r="A85">
        <v>0</v>
      </c>
      <c r="B85" t="s">
        <v>312</v>
      </c>
      <c r="C85" t="s">
        <v>368</v>
      </c>
      <c r="D85" t="s">
        <v>2</v>
      </c>
      <c r="E85" t="s">
        <v>368</v>
      </c>
      <c r="F85" t="s">
        <v>13</v>
      </c>
      <c r="G85" t="s">
        <v>525</v>
      </c>
    </row>
    <row r="86" spans="1:7" x14ac:dyDescent="0.3">
      <c r="A86">
        <v>0</v>
      </c>
      <c r="B86" t="s">
        <v>312</v>
      </c>
      <c r="C86" t="s">
        <v>328</v>
      </c>
      <c r="D86" t="s">
        <v>2</v>
      </c>
      <c r="E86" t="s">
        <v>328</v>
      </c>
      <c r="F86" t="s">
        <v>13</v>
      </c>
      <c r="G86" t="s">
        <v>525</v>
      </c>
    </row>
    <row r="87" spans="1:7" x14ac:dyDescent="0.3">
      <c r="A87">
        <v>0</v>
      </c>
      <c r="B87" t="s">
        <v>312</v>
      </c>
      <c r="C87" t="s">
        <v>479</v>
      </c>
      <c r="D87" t="s">
        <v>2</v>
      </c>
      <c r="E87" t="s">
        <v>479</v>
      </c>
      <c r="F87" t="s">
        <v>13</v>
      </c>
      <c r="G87" t="s">
        <v>525</v>
      </c>
    </row>
    <row r="88" spans="1:7" x14ac:dyDescent="0.3">
      <c r="A88">
        <v>0</v>
      </c>
      <c r="B88" t="s">
        <v>57</v>
      </c>
      <c r="C88" t="s">
        <v>116</v>
      </c>
      <c r="D88" t="s">
        <v>2</v>
      </c>
      <c r="E88" t="s">
        <v>116</v>
      </c>
      <c r="F88" t="s">
        <v>13</v>
      </c>
      <c r="G88" t="s">
        <v>525</v>
      </c>
    </row>
    <row r="89" spans="1:7" x14ac:dyDescent="0.3">
      <c r="A89">
        <v>0</v>
      </c>
      <c r="B89" t="s">
        <v>312</v>
      </c>
      <c r="C89" t="s">
        <v>352</v>
      </c>
      <c r="D89" t="s">
        <v>2</v>
      </c>
      <c r="E89" t="s">
        <v>352</v>
      </c>
      <c r="F89" t="s">
        <v>13</v>
      </c>
      <c r="G89" t="s">
        <v>525</v>
      </c>
    </row>
    <row r="90" spans="1:7" x14ac:dyDescent="0.3">
      <c r="A90">
        <v>0</v>
      </c>
      <c r="B90" t="s">
        <v>312</v>
      </c>
      <c r="C90" t="s">
        <v>417</v>
      </c>
      <c r="D90" t="s">
        <v>2</v>
      </c>
      <c r="E90" t="s">
        <v>417</v>
      </c>
      <c r="F90" t="s">
        <v>13</v>
      </c>
      <c r="G90" t="s">
        <v>525</v>
      </c>
    </row>
    <row r="91" spans="1:7" x14ac:dyDescent="0.3">
      <c r="A91">
        <v>0</v>
      </c>
      <c r="B91" t="s">
        <v>312</v>
      </c>
      <c r="C91" t="s">
        <v>447</v>
      </c>
      <c r="D91" t="s">
        <v>2</v>
      </c>
      <c r="E91" t="s">
        <v>447</v>
      </c>
      <c r="F91" t="s">
        <v>13</v>
      </c>
      <c r="G91" t="s">
        <v>525</v>
      </c>
    </row>
    <row r="92" spans="1:7" x14ac:dyDescent="0.3">
      <c r="A92">
        <v>0</v>
      </c>
      <c r="B92" t="s">
        <v>319</v>
      </c>
      <c r="C92" t="s">
        <v>329</v>
      </c>
      <c r="D92" t="s">
        <v>2</v>
      </c>
      <c r="E92" t="s">
        <v>329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252</v>
      </c>
      <c r="D93" t="s">
        <v>2</v>
      </c>
      <c r="E93" t="s">
        <v>252</v>
      </c>
      <c r="F93" t="s">
        <v>13</v>
      </c>
      <c r="G93" t="s">
        <v>525</v>
      </c>
    </row>
    <row r="94" spans="1:7" x14ac:dyDescent="0.3">
      <c r="A94">
        <v>0</v>
      </c>
      <c r="B94" t="s">
        <v>312</v>
      </c>
      <c r="C94" t="s">
        <v>317</v>
      </c>
      <c r="D94" t="s">
        <v>2</v>
      </c>
      <c r="E94" t="s">
        <v>317</v>
      </c>
      <c r="F94" t="s">
        <v>13</v>
      </c>
      <c r="G94" t="s">
        <v>525</v>
      </c>
    </row>
    <row r="95" spans="1:7" x14ac:dyDescent="0.3">
      <c r="A95">
        <v>0</v>
      </c>
      <c r="B95" t="s">
        <v>312</v>
      </c>
      <c r="C95" t="s">
        <v>436</v>
      </c>
      <c r="D95" t="s">
        <v>2</v>
      </c>
      <c r="E95" t="s">
        <v>436</v>
      </c>
      <c r="F95" t="s">
        <v>13</v>
      </c>
      <c r="G95" t="s">
        <v>525</v>
      </c>
    </row>
    <row r="96" spans="1:7" x14ac:dyDescent="0.3">
      <c r="A96">
        <v>0</v>
      </c>
      <c r="B96" t="s">
        <v>319</v>
      </c>
      <c r="C96" t="s">
        <v>490</v>
      </c>
      <c r="D96" t="s">
        <v>2</v>
      </c>
      <c r="E96" t="s">
        <v>490</v>
      </c>
      <c r="F96" t="s">
        <v>13</v>
      </c>
      <c r="G96" t="s">
        <v>525</v>
      </c>
    </row>
    <row r="97" spans="1:7" x14ac:dyDescent="0.3">
      <c r="A97">
        <v>0</v>
      </c>
      <c r="B97" t="s">
        <v>312</v>
      </c>
      <c r="C97" t="s">
        <v>391</v>
      </c>
      <c r="D97" t="s">
        <v>2</v>
      </c>
      <c r="E97" t="s">
        <v>391</v>
      </c>
      <c r="F97" t="s">
        <v>13</v>
      </c>
      <c r="G97" t="s">
        <v>525</v>
      </c>
    </row>
    <row r="98" spans="1:7" x14ac:dyDescent="0.3">
      <c r="A98">
        <v>0</v>
      </c>
      <c r="B98" t="s">
        <v>312</v>
      </c>
      <c r="C98" t="s">
        <v>235</v>
      </c>
      <c r="D98" t="s">
        <v>2</v>
      </c>
      <c r="E98" t="s">
        <v>235</v>
      </c>
      <c r="F98" t="s">
        <v>13</v>
      </c>
      <c r="G98" t="s">
        <v>525</v>
      </c>
    </row>
    <row r="99" spans="1:7" x14ac:dyDescent="0.3">
      <c r="A99">
        <v>0</v>
      </c>
      <c r="B99" t="s">
        <v>312</v>
      </c>
      <c r="C99" t="s">
        <v>493</v>
      </c>
      <c r="D99" t="s">
        <v>2</v>
      </c>
      <c r="E99" t="s">
        <v>493</v>
      </c>
      <c r="F99" t="s">
        <v>13</v>
      </c>
      <c r="G99" t="s">
        <v>525</v>
      </c>
    </row>
    <row r="100" spans="1:7" x14ac:dyDescent="0.3">
      <c r="A100">
        <v>0</v>
      </c>
      <c r="B100" t="s">
        <v>312</v>
      </c>
      <c r="C100" t="s">
        <v>335</v>
      </c>
      <c r="D100" t="s">
        <v>2</v>
      </c>
      <c r="E100" t="s">
        <v>335</v>
      </c>
      <c r="F100" t="s">
        <v>13</v>
      </c>
      <c r="G100" t="s">
        <v>525</v>
      </c>
    </row>
    <row r="101" spans="1:7" x14ac:dyDescent="0.3">
      <c r="A101">
        <v>0</v>
      </c>
      <c r="B101" t="s">
        <v>312</v>
      </c>
      <c r="C101" t="s">
        <v>354</v>
      </c>
      <c r="D101" t="s">
        <v>2</v>
      </c>
      <c r="E101" t="s">
        <v>354</v>
      </c>
      <c r="F101" t="s">
        <v>13</v>
      </c>
      <c r="G101" t="s">
        <v>525</v>
      </c>
    </row>
    <row r="102" spans="1:7" x14ac:dyDescent="0.3">
      <c r="A102">
        <v>0</v>
      </c>
      <c r="B102" t="s">
        <v>319</v>
      </c>
      <c r="C102" t="s">
        <v>360</v>
      </c>
      <c r="D102" t="s">
        <v>2</v>
      </c>
      <c r="E102" t="s">
        <v>360</v>
      </c>
      <c r="F102" t="s">
        <v>13</v>
      </c>
      <c r="G102" t="s">
        <v>525</v>
      </c>
    </row>
    <row r="103" spans="1:7" x14ac:dyDescent="0.3">
      <c r="A103">
        <v>0</v>
      </c>
      <c r="B103" t="s">
        <v>314</v>
      </c>
      <c r="C103" t="s">
        <v>356</v>
      </c>
      <c r="D103" t="s">
        <v>2</v>
      </c>
      <c r="E103" t="s">
        <v>356</v>
      </c>
      <c r="F103" t="s">
        <v>13</v>
      </c>
      <c r="G103" t="s">
        <v>525</v>
      </c>
    </row>
    <row r="104" spans="1:7" x14ac:dyDescent="0.3">
      <c r="A104">
        <v>0</v>
      </c>
      <c r="B104" t="s">
        <v>312</v>
      </c>
      <c r="C104" t="s">
        <v>405</v>
      </c>
      <c r="D104" t="s">
        <v>2</v>
      </c>
      <c r="E104" t="s">
        <v>405</v>
      </c>
      <c r="F104" t="s">
        <v>13</v>
      </c>
      <c r="G104" t="s">
        <v>525</v>
      </c>
    </row>
    <row r="105" spans="1:7" x14ac:dyDescent="0.3">
      <c r="A105">
        <v>0</v>
      </c>
      <c r="B105" t="s">
        <v>312</v>
      </c>
      <c r="C105" t="s">
        <v>471</v>
      </c>
      <c r="D105" t="s">
        <v>2</v>
      </c>
      <c r="E105" t="s">
        <v>471</v>
      </c>
      <c r="F105" t="s">
        <v>13</v>
      </c>
      <c r="G105" t="s">
        <v>525</v>
      </c>
    </row>
    <row r="106" spans="1:7" x14ac:dyDescent="0.3">
      <c r="A106">
        <v>0</v>
      </c>
      <c r="B106" t="s">
        <v>319</v>
      </c>
      <c r="C106" t="s">
        <v>421</v>
      </c>
      <c r="D106" t="s">
        <v>2</v>
      </c>
      <c r="E106" t="s">
        <v>421</v>
      </c>
      <c r="F106" t="s">
        <v>13</v>
      </c>
      <c r="G106" t="s">
        <v>525</v>
      </c>
    </row>
    <row r="107" spans="1:7" x14ac:dyDescent="0.3">
      <c r="A107">
        <v>0</v>
      </c>
      <c r="B107" t="s">
        <v>312</v>
      </c>
      <c r="C107" t="s">
        <v>321</v>
      </c>
      <c r="D107" t="s">
        <v>2</v>
      </c>
      <c r="E107" t="s">
        <v>321</v>
      </c>
      <c r="F107" t="s">
        <v>13</v>
      </c>
      <c r="G107" t="s">
        <v>525</v>
      </c>
    </row>
    <row r="108" spans="1:7" x14ac:dyDescent="0.3">
      <c r="A108">
        <v>0</v>
      </c>
      <c r="B108" t="s">
        <v>105</v>
      </c>
      <c r="C108" t="s">
        <v>113</v>
      </c>
      <c r="D108" t="s">
        <v>2</v>
      </c>
      <c r="E108" t="s">
        <v>113</v>
      </c>
      <c r="F108" t="s">
        <v>13</v>
      </c>
      <c r="G108" t="s">
        <v>525</v>
      </c>
    </row>
    <row r="109" spans="1:7" x14ac:dyDescent="0.3">
      <c r="A109">
        <v>0</v>
      </c>
      <c r="B109" t="s">
        <v>312</v>
      </c>
      <c r="C109" t="s">
        <v>348</v>
      </c>
      <c r="D109" t="s">
        <v>2</v>
      </c>
      <c r="E109" t="s">
        <v>348</v>
      </c>
      <c r="F109" t="s">
        <v>13</v>
      </c>
      <c r="G109" t="s">
        <v>525</v>
      </c>
    </row>
    <row r="110" spans="1:7" x14ac:dyDescent="0.3">
      <c r="A110">
        <v>0</v>
      </c>
      <c r="B110" t="s">
        <v>105</v>
      </c>
      <c r="C110" t="s">
        <v>469</v>
      </c>
      <c r="D110" t="s">
        <v>2</v>
      </c>
      <c r="E110" t="s">
        <v>469</v>
      </c>
      <c r="F110" t="s">
        <v>13</v>
      </c>
      <c r="G110" t="s">
        <v>525</v>
      </c>
    </row>
    <row r="111" spans="1:7" x14ac:dyDescent="0.3">
      <c r="A111">
        <v>0</v>
      </c>
      <c r="B111" t="s">
        <v>314</v>
      </c>
      <c r="C111" t="s">
        <v>481</v>
      </c>
      <c r="D111" t="s">
        <v>2</v>
      </c>
      <c r="E111" t="s">
        <v>481</v>
      </c>
      <c r="F111" t="s">
        <v>13</v>
      </c>
      <c r="G111" t="s">
        <v>525</v>
      </c>
    </row>
    <row r="112" spans="1:7" x14ac:dyDescent="0.3">
      <c r="A112">
        <v>0</v>
      </c>
      <c r="B112" t="s">
        <v>312</v>
      </c>
      <c r="C112" t="s">
        <v>398</v>
      </c>
      <c r="D112" t="s">
        <v>2</v>
      </c>
      <c r="E112" t="s">
        <v>398</v>
      </c>
      <c r="F112" t="s">
        <v>13</v>
      </c>
      <c r="G112" t="s">
        <v>525</v>
      </c>
    </row>
    <row r="113" spans="1:7" x14ac:dyDescent="0.3">
      <c r="A113">
        <v>0</v>
      </c>
      <c r="B113" t="s">
        <v>314</v>
      </c>
      <c r="C113" t="s">
        <v>342</v>
      </c>
      <c r="D113" t="s">
        <v>2</v>
      </c>
      <c r="E113" t="s">
        <v>342</v>
      </c>
      <c r="F113" t="s">
        <v>13</v>
      </c>
      <c r="G113" t="s">
        <v>525</v>
      </c>
    </row>
    <row r="114" spans="1:7" x14ac:dyDescent="0.3">
      <c r="A114">
        <v>0</v>
      </c>
      <c r="B114" t="s">
        <v>312</v>
      </c>
      <c r="C114" t="s">
        <v>322</v>
      </c>
      <c r="D114" t="s">
        <v>2</v>
      </c>
      <c r="E114" t="s">
        <v>322</v>
      </c>
      <c r="F114" t="s">
        <v>13</v>
      </c>
      <c r="G114" t="s">
        <v>525</v>
      </c>
    </row>
    <row r="115" spans="1:7" x14ac:dyDescent="0.3">
      <c r="A115">
        <v>0</v>
      </c>
      <c r="B115" t="s">
        <v>314</v>
      </c>
      <c r="C115" t="s">
        <v>409</v>
      </c>
      <c r="D115" t="s">
        <v>2</v>
      </c>
      <c r="E115" t="s">
        <v>409</v>
      </c>
      <c r="F115" t="s">
        <v>13</v>
      </c>
      <c r="G115" t="s">
        <v>525</v>
      </c>
    </row>
    <row r="116" spans="1:7" x14ac:dyDescent="0.3">
      <c r="A116">
        <v>0</v>
      </c>
      <c r="B116" t="s">
        <v>314</v>
      </c>
      <c r="C116" t="s">
        <v>480</v>
      </c>
      <c r="D116" t="s">
        <v>2</v>
      </c>
      <c r="E116" t="s">
        <v>480</v>
      </c>
      <c r="F116" t="s">
        <v>13</v>
      </c>
      <c r="G116" t="s">
        <v>525</v>
      </c>
    </row>
    <row r="117" spans="1:7" x14ac:dyDescent="0.3">
      <c r="A117">
        <v>0</v>
      </c>
      <c r="B117" t="s">
        <v>105</v>
      </c>
      <c r="C117" t="s">
        <v>121</v>
      </c>
      <c r="D117" t="s">
        <v>2</v>
      </c>
      <c r="E117" t="s">
        <v>121</v>
      </c>
      <c r="F117" t="s">
        <v>13</v>
      </c>
      <c r="G117" t="s">
        <v>525</v>
      </c>
    </row>
    <row r="118" spans="1:7" x14ac:dyDescent="0.3">
      <c r="A118">
        <v>0</v>
      </c>
      <c r="B118" t="s">
        <v>312</v>
      </c>
      <c r="C118" t="s">
        <v>359</v>
      </c>
      <c r="D118" t="s">
        <v>2</v>
      </c>
      <c r="E118" t="s">
        <v>359</v>
      </c>
      <c r="F118" t="s">
        <v>13</v>
      </c>
      <c r="G118" t="s">
        <v>525</v>
      </c>
    </row>
    <row r="119" spans="1:7" x14ac:dyDescent="0.3">
      <c r="A119">
        <v>0</v>
      </c>
      <c r="B119" t="s">
        <v>319</v>
      </c>
      <c r="C119" t="s">
        <v>468</v>
      </c>
      <c r="D119" t="s">
        <v>2</v>
      </c>
      <c r="E119" t="s">
        <v>468</v>
      </c>
      <c r="F119" t="s">
        <v>13</v>
      </c>
      <c r="G119" t="s">
        <v>525</v>
      </c>
    </row>
    <row r="120" spans="1:7" x14ac:dyDescent="0.3">
      <c r="A120">
        <v>0</v>
      </c>
      <c r="B120" t="s">
        <v>319</v>
      </c>
      <c r="C120" t="s">
        <v>458</v>
      </c>
      <c r="D120" t="s">
        <v>2</v>
      </c>
      <c r="E120" t="s">
        <v>458</v>
      </c>
      <c r="F120" t="s">
        <v>13</v>
      </c>
      <c r="G120" t="s">
        <v>525</v>
      </c>
    </row>
    <row r="121" spans="1:7" x14ac:dyDescent="0.3">
      <c r="A121">
        <v>0</v>
      </c>
      <c r="B121" t="s">
        <v>312</v>
      </c>
      <c r="C121" t="s">
        <v>370</v>
      </c>
      <c r="D121" t="s">
        <v>2</v>
      </c>
      <c r="E121" t="s">
        <v>370</v>
      </c>
      <c r="F121" t="s">
        <v>13</v>
      </c>
      <c r="G121" t="s">
        <v>525</v>
      </c>
    </row>
    <row r="122" spans="1:7" x14ac:dyDescent="0.3">
      <c r="A122">
        <v>0</v>
      </c>
      <c r="B122" t="s">
        <v>57</v>
      </c>
      <c r="C122" t="s">
        <v>114</v>
      </c>
      <c r="D122" t="s">
        <v>2</v>
      </c>
      <c r="E122" t="s">
        <v>114</v>
      </c>
      <c r="F122" t="s">
        <v>13</v>
      </c>
      <c r="G122" t="s">
        <v>525</v>
      </c>
    </row>
    <row r="123" spans="1:7" x14ac:dyDescent="0.3">
      <c r="A123">
        <v>0</v>
      </c>
      <c r="B123" t="s">
        <v>319</v>
      </c>
      <c r="C123" t="s">
        <v>404</v>
      </c>
      <c r="D123" t="s">
        <v>2</v>
      </c>
      <c r="E123" t="s">
        <v>404</v>
      </c>
      <c r="F123" t="s">
        <v>13</v>
      </c>
      <c r="G123" t="s">
        <v>525</v>
      </c>
    </row>
    <row r="124" spans="1:7" x14ac:dyDescent="0.3">
      <c r="A124">
        <v>0</v>
      </c>
      <c r="B124" t="s">
        <v>312</v>
      </c>
      <c r="C124" t="s">
        <v>369</v>
      </c>
      <c r="D124" t="s">
        <v>2</v>
      </c>
      <c r="E124" t="s">
        <v>369</v>
      </c>
      <c r="F124" t="s">
        <v>13</v>
      </c>
      <c r="G124" t="s">
        <v>525</v>
      </c>
    </row>
    <row r="125" spans="1:7" x14ac:dyDescent="0.3">
      <c r="A125">
        <v>0</v>
      </c>
      <c r="B125" t="s">
        <v>57</v>
      </c>
      <c r="C125" t="s">
        <v>122</v>
      </c>
      <c r="D125" t="s">
        <v>2</v>
      </c>
      <c r="E125" t="s">
        <v>122</v>
      </c>
      <c r="F125" t="s">
        <v>13</v>
      </c>
      <c r="G125" t="s">
        <v>525</v>
      </c>
    </row>
    <row r="126" spans="1:7" x14ac:dyDescent="0.3">
      <c r="A126">
        <v>0</v>
      </c>
      <c r="B126" t="s">
        <v>319</v>
      </c>
      <c r="C126" t="s">
        <v>390</v>
      </c>
      <c r="D126" t="s">
        <v>2</v>
      </c>
      <c r="E126" t="s">
        <v>390</v>
      </c>
      <c r="F126" t="s">
        <v>13</v>
      </c>
      <c r="G126" t="s">
        <v>525</v>
      </c>
    </row>
    <row r="127" spans="1:7" x14ac:dyDescent="0.3">
      <c r="A127">
        <v>0</v>
      </c>
      <c r="B127" t="s">
        <v>312</v>
      </c>
      <c r="C127" t="s">
        <v>492</v>
      </c>
      <c r="D127" t="s">
        <v>2</v>
      </c>
      <c r="E127" t="s">
        <v>492</v>
      </c>
      <c r="F127" t="s">
        <v>13</v>
      </c>
      <c r="G127" t="s">
        <v>525</v>
      </c>
    </row>
    <row r="128" spans="1:7" x14ac:dyDescent="0.3">
      <c r="A128">
        <v>0</v>
      </c>
      <c r="B128" t="s">
        <v>312</v>
      </c>
      <c r="C128" t="s">
        <v>345</v>
      </c>
      <c r="D128" t="s">
        <v>2</v>
      </c>
      <c r="E128" t="s">
        <v>345</v>
      </c>
      <c r="F128" t="s">
        <v>13</v>
      </c>
      <c r="G128" t="s">
        <v>525</v>
      </c>
    </row>
    <row r="129" spans="1:7" x14ac:dyDescent="0.3">
      <c r="A129">
        <v>0</v>
      </c>
      <c r="B129" t="s">
        <v>314</v>
      </c>
      <c r="C129" t="s">
        <v>374</v>
      </c>
      <c r="D129" t="s">
        <v>2</v>
      </c>
      <c r="E129" t="s">
        <v>374</v>
      </c>
      <c r="F129" t="s">
        <v>13</v>
      </c>
      <c r="G129" t="s">
        <v>525</v>
      </c>
    </row>
    <row r="130" spans="1:7" x14ac:dyDescent="0.3">
      <c r="A130">
        <v>0</v>
      </c>
      <c r="B130" t="s">
        <v>105</v>
      </c>
      <c r="C130" t="s">
        <v>124</v>
      </c>
      <c r="D130" t="s">
        <v>2</v>
      </c>
      <c r="E130" t="s">
        <v>124</v>
      </c>
      <c r="F130" t="s">
        <v>13</v>
      </c>
      <c r="G130" t="s">
        <v>525</v>
      </c>
    </row>
    <row r="131" spans="1:7" x14ac:dyDescent="0.3">
      <c r="A131">
        <v>0</v>
      </c>
      <c r="B131" t="s">
        <v>312</v>
      </c>
      <c r="C131" t="s">
        <v>440</v>
      </c>
      <c r="D131" t="s">
        <v>2</v>
      </c>
      <c r="E131" t="s">
        <v>440</v>
      </c>
      <c r="F131" t="s">
        <v>13</v>
      </c>
      <c r="G131" t="s">
        <v>525</v>
      </c>
    </row>
    <row r="132" spans="1:7" x14ac:dyDescent="0.3">
      <c r="A132">
        <v>0</v>
      </c>
      <c r="B132" t="s">
        <v>312</v>
      </c>
      <c r="C132" t="s">
        <v>316</v>
      </c>
      <c r="D132" t="s">
        <v>2</v>
      </c>
      <c r="E132" t="s">
        <v>316</v>
      </c>
      <c r="F132" t="s">
        <v>13</v>
      </c>
      <c r="G132" t="s">
        <v>525</v>
      </c>
    </row>
    <row r="133" spans="1:7" x14ac:dyDescent="0.3">
      <c r="A133">
        <v>0</v>
      </c>
      <c r="B133" t="s">
        <v>312</v>
      </c>
      <c r="C133" t="s">
        <v>427</v>
      </c>
      <c r="D133" t="s">
        <v>2</v>
      </c>
      <c r="E133" t="s">
        <v>427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332</v>
      </c>
      <c r="D134" t="s">
        <v>2</v>
      </c>
      <c r="E134" t="s">
        <v>332</v>
      </c>
      <c r="F134" t="s">
        <v>13</v>
      </c>
      <c r="G134" t="s">
        <v>525</v>
      </c>
    </row>
    <row r="135" spans="1:7" x14ac:dyDescent="0.3">
      <c r="A135">
        <v>0</v>
      </c>
      <c r="B135" t="s">
        <v>312</v>
      </c>
      <c r="C135" t="s">
        <v>336</v>
      </c>
      <c r="D135" t="s">
        <v>2</v>
      </c>
      <c r="E135" t="s">
        <v>336</v>
      </c>
      <c r="F135" t="s">
        <v>13</v>
      </c>
      <c r="G135" t="s">
        <v>525</v>
      </c>
    </row>
    <row r="136" spans="1:7" x14ac:dyDescent="0.3">
      <c r="A136">
        <v>0</v>
      </c>
      <c r="B136" t="s">
        <v>314</v>
      </c>
      <c r="C136" t="s">
        <v>393</v>
      </c>
      <c r="D136" t="s">
        <v>2</v>
      </c>
      <c r="E136" t="s">
        <v>393</v>
      </c>
      <c r="F136" t="s">
        <v>13</v>
      </c>
      <c r="G136" t="s">
        <v>525</v>
      </c>
    </row>
    <row r="137" spans="1:7" x14ac:dyDescent="0.3">
      <c r="A137">
        <v>0</v>
      </c>
      <c r="B137" t="s">
        <v>312</v>
      </c>
      <c r="C137" t="s">
        <v>339</v>
      </c>
      <c r="D137" t="s">
        <v>2</v>
      </c>
      <c r="E137" t="s">
        <v>339</v>
      </c>
      <c r="F137" t="s">
        <v>13</v>
      </c>
      <c r="G137" t="s">
        <v>525</v>
      </c>
    </row>
    <row r="138" spans="1:7" x14ac:dyDescent="0.3">
      <c r="A138">
        <v>0</v>
      </c>
      <c r="B138" t="s">
        <v>312</v>
      </c>
      <c r="C138" t="s">
        <v>400</v>
      </c>
      <c r="D138" t="s">
        <v>2</v>
      </c>
      <c r="E138" t="s">
        <v>400</v>
      </c>
      <c r="F138" t="s">
        <v>13</v>
      </c>
      <c r="G138" t="s">
        <v>525</v>
      </c>
    </row>
    <row r="139" spans="1:7" x14ac:dyDescent="0.3">
      <c r="A139">
        <v>0</v>
      </c>
      <c r="B139" t="s">
        <v>312</v>
      </c>
      <c r="C139" t="s">
        <v>380</v>
      </c>
      <c r="D139" t="s">
        <v>2</v>
      </c>
      <c r="E139" t="s">
        <v>380</v>
      </c>
      <c r="F139" t="s">
        <v>13</v>
      </c>
      <c r="G139" t="s">
        <v>525</v>
      </c>
    </row>
    <row r="140" spans="1:7" x14ac:dyDescent="0.3">
      <c r="A140">
        <v>0</v>
      </c>
      <c r="B140" t="s">
        <v>312</v>
      </c>
      <c r="C140" t="s">
        <v>442</v>
      </c>
      <c r="D140" t="s">
        <v>2</v>
      </c>
      <c r="E140" t="s">
        <v>442</v>
      </c>
      <c r="F140" t="s">
        <v>13</v>
      </c>
      <c r="G140" t="s">
        <v>525</v>
      </c>
    </row>
    <row r="141" spans="1:7" x14ac:dyDescent="0.3">
      <c r="A141">
        <v>0</v>
      </c>
      <c r="B141" t="s">
        <v>314</v>
      </c>
      <c r="C141" t="s">
        <v>349</v>
      </c>
      <c r="D141" t="s">
        <v>2</v>
      </c>
      <c r="E141" t="s">
        <v>349</v>
      </c>
      <c r="F141" t="s">
        <v>13</v>
      </c>
      <c r="G141" t="s">
        <v>525</v>
      </c>
    </row>
    <row r="142" spans="1:7" x14ac:dyDescent="0.3">
      <c r="A142">
        <v>0</v>
      </c>
      <c r="B142" t="s">
        <v>57</v>
      </c>
      <c r="C142" t="s">
        <v>470</v>
      </c>
      <c r="D142" t="s">
        <v>2</v>
      </c>
      <c r="E142" t="s">
        <v>470</v>
      </c>
      <c r="F142" t="s">
        <v>13</v>
      </c>
      <c r="G142" t="s">
        <v>525</v>
      </c>
    </row>
    <row r="143" spans="1:7" x14ac:dyDescent="0.3">
      <c r="A143">
        <v>0</v>
      </c>
      <c r="B143" t="s">
        <v>319</v>
      </c>
      <c r="C143" t="s">
        <v>463</v>
      </c>
      <c r="D143" t="s">
        <v>2</v>
      </c>
      <c r="E143" t="s">
        <v>463</v>
      </c>
      <c r="F143" t="s">
        <v>13</v>
      </c>
      <c r="G143" t="s">
        <v>525</v>
      </c>
    </row>
    <row r="144" spans="1:7" x14ac:dyDescent="0.3">
      <c r="A144">
        <v>0</v>
      </c>
      <c r="B144" t="s">
        <v>314</v>
      </c>
      <c r="C144" t="s">
        <v>343</v>
      </c>
      <c r="D144" t="s">
        <v>2</v>
      </c>
      <c r="E144" t="s">
        <v>343</v>
      </c>
      <c r="F144" t="s">
        <v>13</v>
      </c>
      <c r="G144" t="s">
        <v>525</v>
      </c>
    </row>
    <row r="145" spans="1:7" x14ac:dyDescent="0.3">
      <c r="A145">
        <v>0</v>
      </c>
      <c r="B145" t="s">
        <v>312</v>
      </c>
      <c r="C145" t="s">
        <v>371</v>
      </c>
      <c r="D145" t="s">
        <v>2</v>
      </c>
      <c r="E145" t="s">
        <v>371</v>
      </c>
      <c r="F145" t="s">
        <v>13</v>
      </c>
      <c r="G145" t="s">
        <v>525</v>
      </c>
    </row>
    <row r="146" spans="1:7" x14ac:dyDescent="0.3">
      <c r="A146">
        <v>0</v>
      </c>
      <c r="B146" t="s">
        <v>312</v>
      </c>
      <c r="C146" t="s">
        <v>366</v>
      </c>
      <c r="D146" t="s">
        <v>2</v>
      </c>
      <c r="E146" t="s">
        <v>366</v>
      </c>
      <c r="F146" t="s">
        <v>13</v>
      </c>
      <c r="G146" t="s">
        <v>525</v>
      </c>
    </row>
    <row r="147" spans="1:7" x14ac:dyDescent="0.3">
      <c r="A147">
        <v>0</v>
      </c>
      <c r="B147" t="s">
        <v>312</v>
      </c>
      <c r="C147" t="s">
        <v>384</v>
      </c>
      <c r="D147" t="s">
        <v>2</v>
      </c>
      <c r="E147" t="s">
        <v>384</v>
      </c>
      <c r="F147" t="s">
        <v>13</v>
      </c>
      <c r="G147" t="s">
        <v>525</v>
      </c>
    </row>
    <row r="148" spans="1:7" x14ac:dyDescent="0.3">
      <c r="A148">
        <v>0</v>
      </c>
      <c r="B148" t="s">
        <v>319</v>
      </c>
      <c r="C148" t="s">
        <v>464</v>
      </c>
      <c r="D148" t="s">
        <v>2</v>
      </c>
      <c r="E148" t="s">
        <v>464</v>
      </c>
      <c r="F148" t="s">
        <v>13</v>
      </c>
      <c r="G148" t="s">
        <v>525</v>
      </c>
    </row>
    <row r="149" spans="1:7" x14ac:dyDescent="0.3">
      <c r="A149">
        <v>0</v>
      </c>
      <c r="B149" t="s">
        <v>312</v>
      </c>
      <c r="C149" t="s">
        <v>323</v>
      </c>
      <c r="D149" t="s">
        <v>2</v>
      </c>
      <c r="E149" t="s">
        <v>323</v>
      </c>
      <c r="F149" t="s">
        <v>13</v>
      </c>
      <c r="G149" t="s">
        <v>525</v>
      </c>
    </row>
    <row r="150" spans="1:7" x14ac:dyDescent="0.3">
      <c r="A150">
        <v>0</v>
      </c>
      <c r="B150" t="s">
        <v>314</v>
      </c>
      <c r="C150" t="s">
        <v>414</v>
      </c>
      <c r="D150" t="s">
        <v>2</v>
      </c>
      <c r="E150" t="s">
        <v>414</v>
      </c>
      <c r="F150" t="s">
        <v>13</v>
      </c>
      <c r="G150" t="s">
        <v>525</v>
      </c>
    </row>
    <row r="151" spans="1:7" x14ac:dyDescent="0.3">
      <c r="A151">
        <v>0</v>
      </c>
      <c r="B151" t="s">
        <v>312</v>
      </c>
      <c r="C151" t="s">
        <v>261</v>
      </c>
      <c r="D151" t="s">
        <v>2</v>
      </c>
      <c r="E151" t="s">
        <v>261</v>
      </c>
      <c r="F151" t="s">
        <v>13</v>
      </c>
      <c r="G151" t="s">
        <v>525</v>
      </c>
    </row>
    <row r="152" spans="1:7" x14ac:dyDescent="0.3">
      <c r="A152">
        <v>0</v>
      </c>
      <c r="B152" t="s">
        <v>319</v>
      </c>
      <c r="C152" t="s">
        <v>364</v>
      </c>
      <c r="D152" t="s">
        <v>2</v>
      </c>
      <c r="E152" t="s">
        <v>364</v>
      </c>
      <c r="F152" t="s">
        <v>13</v>
      </c>
      <c r="G152" t="s">
        <v>525</v>
      </c>
    </row>
    <row r="153" spans="1:7" x14ac:dyDescent="0.3">
      <c r="A153">
        <v>0</v>
      </c>
      <c r="B153" t="s">
        <v>312</v>
      </c>
      <c r="C153" t="s">
        <v>373</v>
      </c>
      <c r="D153" t="s">
        <v>2</v>
      </c>
      <c r="E153" t="s">
        <v>373</v>
      </c>
      <c r="F153" t="s">
        <v>13</v>
      </c>
      <c r="G153" t="s">
        <v>525</v>
      </c>
    </row>
    <row r="154" spans="1:7" x14ac:dyDescent="0.3">
      <c r="A154">
        <v>0</v>
      </c>
      <c r="B154" t="s">
        <v>312</v>
      </c>
      <c r="C154" t="s">
        <v>482</v>
      </c>
      <c r="D154" t="s">
        <v>2</v>
      </c>
      <c r="E154" t="s">
        <v>482</v>
      </c>
      <c r="F154" t="s">
        <v>13</v>
      </c>
      <c r="G154" t="s">
        <v>525</v>
      </c>
    </row>
    <row r="155" spans="1:7" x14ac:dyDescent="0.3">
      <c r="A155">
        <v>0</v>
      </c>
      <c r="B155" t="s">
        <v>312</v>
      </c>
      <c r="C155" t="s">
        <v>412</v>
      </c>
      <c r="D155" t="s">
        <v>2</v>
      </c>
      <c r="E155" t="s">
        <v>412</v>
      </c>
      <c r="F155" t="s">
        <v>13</v>
      </c>
      <c r="G155" t="s">
        <v>525</v>
      </c>
    </row>
    <row r="156" spans="1:7" x14ac:dyDescent="0.3">
      <c r="A156">
        <v>0</v>
      </c>
      <c r="B156" t="s">
        <v>312</v>
      </c>
      <c r="C156" t="s">
        <v>434</v>
      </c>
      <c r="D156" t="s">
        <v>2</v>
      </c>
      <c r="E156" t="s">
        <v>434</v>
      </c>
      <c r="F156" t="s">
        <v>13</v>
      </c>
      <c r="G156" t="s">
        <v>525</v>
      </c>
    </row>
    <row r="157" spans="1:7" x14ac:dyDescent="0.3">
      <c r="A157">
        <v>0</v>
      </c>
      <c r="B157" t="s">
        <v>314</v>
      </c>
      <c r="C157" t="s">
        <v>443</v>
      </c>
      <c r="D157" t="s">
        <v>2</v>
      </c>
      <c r="E157" t="s">
        <v>443</v>
      </c>
      <c r="F157" t="s">
        <v>13</v>
      </c>
      <c r="G157" t="s">
        <v>525</v>
      </c>
    </row>
    <row r="158" spans="1:7" x14ac:dyDescent="0.3">
      <c r="A158">
        <v>0</v>
      </c>
      <c r="B158" t="s">
        <v>319</v>
      </c>
      <c r="C158" t="s">
        <v>430</v>
      </c>
      <c r="D158" t="s">
        <v>2</v>
      </c>
      <c r="E158" t="s">
        <v>430</v>
      </c>
      <c r="F158" t="s">
        <v>13</v>
      </c>
      <c r="G158" t="s">
        <v>525</v>
      </c>
    </row>
    <row r="159" spans="1:7" x14ac:dyDescent="0.3">
      <c r="A159">
        <v>0</v>
      </c>
      <c r="B159" t="s">
        <v>314</v>
      </c>
      <c r="C159" t="s">
        <v>408</v>
      </c>
      <c r="D159" t="s">
        <v>2</v>
      </c>
      <c r="E159" t="s">
        <v>408</v>
      </c>
      <c r="F159" t="s">
        <v>13</v>
      </c>
      <c r="G159" t="s">
        <v>525</v>
      </c>
    </row>
    <row r="160" spans="1:7" x14ac:dyDescent="0.3">
      <c r="A160">
        <v>0</v>
      </c>
      <c r="B160" t="s">
        <v>312</v>
      </c>
      <c r="C160" t="s">
        <v>138</v>
      </c>
      <c r="D160" t="s">
        <v>2</v>
      </c>
      <c r="E160" t="s">
        <v>138</v>
      </c>
      <c r="F160" t="s">
        <v>13</v>
      </c>
      <c r="G160" t="s">
        <v>525</v>
      </c>
    </row>
    <row r="161" spans="1:7" x14ac:dyDescent="0.3">
      <c r="A161">
        <v>0</v>
      </c>
      <c r="B161" t="s">
        <v>312</v>
      </c>
      <c r="C161" t="s">
        <v>275</v>
      </c>
      <c r="D161" t="s">
        <v>2</v>
      </c>
      <c r="E161" t="s">
        <v>275</v>
      </c>
      <c r="F161" t="s">
        <v>13</v>
      </c>
      <c r="G161" t="s">
        <v>525</v>
      </c>
    </row>
    <row r="162" spans="1:7" x14ac:dyDescent="0.3">
      <c r="A162">
        <v>0</v>
      </c>
      <c r="B162" t="s">
        <v>312</v>
      </c>
      <c r="C162" t="s">
        <v>337</v>
      </c>
      <c r="D162" t="s">
        <v>2</v>
      </c>
      <c r="E162" t="s">
        <v>337</v>
      </c>
      <c r="F162" t="s">
        <v>13</v>
      </c>
      <c r="G162" t="s">
        <v>525</v>
      </c>
    </row>
    <row r="163" spans="1:7" x14ac:dyDescent="0.3">
      <c r="A163">
        <v>0</v>
      </c>
      <c r="B163" t="s">
        <v>312</v>
      </c>
      <c r="C163" t="s">
        <v>331</v>
      </c>
      <c r="D163" t="s">
        <v>2</v>
      </c>
      <c r="E163" t="s">
        <v>331</v>
      </c>
      <c r="F163" t="s">
        <v>13</v>
      </c>
      <c r="G163" t="s">
        <v>525</v>
      </c>
    </row>
    <row r="164" spans="1:7" x14ac:dyDescent="0.3">
      <c r="A164">
        <v>0</v>
      </c>
      <c r="B164" t="s">
        <v>312</v>
      </c>
      <c r="C164" t="s">
        <v>452</v>
      </c>
      <c r="D164" t="s">
        <v>2</v>
      </c>
      <c r="E164" t="s">
        <v>452</v>
      </c>
      <c r="F164" t="s">
        <v>13</v>
      </c>
      <c r="G164" t="s">
        <v>525</v>
      </c>
    </row>
    <row r="165" spans="1:7" x14ac:dyDescent="0.3">
      <c r="A165">
        <v>0</v>
      </c>
      <c r="B165" t="s">
        <v>319</v>
      </c>
      <c r="C165" t="s">
        <v>477</v>
      </c>
      <c r="D165" t="s">
        <v>2</v>
      </c>
      <c r="E165" t="s">
        <v>477</v>
      </c>
      <c r="F165" t="s">
        <v>13</v>
      </c>
      <c r="G165" t="s">
        <v>525</v>
      </c>
    </row>
    <row r="166" spans="1:7" x14ac:dyDescent="0.3">
      <c r="A166">
        <v>0</v>
      </c>
      <c r="B166" t="s">
        <v>312</v>
      </c>
      <c r="C166" t="s">
        <v>446</v>
      </c>
      <c r="D166" t="s">
        <v>2</v>
      </c>
      <c r="E166" t="s">
        <v>446</v>
      </c>
      <c r="F166" t="s">
        <v>13</v>
      </c>
      <c r="G166" t="s">
        <v>525</v>
      </c>
    </row>
    <row r="167" spans="1:7" x14ac:dyDescent="0.3">
      <c r="A167">
        <v>0</v>
      </c>
      <c r="B167" t="s">
        <v>319</v>
      </c>
      <c r="C167" t="s">
        <v>491</v>
      </c>
      <c r="D167" t="s">
        <v>2</v>
      </c>
      <c r="E167" t="s">
        <v>491</v>
      </c>
      <c r="F167" t="s">
        <v>13</v>
      </c>
      <c r="G167" t="s">
        <v>525</v>
      </c>
    </row>
    <row r="168" spans="1:7" x14ac:dyDescent="0.3">
      <c r="A168">
        <v>0</v>
      </c>
      <c r="B168" t="s">
        <v>312</v>
      </c>
      <c r="C168" t="s">
        <v>326</v>
      </c>
      <c r="D168" t="s">
        <v>2</v>
      </c>
      <c r="E168" t="s">
        <v>326</v>
      </c>
      <c r="F168" t="s">
        <v>13</v>
      </c>
      <c r="G168" t="s">
        <v>525</v>
      </c>
    </row>
    <row r="169" spans="1:7" x14ac:dyDescent="0.3">
      <c r="A169">
        <v>0</v>
      </c>
      <c r="B169" t="s">
        <v>319</v>
      </c>
      <c r="C169" t="s">
        <v>415</v>
      </c>
      <c r="D169" t="s">
        <v>2</v>
      </c>
      <c r="E169" t="s">
        <v>415</v>
      </c>
      <c r="F169" t="s">
        <v>13</v>
      </c>
      <c r="G169" t="s">
        <v>525</v>
      </c>
    </row>
    <row r="170" spans="1:7" x14ac:dyDescent="0.3">
      <c r="A170">
        <v>0</v>
      </c>
      <c r="B170" t="s">
        <v>314</v>
      </c>
      <c r="C170" t="s">
        <v>451</v>
      </c>
      <c r="D170" t="s">
        <v>2</v>
      </c>
      <c r="E170" t="s">
        <v>451</v>
      </c>
      <c r="F170" t="s">
        <v>13</v>
      </c>
      <c r="G170" t="s">
        <v>525</v>
      </c>
    </row>
    <row r="171" spans="1:7" x14ac:dyDescent="0.3">
      <c r="A171">
        <v>0</v>
      </c>
      <c r="B171" t="s">
        <v>314</v>
      </c>
      <c r="C171" t="s">
        <v>448</v>
      </c>
      <c r="D171" t="s">
        <v>2</v>
      </c>
      <c r="E171" t="s">
        <v>448</v>
      </c>
      <c r="F171" t="s">
        <v>13</v>
      </c>
      <c r="G171" t="s">
        <v>525</v>
      </c>
    </row>
    <row r="172" spans="1:7" x14ac:dyDescent="0.3">
      <c r="A172">
        <v>0</v>
      </c>
      <c r="B172" t="s">
        <v>312</v>
      </c>
      <c r="C172" t="s">
        <v>423</v>
      </c>
      <c r="D172" t="s">
        <v>2</v>
      </c>
      <c r="E172" t="s">
        <v>423</v>
      </c>
      <c r="F172" t="s">
        <v>13</v>
      </c>
      <c r="G172" t="s">
        <v>525</v>
      </c>
    </row>
    <row r="173" spans="1:7" x14ac:dyDescent="0.3">
      <c r="A173">
        <v>0</v>
      </c>
      <c r="B173" t="s">
        <v>319</v>
      </c>
      <c r="C173" t="s">
        <v>361</v>
      </c>
      <c r="D173" t="s">
        <v>2</v>
      </c>
      <c r="E173" t="s">
        <v>361</v>
      </c>
      <c r="F173" t="s">
        <v>13</v>
      </c>
      <c r="G173" t="s">
        <v>525</v>
      </c>
    </row>
    <row r="174" spans="1:7" x14ac:dyDescent="0.3">
      <c r="A174">
        <v>0</v>
      </c>
      <c r="B174" t="s">
        <v>314</v>
      </c>
      <c r="C174" t="s">
        <v>467</v>
      </c>
      <c r="D174" t="s">
        <v>2</v>
      </c>
      <c r="E174" t="s">
        <v>467</v>
      </c>
      <c r="F174" t="s">
        <v>13</v>
      </c>
      <c r="G174" t="s">
        <v>525</v>
      </c>
    </row>
    <row r="175" spans="1:7" x14ac:dyDescent="0.3">
      <c r="A175">
        <v>0</v>
      </c>
      <c r="B175" t="s">
        <v>319</v>
      </c>
      <c r="C175" t="s">
        <v>420</v>
      </c>
      <c r="D175" t="s">
        <v>2</v>
      </c>
      <c r="E175" t="s">
        <v>420</v>
      </c>
      <c r="F175" t="s">
        <v>13</v>
      </c>
      <c r="G175" t="s">
        <v>525</v>
      </c>
    </row>
    <row r="176" spans="1:7" x14ac:dyDescent="0.3">
      <c r="A176">
        <v>0</v>
      </c>
      <c r="B176" t="s">
        <v>314</v>
      </c>
      <c r="C176" t="s">
        <v>487</v>
      </c>
      <c r="D176" t="s">
        <v>2</v>
      </c>
      <c r="E176" t="s">
        <v>487</v>
      </c>
      <c r="F176" t="s">
        <v>13</v>
      </c>
      <c r="G176" t="s">
        <v>525</v>
      </c>
    </row>
    <row r="177" spans="1:7" x14ac:dyDescent="0.3">
      <c r="A177">
        <v>0</v>
      </c>
      <c r="B177" t="s">
        <v>312</v>
      </c>
      <c r="C177" t="s">
        <v>149</v>
      </c>
      <c r="D177" t="s">
        <v>2</v>
      </c>
      <c r="E177" t="s">
        <v>149</v>
      </c>
      <c r="F177" t="s">
        <v>13</v>
      </c>
      <c r="G177" t="s">
        <v>525</v>
      </c>
    </row>
    <row r="178" spans="1:7" x14ac:dyDescent="0.3">
      <c r="A178">
        <v>0</v>
      </c>
      <c r="B178" t="s">
        <v>314</v>
      </c>
      <c r="C178" t="s">
        <v>377</v>
      </c>
      <c r="D178" t="s">
        <v>2</v>
      </c>
      <c r="E178" t="s">
        <v>377</v>
      </c>
      <c r="F178" t="s">
        <v>13</v>
      </c>
      <c r="G178" t="s">
        <v>525</v>
      </c>
    </row>
    <row r="179" spans="1:7" x14ac:dyDescent="0.3">
      <c r="A179">
        <v>0</v>
      </c>
      <c r="B179" t="s">
        <v>312</v>
      </c>
      <c r="C179" t="s">
        <v>403</v>
      </c>
      <c r="D179" t="s">
        <v>2</v>
      </c>
      <c r="E179" t="s">
        <v>403</v>
      </c>
      <c r="F179" t="s">
        <v>13</v>
      </c>
      <c r="G179" t="s">
        <v>525</v>
      </c>
    </row>
    <row r="180" spans="1:7" x14ac:dyDescent="0.3">
      <c r="A180">
        <v>0</v>
      </c>
      <c r="B180" t="s">
        <v>312</v>
      </c>
      <c r="C180" t="s">
        <v>387</v>
      </c>
      <c r="D180" t="s">
        <v>2</v>
      </c>
      <c r="E180" t="s">
        <v>387</v>
      </c>
      <c r="F180" t="s">
        <v>13</v>
      </c>
      <c r="G180" t="s">
        <v>525</v>
      </c>
    </row>
    <row r="181" spans="1:7" x14ac:dyDescent="0.3">
      <c r="A181">
        <v>0</v>
      </c>
      <c r="B181" t="s">
        <v>312</v>
      </c>
      <c r="C181" t="s">
        <v>431</v>
      </c>
      <c r="D181" t="s">
        <v>2</v>
      </c>
      <c r="E181" t="s">
        <v>431</v>
      </c>
      <c r="F181" t="s">
        <v>13</v>
      </c>
      <c r="G181" t="s">
        <v>525</v>
      </c>
    </row>
    <row r="182" spans="1:7" x14ac:dyDescent="0.3">
      <c r="A182">
        <v>0</v>
      </c>
      <c r="B182" t="s">
        <v>319</v>
      </c>
      <c r="C182" t="s">
        <v>459</v>
      </c>
      <c r="D182" t="s">
        <v>2</v>
      </c>
      <c r="E182" t="s">
        <v>459</v>
      </c>
      <c r="F182" t="s">
        <v>13</v>
      </c>
      <c r="G182" t="s">
        <v>525</v>
      </c>
    </row>
    <row r="183" spans="1:7" x14ac:dyDescent="0.3">
      <c r="A183">
        <v>0</v>
      </c>
      <c r="B183" t="s">
        <v>314</v>
      </c>
      <c r="C183" t="s">
        <v>376</v>
      </c>
      <c r="D183" t="s">
        <v>2</v>
      </c>
      <c r="E183" t="s">
        <v>376</v>
      </c>
      <c r="F183" t="s">
        <v>13</v>
      </c>
      <c r="G183" t="s">
        <v>525</v>
      </c>
    </row>
    <row r="184" spans="1:7" x14ac:dyDescent="0.3">
      <c r="A184">
        <v>0</v>
      </c>
      <c r="B184" t="s">
        <v>312</v>
      </c>
      <c r="C184" t="s">
        <v>379</v>
      </c>
      <c r="D184" t="s">
        <v>2</v>
      </c>
      <c r="E184" t="s">
        <v>379</v>
      </c>
      <c r="F184" t="s">
        <v>13</v>
      </c>
      <c r="G184" t="s">
        <v>525</v>
      </c>
    </row>
    <row r="185" spans="1:7" x14ac:dyDescent="0.3">
      <c r="A185">
        <v>0</v>
      </c>
      <c r="B185" t="s">
        <v>314</v>
      </c>
      <c r="C185" t="s">
        <v>445</v>
      </c>
      <c r="D185" t="s">
        <v>2</v>
      </c>
      <c r="E185" t="s">
        <v>445</v>
      </c>
      <c r="F185" t="s">
        <v>13</v>
      </c>
      <c r="G185" t="s">
        <v>525</v>
      </c>
    </row>
    <row r="186" spans="1:7" x14ac:dyDescent="0.3">
      <c r="A186">
        <v>0</v>
      </c>
      <c r="B186" t="s">
        <v>319</v>
      </c>
      <c r="C186" t="s">
        <v>460</v>
      </c>
      <c r="D186" t="s">
        <v>2</v>
      </c>
      <c r="E186" t="s">
        <v>460</v>
      </c>
      <c r="F186" t="s">
        <v>13</v>
      </c>
      <c r="G186" t="s">
        <v>525</v>
      </c>
    </row>
    <row r="187" spans="1:7" x14ac:dyDescent="0.3">
      <c r="A187">
        <v>0</v>
      </c>
      <c r="B187" t="s">
        <v>314</v>
      </c>
      <c r="C187" t="s">
        <v>450</v>
      </c>
      <c r="D187" t="s">
        <v>2</v>
      </c>
      <c r="E187" t="s">
        <v>450</v>
      </c>
      <c r="F187" t="s">
        <v>13</v>
      </c>
      <c r="G187" t="s">
        <v>525</v>
      </c>
    </row>
    <row r="188" spans="1:7" x14ac:dyDescent="0.3">
      <c r="A188">
        <v>0</v>
      </c>
      <c r="B188" t="s">
        <v>312</v>
      </c>
      <c r="C188" t="s">
        <v>473</v>
      </c>
      <c r="D188" t="s">
        <v>2</v>
      </c>
      <c r="E188" t="s">
        <v>473</v>
      </c>
      <c r="F188" t="s">
        <v>13</v>
      </c>
      <c r="G188" t="s">
        <v>525</v>
      </c>
    </row>
    <row r="189" spans="1:7" x14ac:dyDescent="0.3">
      <c r="A189">
        <v>0</v>
      </c>
      <c r="B189" t="s">
        <v>314</v>
      </c>
      <c r="C189" t="s">
        <v>313</v>
      </c>
      <c r="D189" t="s">
        <v>2</v>
      </c>
      <c r="E189" t="s">
        <v>313</v>
      </c>
      <c r="F189" t="s">
        <v>13</v>
      </c>
      <c r="G189" t="s">
        <v>525</v>
      </c>
    </row>
    <row r="190" spans="1:7" x14ac:dyDescent="0.3">
      <c r="A190">
        <v>0</v>
      </c>
      <c r="B190" t="s">
        <v>312</v>
      </c>
      <c r="C190" t="s">
        <v>472</v>
      </c>
      <c r="D190" t="s">
        <v>2</v>
      </c>
      <c r="E190" t="s">
        <v>472</v>
      </c>
      <c r="F190" t="s">
        <v>13</v>
      </c>
      <c r="G190" t="s">
        <v>525</v>
      </c>
    </row>
    <row r="191" spans="1:7" x14ac:dyDescent="0.3">
      <c r="A191">
        <v>0</v>
      </c>
      <c r="B191" t="s">
        <v>312</v>
      </c>
      <c r="C191" t="s">
        <v>402</v>
      </c>
      <c r="D191" t="s">
        <v>2</v>
      </c>
      <c r="E191" t="s">
        <v>402</v>
      </c>
      <c r="F191" t="s">
        <v>13</v>
      </c>
      <c r="G191" t="s">
        <v>525</v>
      </c>
    </row>
    <row r="192" spans="1:7" x14ac:dyDescent="0.3">
      <c r="A192">
        <v>0</v>
      </c>
      <c r="B192" t="s">
        <v>314</v>
      </c>
      <c r="C192" t="s">
        <v>455</v>
      </c>
      <c r="D192" t="s">
        <v>2</v>
      </c>
      <c r="E192" t="s">
        <v>455</v>
      </c>
      <c r="F192" t="s">
        <v>13</v>
      </c>
      <c r="G192" t="s">
        <v>525</v>
      </c>
    </row>
    <row r="193" spans="1:7" x14ac:dyDescent="0.3">
      <c r="A193">
        <v>0</v>
      </c>
      <c r="B193" t="s">
        <v>312</v>
      </c>
      <c r="C193" t="s">
        <v>411</v>
      </c>
      <c r="D193" t="s">
        <v>2</v>
      </c>
      <c r="E193" t="s">
        <v>411</v>
      </c>
      <c r="F193" t="s">
        <v>13</v>
      </c>
      <c r="G193" t="s">
        <v>525</v>
      </c>
    </row>
    <row r="194" spans="1:7" x14ac:dyDescent="0.3">
      <c r="A194">
        <v>0</v>
      </c>
      <c r="B194" t="s">
        <v>312</v>
      </c>
      <c r="C194" t="s">
        <v>488</v>
      </c>
      <c r="D194" t="s">
        <v>2</v>
      </c>
      <c r="E194" t="s">
        <v>488</v>
      </c>
      <c r="F194" t="s">
        <v>13</v>
      </c>
      <c r="G194" t="s">
        <v>525</v>
      </c>
    </row>
    <row r="195" spans="1:7" x14ac:dyDescent="0.3">
      <c r="A195">
        <v>0</v>
      </c>
      <c r="B195" t="s">
        <v>319</v>
      </c>
      <c r="C195" t="s">
        <v>462</v>
      </c>
      <c r="D195" t="s">
        <v>2</v>
      </c>
      <c r="E195" t="s">
        <v>462</v>
      </c>
      <c r="F195" t="s">
        <v>13</v>
      </c>
      <c r="G195" t="s">
        <v>525</v>
      </c>
    </row>
    <row r="196" spans="1:7" x14ac:dyDescent="0.3">
      <c r="A196">
        <v>0</v>
      </c>
      <c r="B196" t="s">
        <v>312</v>
      </c>
      <c r="C196" t="s">
        <v>246</v>
      </c>
      <c r="D196" t="s">
        <v>2</v>
      </c>
      <c r="E196" t="s">
        <v>246</v>
      </c>
      <c r="F196" t="s">
        <v>13</v>
      </c>
      <c r="G196" t="s">
        <v>525</v>
      </c>
    </row>
    <row r="197" spans="1:7" x14ac:dyDescent="0.3">
      <c r="A197">
        <v>0</v>
      </c>
      <c r="B197" t="s">
        <v>312</v>
      </c>
      <c r="C197" t="s">
        <v>357</v>
      </c>
      <c r="D197" t="s">
        <v>2</v>
      </c>
      <c r="E197" t="s">
        <v>357</v>
      </c>
      <c r="F197" t="s">
        <v>13</v>
      </c>
      <c r="G197" t="s">
        <v>525</v>
      </c>
    </row>
    <row r="198" spans="1:7" x14ac:dyDescent="0.3">
      <c r="A198">
        <v>0</v>
      </c>
      <c r="B198" t="s">
        <v>314</v>
      </c>
      <c r="C198" t="s">
        <v>341</v>
      </c>
      <c r="D198" t="s">
        <v>2</v>
      </c>
      <c r="E198" t="s">
        <v>341</v>
      </c>
      <c r="F198" t="s">
        <v>13</v>
      </c>
      <c r="G198" t="s">
        <v>525</v>
      </c>
    </row>
    <row r="199" spans="1:7" x14ac:dyDescent="0.3">
      <c r="A199">
        <v>0</v>
      </c>
      <c r="B199" t="s">
        <v>319</v>
      </c>
      <c r="C199" t="s">
        <v>466</v>
      </c>
      <c r="D199" t="s">
        <v>2</v>
      </c>
      <c r="E199" t="s">
        <v>466</v>
      </c>
      <c r="F199" t="s">
        <v>13</v>
      </c>
      <c r="G199" t="s">
        <v>525</v>
      </c>
    </row>
    <row r="200" spans="1:7" x14ac:dyDescent="0.3">
      <c r="A200">
        <v>0</v>
      </c>
      <c r="B200" t="s">
        <v>319</v>
      </c>
      <c r="C200" t="s">
        <v>362</v>
      </c>
      <c r="D200" t="s">
        <v>2</v>
      </c>
      <c r="E200" t="s">
        <v>362</v>
      </c>
      <c r="F200" t="s">
        <v>13</v>
      </c>
      <c r="G200" t="s">
        <v>525</v>
      </c>
    </row>
    <row r="201" spans="1:7" x14ac:dyDescent="0.3">
      <c r="A201">
        <v>0</v>
      </c>
      <c r="B201" t="s">
        <v>312</v>
      </c>
      <c r="C201" t="s">
        <v>433</v>
      </c>
      <c r="D201" t="s">
        <v>2</v>
      </c>
      <c r="E201" t="s">
        <v>433</v>
      </c>
      <c r="F201" t="s">
        <v>13</v>
      </c>
      <c r="G201" t="s">
        <v>525</v>
      </c>
    </row>
    <row r="202" spans="1:7" x14ac:dyDescent="0.3">
      <c r="A202">
        <v>0</v>
      </c>
      <c r="B202" t="s">
        <v>312</v>
      </c>
      <c r="C202" t="s">
        <v>397</v>
      </c>
      <c r="D202" t="s">
        <v>2</v>
      </c>
      <c r="E202" t="s">
        <v>397</v>
      </c>
      <c r="F202" t="s">
        <v>13</v>
      </c>
      <c r="G202" t="s">
        <v>525</v>
      </c>
    </row>
    <row r="203" spans="1:7" x14ac:dyDescent="0.3">
      <c r="A203">
        <v>0</v>
      </c>
      <c r="B203" t="s">
        <v>319</v>
      </c>
      <c r="C203" t="s">
        <v>378</v>
      </c>
      <c r="D203" t="s">
        <v>2</v>
      </c>
      <c r="E203" t="s">
        <v>378</v>
      </c>
      <c r="F203" t="s">
        <v>13</v>
      </c>
      <c r="G203" t="s">
        <v>525</v>
      </c>
    </row>
    <row r="204" spans="1:7" x14ac:dyDescent="0.3">
      <c r="A204">
        <v>0</v>
      </c>
      <c r="B204" t="s">
        <v>105</v>
      </c>
      <c r="C204" t="s">
        <v>117</v>
      </c>
      <c r="D204" t="s">
        <v>2</v>
      </c>
      <c r="E204" t="s">
        <v>117</v>
      </c>
      <c r="F204" t="s">
        <v>13</v>
      </c>
      <c r="G204" t="s">
        <v>525</v>
      </c>
    </row>
    <row r="205" spans="1:7" x14ac:dyDescent="0.3">
      <c r="A205">
        <v>0</v>
      </c>
      <c r="B205" t="s">
        <v>312</v>
      </c>
      <c r="C205" t="s">
        <v>476</v>
      </c>
      <c r="D205" t="s">
        <v>2</v>
      </c>
      <c r="E205" t="s">
        <v>476</v>
      </c>
      <c r="F205" t="s">
        <v>13</v>
      </c>
      <c r="G205" t="s">
        <v>525</v>
      </c>
    </row>
    <row r="206" spans="1:7" x14ac:dyDescent="0.3">
      <c r="A206">
        <v>0</v>
      </c>
      <c r="B206" t="s">
        <v>319</v>
      </c>
      <c r="C206" t="s">
        <v>478</v>
      </c>
      <c r="D206" t="s">
        <v>2</v>
      </c>
      <c r="E206" t="s">
        <v>478</v>
      </c>
      <c r="F206" t="s">
        <v>13</v>
      </c>
      <c r="G206" t="s">
        <v>525</v>
      </c>
    </row>
    <row r="207" spans="1:7" x14ac:dyDescent="0.3">
      <c r="A207">
        <v>0</v>
      </c>
      <c r="B207" t="s">
        <v>312</v>
      </c>
      <c r="C207" t="s">
        <v>367</v>
      </c>
      <c r="D207" t="s">
        <v>2</v>
      </c>
      <c r="E207" t="s">
        <v>367</v>
      </c>
      <c r="F207" t="s">
        <v>13</v>
      </c>
      <c r="G207" t="s">
        <v>525</v>
      </c>
    </row>
    <row r="208" spans="1:7" x14ac:dyDescent="0.3">
      <c r="A208">
        <v>0</v>
      </c>
      <c r="B208" t="s">
        <v>312</v>
      </c>
      <c r="C208" t="s">
        <v>346</v>
      </c>
      <c r="D208" t="s">
        <v>2</v>
      </c>
      <c r="E208" t="s">
        <v>346</v>
      </c>
      <c r="F208" t="s">
        <v>13</v>
      </c>
      <c r="G208" t="s">
        <v>525</v>
      </c>
    </row>
    <row r="209" spans="1:7" x14ac:dyDescent="0.3">
      <c r="A209">
        <v>0</v>
      </c>
      <c r="B209" t="s">
        <v>105</v>
      </c>
      <c r="C209" t="s">
        <v>119</v>
      </c>
      <c r="D209" t="s">
        <v>2</v>
      </c>
      <c r="E209" t="s">
        <v>119</v>
      </c>
      <c r="F209" t="s">
        <v>13</v>
      </c>
      <c r="G209" t="s">
        <v>525</v>
      </c>
    </row>
    <row r="210" spans="1:7" x14ac:dyDescent="0.3">
      <c r="A210">
        <v>0</v>
      </c>
      <c r="B210" t="s">
        <v>312</v>
      </c>
      <c r="C210" t="s">
        <v>385</v>
      </c>
      <c r="D210" t="s">
        <v>2</v>
      </c>
      <c r="E210" t="s">
        <v>385</v>
      </c>
      <c r="F210" t="s">
        <v>13</v>
      </c>
      <c r="G210" t="s">
        <v>525</v>
      </c>
    </row>
    <row r="211" spans="1:7" x14ac:dyDescent="0.3">
      <c r="A211">
        <v>0</v>
      </c>
      <c r="B211" t="s">
        <v>57</v>
      </c>
      <c r="C211" t="s">
        <v>120</v>
      </c>
      <c r="D211" t="s">
        <v>2</v>
      </c>
      <c r="E211" t="s">
        <v>120</v>
      </c>
      <c r="F211" t="s">
        <v>13</v>
      </c>
      <c r="G211" t="s">
        <v>525</v>
      </c>
    </row>
    <row r="212" spans="1:7" x14ac:dyDescent="0.3">
      <c r="A212">
        <v>0</v>
      </c>
      <c r="B212" t="s">
        <v>312</v>
      </c>
      <c r="C212" t="s">
        <v>324</v>
      </c>
      <c r="D212" t="s">
        <v>2</v>
      </c>
      <c r="E212" t="s">
        <v>324</v>
      </c>
      <c r="F212" t="s">
        <v>13</v>
      </c>
      <c r="G212" t="s">
        <v>525</v>
      </c>
    </row>
    <row r="213" spans="1:7" x14ac:dyDescent="0.3">
      <c r="A213">
        <v>0</v>
      </c>
      <c r="B213" t="s">
        <v>312</v>
      </c>
      <c r="C213" t="s">
        <v>327</v>
      </c>
      <c r="D213" t="s">
        <v>2</v>
      </c>
      <c r="E213" t="s">
        <v>327</v>
      </c>
      <c r="F213" t="s">
        <v>13</v>
      </c>
      <c r="G213" t="s">
        <v>525</v>
      </c>
    </row>
    <row r="214" spans="1:7" x14ac:dyDescent="0.3">
      <c r="A214">
        <v>0</v>
      </c>
      <c r="B214" t="s">
        <v>314</v>
      </c>
      <c r="C214" t="s">
        <v>441</v>
      </c>
      <c r="D214" t="s">
        <v>2</v>
      </c>
      <c r="E214" t="s">
        <v>441</v>
      </c>
      <c r="F214" t="s">
        <v>13</v>
      </c>
      <c r="G214" t="s">
        <v>525</v>
      </c>
    </row>
    <row r="215" spans="1:7" x14ac:dyDescent="0.3">
      <c r="A215">
        <v>0</v>
      </c>
      <c r="B215" t="s">
        <v>105</v>
      </c>
      <c r="C215" t="s">
        <v>115</v>
      </c>
      <c r="D215" t="s">
        <v>2</v>
      </c>
      <c r="E215" t="s">
        <v>115</v>
      </c>
      <c r="F215" t="s">
        <v>13</v>
      </c>
      <c r="G215" t="s">
        <v>525</v>
      </c>
    </row>
    <row r="216" spans="1:7" x14ac:dyDescent="0.3">
      <c r="A216">
        <v>0</v>
      </c>
      <c r="B216" t="s">
        <v>312</v>
      </c>
      <c r="C216" t="s">
        <v>484</v>
      </c>
      <c r="D216" t="s">
        <v>2</v>
      </c>
      <c r="E216" t="s">
        <v>484</v>
      </c>
      <c r="F216" t="s">
        <v>13</v>
      </c>
      <c r="G216" t="s">
        <v>525</v>
      </c>
    </row>
    <row r="217" spans="1:7" x14ac:dyDescent="0.3">
      <c r="A217">
        <v>0</v>
      </c>
      <c r="B217" t="s">
        <v>312</v>
      </c>
      <c r="C217" t="s">
        <v>311</v>
      </c>
      <c r="D217" t="s">
        <v>2</v>
      </c>
      <c r="E217" t="s">
        <v>311</v>
      </c>
      <c r="F217" t="s">
        <v>13</v>
      </c>
      <c r="G217" t="s">
        <v>525</v>
      </c>
    </row>
    <row r="218" spans="1:7" x14ac:dyDescent="0.3">
      <c r="A218">
        <v>0</v>
      </c>
      <c r="B218" t="s">
        <v>312</v>
      </c>
      <c r="C218" t="s">
        <v>365</v>
      </c>
      <c r="D218" t="s">
        <v>2</v>
      </c>
      <c r="E218" t="s">
        <v>365</v>
      </c>
      <c r="F218" t="s">
        <v>13</v>
      </c>
      <c r="G218" t="s">
        <v>525</v>
      </c>
    </row>
    <row r="219" spans="1:7" x14ac:dyDescent="0.3">
      <c r="A219">
        <v>0</v>
      </c>
      <c r="B219" t="s">
        <v>314</v>
      </c>
      <c r="C219" t="s">
        <v>350</v>
      </c>
      <c r="D219" t="s">
        <v>2</v>
      </c>
      <c r="E219" t="s">
        <v>350</v>
      </c>
      <c r="F219" t="s">
        <v>13</v>
      </c>
      <c r="G219" t="s">
        <v>525</v>
      </c>
    </row>
    <row r="220" spans="1:7" x14ac:dyDescent="0.3">
      <c r="A220">
        <v>0</v>
      </c>
      <c r="B220" t="s">
        <v>105</v>
      </c>
      <c r="C220" t="s">
        <v>123</v>
      </c>
      <c r="D220" t="s">
        <v>2</v>
      </c>
      <c r="E220" t="s">
        <v>123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396</v>
      </c>
      <c r="D221" t="s">
        <v>2</v>
      </c>
      <c r="E221" t="s">
        <v>396</v>
      </c>
      <c r="F221" t="s">
        <v>13</v>
      </c>
      <c r="G221" t="s">
        <v>525</v>
      </c>
    </row>
    <row r="222" spans="1:7" x14ac:dyDescent="0.3">
      <c r="A222">
        <v>0</v>
      </c>
      <c r="B222" t="s">
        <v>312</v>
      </c>
      <c r="C222" t="s">
        <v>428</v>
      </c>
      <c r="D222" t="s">
        <v>2</v>
      </c>
      <c r="E222" t="s">
        <v>428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383</v>
      </c>
      <c r="D223" t="s">
        <v>2</v>
      </c>
      <c r="E223" t="s">
        <v>383</v>
      </c>
      <c r="F223" t="s">
        <v>13</v>
      </c>
      <c r="G223" t="s">
        <v>525</v>
      </c>
    </row>
    <row r="224" spans="1:7" x14ac:dyDescent="0.3">
      <c r="A224">
        <v>0</v>
      </c>
      <c r="B224" t="s">
        <v>312</v>
      </c>
      <c r="C224" t="s">
        <v>426</v>
      </c>
      <c r="D224" t="s">
        <v>2</v>
      </c>
      <c r="E224" t="s">
        <v>426</v>
      </c>
      <c r="F224" t="s">
        <v>13</v>
      </c>
      <c r="G224" t="s">
        <v>525</v>
      </c>
    </row>
    <row r="225" spans="1:7" x14ac:dyDescent="0.3">
      <c r="A225">
        <v>0</v>
      </c>
      <c r="B225" t="s">
        <v>312</v>
      </c>
      <c r="C225" t="s">
        <v>437</v>
      </c>
      <c r="D225" t="s">
        <v>2</v>
      </c>
      <c r="E225" t="s">
        <v>437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454</v>
      </c>
      <c r="D226" t="s">
        <v>2</v>
      </c>
      <c r="E226" t="s">
        <v>454</v>
      </c>
      <c r="F226" t="s">
        <v>13</v>
      </c>
      <c r="G226" t="s">
        <v>525</v>
      </c>
    </row>
    <row r="227" spans="1:7" x14ac:dyDescent="0.3">
      <c r="A227">
        <v>0</v>
      </c>
      <c r="B227" t="s">
        <v>312</v>
      </c>
      <c r="C227" t="s">
        <v>425</v>
      </c>
      <c r="D227" t="s">
        <v>2</v>
      </c>
      <c r="E227" t="s">
        <v>425</v>
      </c>
      <c r="F227" t="s">
        <v>13</v>
      </c>
      <c r="G227" t="s">
        <v>525</v>
      </c>
    </row>
    <row r="228" spans="1:7" x14ac:dyDescent="0.3">
      <c r="A228">
        <v>0</v>
      </c>
      <c r="B228" t="s">
        <v>312</v>
      </c>
      <c r="C228" t="s">
        <v>344</v>
      </c>
      <c r="D228" t="s">
        <v>2</v>
      </c>
      <c r="E228" t="s">
        <v>344</v>
      </c>
      <c r="F228" t="s">
        <v>13</v>
      </c>
      <c r="G228" t="s">
        <v>525</v>
      </c>
    </row>
    <row r="229" spans="1:7" x14ac:dyDescent="0.3">
      <c r="A229">
        <v>0</v>
      </c>
      <c r="B229" t="s">
        <v>312</v>
      </c>
      <c r="C229" t="s">
        <v>407</v>
      </c>
      <c r="D229" t="s">
        <v>2</v>
      </c>
      <c r="E229" t="s">
        <v>407</v>
      </c>
      <c r="F229" t="s">
        <v>13</v>
      </c>
      <c r="G229" t="s">
        <v>525</v>
      </c>
    </row>
    <row r="230" spans="1:7" x14ac:dyDescent="0.3">
      <c r="A230">
        <v>0</v>
      </c>
      <c r="B230" t="s">
        <v>314</v>
      </c>
      <c r="C230" t="s">
        <v>413</v>
      </c>
      <c r="D230" t="s">
        <v>2</v>
      </c>
      <c r="E230" t="s">
        <v>413</v>
      </c>
      <c r="F230" t="s">
        <v>13</v>
      </c>
      <c r="G230" t="s">
        <v>525</v>
      </c>
    </row>
    <row r="231" spans="1:7" x14ac:dyDescent="0.3">
      <c r="A231">
        <v>0</v>
      </c>
      <c r="B231" t="s">
        <v>312</v>
      </c>
      <c r="C231" t="s">
        <v>392</v>
      </c>
      <c r="D231" t="s">
        <v>2</v>
      </c>
      <c r="E231" t="s">
        <v>392</v>
      </c>
      <c r="F231" t="s">
        <v>13</v>
      </c>
      <c r="G231" t="s">
        <v>525</v>
      </c>
    </row>
    <row r="232" spans="1:7" x14ac:dyDescent="0.3">
      <c r="A232">
        <v>0</v>
      </c>
      <c r="B232" t="s">
        <v>319</v>
      </c>
      <c r="C232" t="s">
        <v>422</v>
      </c>
      <c r="D232" t="s">
        <v>2</v>
      </c>
      <c r="E232" t="s">
        <v>422</v>
      </c>
      <c r="F232" t="s">
        <v>13</v>
      </c>
      <c r="G232" t="s">
        <v>525</v>
      </c>
    </row>
    <row r="233" spans="1:7" x14ac:dyDescent="0.3">
      <c r="A233">
        <v>0</v>
      </c>
      <c r="B233" t="s">
        <v>314</v>
      </c>
      <c r="C233" t="s">
        <v>495</v>
      </c>
      <c r="D233" t="s">
        <v>494</v>
      </c>
      <c r="E233" t="s">
        <v>495</v>
      </c>
      <c r="F233" t="s">
        <v>13</v>
      </c>
      <c r="G233" t="s">
        <v>525</v>
      </c>
    </row>
    <row r="234" spans="1:7" x14ac:dyDescent="0.3">
      <c r="A234">
        <v>0</v>
      </c>
      <c r="B234" t="s">
        <v>314</v>
      </c>
      <c r="C234" t="s">
        <v>497</v>
      </c>
      <c r="D234" t="s">
        <v>494</v>
      </c>
      <c r="E234" t="s">
        <v>497</v>
      </c>
      <c r="F234" t="s">
        <v>13</v>
      </c>
      <c r="G234" t="s">
        <v>525</v>
      </c>
    </row>
    <row r="235" spans="1:7" x14ac:dyDescent="0.3">
      <c r="A235">
        <v>0</v>
      </c>
      <c r="B235" t="s">
        <v>314</v>
      </c>
      <c r="C235" t="s">
        <v>496</v>
      </c>
      <c r="D235" t="s">
        <v>494</v>
      </c>
      <c r="E235" t="s">
        <v>496</v>
      </c>
      <c r="F235" t="s">
        <v>13</v>
      </c>
      <c r="G235" t="s">
        <v>525</v>
      </c>
    </row>
    <row r="236" spans="1:7" x14ac:dyDescent="0.3">
      <c r="A236">
        <v>0</v>
      </c>
      <c r="B236" t="s">
        <v>312</v>
      </c>
      <c r="C236" t="s">
        <v>513</v>
      </c>
      <c r="D236" t="s">
        <v>498</v>
      </c>
      <c r="E236" t="s">
        <v>513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515</v>
      </c>
      <c r="D237" t="s">
        <v>498</v>
      </c>
      <c r="E237" t="s">
        <v>515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509</v>
      </c>
      <c r="D238" t="s">
        <v>498</v>
      </c>
      <c r="E238" t="s">
        <v>509</v>
      </c>
      <c r="F238" t="s">
        <v>13</v>
      </c>
      <c r="G238" t="s">
        <v>525</v>
      </c>
    </row>
    <row r="239" spans="1:7" x14ac:dyDescent="0.3">
      <c r="A239">
        <v>0</v>
      </c>
      <c r="B239" t="s">
        <v>312</v>
      </c>
      <c r="C239" t="s">
        <v>502</v>
      </c>
      <c r="D239" t="s">
        <v>498</v>
      </c>
      <c r="E239" t="s">
        <v>502</v>
      </c>
      <c r="F239" t="s">
        <v>13</v>
      </c>
      <c r="G239" t="s">
        <v>525</v>
      </c>
    </row>
    <row r="240" spans="1:7" x14ac:dyDescent="0.3">
      <c r="A240">
        <v>0</v>
      </c>
      <c r="B240" t="s">
        <v>312</v>
      </c>
      <c r="C240" t="s">
        <v>500</v>
      </c>
      <c r="D240" t="s">
        <v>498</v>
      </c>
      <c r="E240" t="s">
        <v>500</v>
      </c>
      <c r="F240" t="s">
        <v>13</v>
      </c>
      <c r="G240" t="s">
        <v>525</v>
      </c>
    </row>
    <row r="241" spans="1:7" x14ac:dyDescent="0.3">
      <c r="A241">
        <v>0</v>
      </c>
      <c r="B241" t="s">
        <v>507</v>
      </c>
      <c r="C241" t="s">
        <v>506</v>
      </c>
      <c r="D241" t="s">
        <v>498</v>
      </c>
      <c r="E241" t="s">
        <v>506</v>
      </c>
      <c r="F241" t="s">
        <v>13</v>
      </c>
      <c r="G241" t="s">
        <v>525</v>
      </c>
    </row>
    <row r="242" spans="1:7" x14ac:dyDescent="0.3">
      <c r="A242">
        <v>0</v>
      </c>
      <c r="B242" t="s">
        <v>312</v>
      </c>
      <c r="C242" t="s">
        <v>514</v>
      </c>
      <c r="D242" t="s">
        <v>498</v>
      </c>
      <c r="E242" t="s">
        <v>514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499</v>
      </c>
      <c r="D243" t="s">
        <v>498</v>
      </c>
      <c r="E243" t="s">
        <v>499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508</v>
      </c>
      <c r="D244" t="s">
        <v>498</v>
      </c>
      <c r="E244" t="s">
        <v>508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t="s">
        <v>519</v>
      </c>
      <c r="D245" t="s">
        <v>498</v>
      </c>
      <c r="E245" t="s">
        <v>519</v>
      </c>
      <c r="F245" t="s">
        <v>13</v>
      </c>
      <c r="G245" t="s">
        <v>525</v>
      </c>
    </row>
    <row r="246" spans="1:7" x14ac:dyDescent="0.3">
      <c r="A246">
        <v>0</v>
      </c>
      <c r="B246" t="s">
        <v>312</v>
      </c>
      <c r="C246" t="s">
        <v>510</v>
      </c>
      <c r="D246" t="s">
        <v>498</v>
      </c>
      <c r="E246" t="s">
        <v>510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521</v>
      </c>
      <c r="D247" t="s">
        <v>498</v>
      </c>
      <c r="E247" t="s">
        <v>521</v>
      </c>
      <c r="F247" t="s">
        <v>13</v>
      </c>
      <c r="G247" t="s">
        <v>525</v>
      </c>
    </row>
    <row r="248" spans="1:7" x14ac:dyDescent="0.3">
      <c r="A248">
        <v>0</v>
      </c>
      <c r="B248" t="s">
        <v>312</v>
      </c>
      <c r="C248" t="s">
        <v>501</v>
      </c>
      <c r="D248" t="s">
        <v>498</v>
      </c>
      <c r="E248" t="s">
        <v>501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504</v>
      </c>
      <c r="D249" t="s">
        <v>498</v>
      </c>
      <c r="E249" t="s">
        <v>504</v>
      </c>
      <c r="F249" t="s">
        <v>13</v>
      </c>
      <c r="G249" t="s">
        <v>525</v>
      </c>
    </row>
    <row r="250" spans="1:7" x14ac:dyDescent="0.3">
      <c r="A250">
        <v>0</v>
      </c>
      <c r="B250" t="s">
        <v>312</v>
      </c>
      <c r="C250" t="s">
        <v>520</v>
      </c>
      <c r="D250" t="s">
        <v>498</v>
      </c>
      <c r="E250" t="s">
        <v>520</v>
      </c>
      <c r="F250" t="s">
        <v>13</v>
      </c>
      <c r="G250" t="s">
        <v>525</v>
      </c>
    </row>
    <row r="251" spans="1:7" x14ac:dyDescent="0.3">
      <c r="A251">
        <v>0</v>
      </c>
      <c r="B251" t="s">
        <v>312</v>
      </c>
      <c r="C251" t="s">
        <v>523</v>
      </c>
      <c r="D251" t="s">
        <v>498</v>
      </c>
      <c r="E251" t="s">
        <v>523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503</v>
      </c>
      <c r="D252" t="s">
        <v>498</v>
      </c>
      <c r="E252" t="s">
        <v>503</v>
      </c>
      <c r="F252" t="s">
        <v>13</v>
      </c>
      <c r="G252" t="s">
        <v>525</v>
      </c>
    </row>
    <row r="253" spans="1:7" x14ac:dyDescent="0.3">
      <c r="A253">
        <v>0</v>
      </c>
      <c r="B253" t="s">
        <v>312</v>
      </c>
      <c r="C253" t="s">
        <v>512</v>
      </c>
      <c r="D253" t="s">
        <v>498</v>
      </c>
      <c r="E253" t="s">
        <v>512</v>
      </c>
      <c r="F253" t="s">
        <v>13</v>
      </c>
      <c r="G253" t="s">
        <v>525</v>
      </c>
    </row>
    <row r="254" spans="1:7" x14ac:dyDescent="0.3">
      <c r="A254">
        <v>0</v>
      </c>
      <c r="B254" t="s">
        <v>312</v>
      </c>
      <c r="C254" t="s">
        <v>505</v>
      </c>
      <c r="D254" t="s">
        <v>498</v>
      </c>
      <c r="E254" t="s">
        <v>505</v>
      </c>
      <c r="F254" t="s">
        <v>13</v>
      </c>
      <c r="G254" t="s">
        <v>525</v>
      </c>
    </row>
    <row r="255" spans="1:7" x14ac:dyDescent="0.3">
      <c r="A255">
        <v>0</v>
      </c>
      <c r="B255" t="s">
        <v>312</v>
      </c>
      <c r="C255" t="s">
        <v>518</v>
      </c>
      <c r="D255" t="s">
        <v>498</v>
      </c>
      <c r="E255" t="s">
        <v>518</v>
      </c>
      <c r="F255" t="s">
        <v>13</v>
      </c>
      <c r="G255" t="s">
        <v>525</v>
      </c>
    </row>
    <row r="256" spans="1:7" x14ac:dyDescent="0.3">
      <c r="A256">
        <v>0</v>
      </c>
      <c r="B256" t="s">
        <v>312</v>
      </c>
      <c r="C256" t="s">
        <v>522</v>
      </c>
      <c r="D256" t="s">
        <v>498</v>
      </c>
      <c r="E256" t="s">
        <v>522</v>
      </c>
      <c r="F256" t="s">
        <v>13</v>
      </c>
      <c r="G256" t="s">
        <v>525</v>
      </c>
    </row>
    <row r="257" spans="1:7" x14ac:dyDescent="0.3">
      <c r="A257">
        <v>0</v>
      </c>
      <c r="B257" t="s">
        <v>312</v>
      </c>
      <c r="C257" t="s">
        <v>516</v>
      </c>
      <c r="D257" t="s">
        <v>498</v>
      </c>
      <c r="E257" t="s">
        <v>516</v>
      </c>
      <c r="F257" t="s">
        <v>13</v>
      </c>
      <c r="G257" t="s">
        <v>525</v>
      </c>
    </row>
    <row r="258" spans="1:7" x14ac:dyDescent="0.3">
      <c r="A258">
        <v>0</v>
      </c>
      <c r="B258" t="s">
        <v>312</v>
      </c>
      <c r="C258" t="s">
        <v>517</v>
      </c>
      <c r="D258" t="s">
        <v>498</v>
      </c>
      <c r="E258" t="s">
        <v>517</v>
      </c>
      <c r="F258" t="s">
        <v>13</v>
      </c>
      <c r="G258" t="s">
        <v>525</v>
      </c>
    </row>
    <row r="259" spans="1:7" x14ac:dyDescent="0.3">
      <c r="A259">
        <v>0</v>
      </c>
      <c r="B259" t="s">
        <v>16</v>
      </c>
      <c r="C259" s="2" t="s">
        <v>22</v>
      </c>
      <c r="D259" t="s">
        <v>2</v>
      </c>
      <c r="E259" s="2" t="s">
        <v>22</v>
      </c>
      <c r="F259" t="s">
        <v>13</v>
      </c>
      <c r="G259" t="s">
        <v>525</v>
      </c>
    </row>
    <row r="260" spans="1:7" x14ac:dyDescent="0.3">
      <c r="A260">
        <v>0</v>
      </c>
      <c r="B260" t="s">
        <v>16</v>
      </c>
      <c r="C260" s="2" t="s">
        <v>49</v>
      </c>
      <c r="D260" t="s">
        <v>2</v>
      </c>
      <c r="E260" s="2" t="s">
        <v>49</v>
      </c>
      <c r="F260" t="s">
        <v>13</v>
      </c>
      <c r="G260" t="s">
        <v>525</v>
      </c>
    </row>
    <row r="261" spans="1:7" x14ac:dyDescent="0.3">
      <c r="A261">
        <v>0</v>
      </c>
      <c r="B261" t="s">
        <v>312</v>
      </c>
      <c r="C261" s="2" t="s">
        <v>55</v>
      </c>
      <c r="D261" t="s">
        <v>2</v>
      </c>
      <c r="E261" s="2" t="s">
        <v>55</v>
      </c>
      <c r="F261" t="s">
        <v>13</v>
      </c>
      <c r="G261" t="s">
        <v>525</v>
      </c>
    </row>
    <row r="262" spans="1:7" x14ac:dyDescent="0.3">
      <c r="A262">
        <v>0</v>
      </c>
      <c r="B262" t="s">
        <v>312</v>
      </c>
      <c r="C262" t="s">
        <v>59</v>
      </c>
      <c r="D262" t="s">
        <v>2</v>
      </c>
      <c r="E262" t="s">
        <v>59</v>
      </c>
      <c r="F262" t="s">
        <v>13</v>
      </c>
      <c r="G262" t="s">
        <v>525</v>
      </c>
    </row>
    <row r="263" spans="1:7" x14ac:dyDescent="0.3">
      <c r="A263">
        <v>0</v>
      </c>
      <c r="B263" t="s">
        <v>16</v>
      </c>
      <c r="C263" s="2" t="s">
        <v>61</v>
      </c>
      <c r="D263" t="s">
        <v>2</v>
      </c>
      <c r="E263" s="2" t="s">
        <v>61</v>
      </c>
      <c r="F263" t="s">
        <v>13</v>
      </c>
      <c r="G263" t="s">
        <v>525</v>
      </c>
    </row>
    <row r="264" spans="1:7" x14ac:dyDescent="0.3">
      <c r="A264">
        <v>0</v>
      </c>
      <c r="B264" t="s">
        <v>312</v>
      </c>
      <c r="C264" s="2" t="s">
        <v>67</v>
      </c>
      <c r="D264" t="s">
        <v>2</v>
      </c>
      <c r="E264" s="2" t="s">
        <v>67</v>
      </c>
      <c r="F264" t="s">
        <v>13</v>
      </c>
      <c r="G264" t="s">
        <v>525</v>
      </c>
    </row>
    <row r="265" spans="1:7" x14ac:dyDescent="0.3">
      <c r="A265">
        <v>0</v>
      </c>
      <c r="B265" t="s">
        <v>312</v>
      </c>
      <c r="C265" t="s">
        <v>73</v>
      </c>
      <c r="D265" t="s">
        <v>2</v>
      </c>
      <c r="E265" t="s">
        <v>73</v>
      </c>
      <c r="F265" t="s">
        <v>13</v>
      </c>
      <c r="G265" t="s">
        <v>525</v>
      </c>
    </row>
    <row r="266" spans="1:7" x14ac:dyDescent="0.3">
      <c r="A266">
        <v>0</v>
      </c>
      <c r="B266" t="s">
        <v>312</v>
      </c>
      <c r="C266" t="s">
        <v>79</v>
      </c>
      <c r="D266" t="s">
        <v>2</v>
      </c>
      <c r="E266" t="s">
        <v>79</v>
      </c>
      <c r="F266" t="s">
        <v>13</v>
      </c>
      <c r="G266" t="s">
        <v>525</v>
      </c>
    </row>
    <row r="267" spans="1:7" x14ac:dyDescent="0.3">
      <c r="A267">
        <v>0</v>
      </c>
      <c r="B267" t="s">
        <v>312</v>
      </c>
      <c r="C267" t="s">
        <v>82</v>
      </c>
      <c r="D267" t="s">
        <v>2</v>
      </c>
      <c r="E267" t="s">
        <v>82</v>
      </c>
      <c r="F267" t="s">
        <v>13</v>
      </c>
      <c r="G267" t="s">
        <v>525</v>
      </c>
    </row>
    <row r="268" spans="1:7" x14ac:dyDescent="0.3">
      <c r="A268">
        <v>0</v>
      </c>
      <c r="B268" t="s">
        <v>312</v>
      </c>
      <c r="C268" t="s">
        <v>85</v>
      </c>
      <c r="D268" t="s">
        <v>2</v>
      </c>
      <c r="E268" t="s">
        <v>85</v>
      </c>
      <c r="F268" t="s">
        <v>13</v>
      </c>
      <c r="G268" t="s">
        <v>525</v>
      </c>
    </row>
    <row r="269" spans="1:7" x14ac:dyDescent="0.3">
      <c r="A269">
        <v>0</v>
      </c>
      <c r="B269" t="s">
        <v>312</v>
      </c>
      <c r="C269" t="s">
        <v>88</v>
      </c>
      <c r="D269" t="s">
        <v>2</v>
      </c>
      <c r="E269" t="s">
        <v>88</v>
      </c>
      <c r="F269" t="s">
        <v>13</v>
      </c>
      <c r="G269" t="s">
        <v>525</v>
      </c>
    </row>
    <row r="270" spans="1:7" x14ac:dyDescent="0.3">
      <c r="A270">
        <v>0</v>
      </c>
      <c r="B270" t="s">
        <v>312</v>
      </c>
      <c r="C270" t="s">
        <v>91</v>
      </c>
      <c r="D270" t="s">
        <v>2</v>
      </c>
      <c r="E270" t="s">
        <v>91</v>
      </c>
      <c r="F270" t="s">
        <v>13</v>
      </c>
      <c r="G270" t="s">
        <v>525</v>
      </c>
    </row>
    <row r="271" spans="1:7" x14ac:dyDescent="0.3">
      <c r="A271">
        <v>0</v>
      </c>
      <c r="B271" t="s">
        <v>312</v>
      </c>
      <c r="C271" t="s">
        <v>94</v>
      </c>
      <c r="D271" t="s">
        <v>2</v>
      </c>
      <c r="E271" t="s">
        <v>94</v>
      </c>
      <c r="F271" t="s">
        <v>13</v>
      </c>
      <c r="G271" t="s">
        <v>525</v>
      </c>
    </row>
    <row r="272" spans="1:7" x14ac:dyDescent="0.3">
      <c r="A272">
        <v>0</v>
      </c>
      <c r="B272" t="s">
        <v>312</v>
      </c>
      <c r="C272" t="s">
        <v>97</v>
      </c>
      <c r="D272" t="s">
        <v>2</v>
      </c>
      <c r="E272" t="s">
        <v>97</v>
      </c>
      <c r="F272" t="s">
        <v>13</v>
      </c>
      <c r="G272" t="s">
        <v>525</v>
      </c>
    </row>
    <row r="273" spans="1:7" x14ac:dyDescent="0.3">
      <c r="A273">
        <v>0</v>
      </c>
      <c r="B273" t="s">
        <v>312</v>
      </c>
      <c r="C273" t="s">
        <v>100</v>
      </c>
      <c r="D273" t="s">
        <v>2</v>
      </c>
      <c r="E273" t="s">
        <v>100</v>
      </c>
      <c r="F273" t="s">
        <v>13</v>
      </c>
      <c r="G273" t="s">
        <v>525</v>
      </c>
    </row>
  </sheetData>
  <pageMargins left="0.75" right="0.75" top="1" bottom="1" header="0.5" footer="0.5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3"/>
  <sheetViews>
    <sheetView topLeftCell="A15" workbookViewId="0">
      <selection activeCell="E28" sqref="E28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0.59523809523809501</v>
      </c>
      <c r="B2" t="s">
        <v>57</v>
      </c>
      <c r="C2" t="s">
        <v>708</v>
      </c>
      <c r="D2" t="s">
        <v>2</v>
      </c>
      <c r="E2" s="19" t="s">
        <v>67</v>
      </c>
      <c r="F2" s="4" t="s">
        <v>13</v>
      </c>
      <c r="G2" t="s">
        <v>525</v>
      </c>
      <c r="H2" t="s">
        <v>626</v>
      </c>
    </row>
    <row r="3" spans="1:9" x14ac:dyDescent="0.3">
      <c r="A3">
        <v>9.9852071005917167E-3</v>
      </c>
      <c r="B3" t="s">
        <v>57</v>
      </c>
      <c r="C3" t="s">
        <v>709</v>
      </c>
      <c r="D3" t="s">
        <v>2</v>
      </c>
      <c r="E3" s="18" t="s">
        <v>371</v>
      </c>
      <c r="F3" t="s">
        <v>13</v>
      </c>
      <c r="G3" t="s">
        <v>525</v>
      </c>
      <c r="H3" t="s">
        <v>626</v>
      </c>
    </row>
    <row r="4" spans="1:9" x14ac:dyDescent="0.3">
      <c r="A4">
        <v>1.499835634451019E-2</v>
      </c>
      <c r="B4" t="s">
        <v>57</v>
      </c>
      <c r="C4" t="s">
        <v>666</v>
      </c>
      <c r="D4" t="s">
        <v>2</v>
      </c>
      <c r="E4" t="s">
        <v>149</v>
      </c>
      <c r="F4" t="s">
        <v>13</v>
      </c>
      <c r="G4" t="s">
        <v>525</v>
      </c>
      <c r="H4" t="s">
        <v>626</v>
      </c>
    </row>
    <row r="5" spans="1:9" x14ac:dyDescent="0.3">
      <c r="A5">
        <v>2.6997041420118344E-3</v>
      </c>
      <c r="B5" t="s">
        <v>57</v>
      </c>
      <c r="C5" t="s">
        <v>665</v>
      </c>
      <c r="D5" t="s">
        <v>2</v>
      </c>
      <c r="E5" t="s">
        <v>149</v>
      </c>
      <c r="F5" t="s">
        <v>13</v>
      </c>
      <c r="G5" t="s">
        <v>525</v>
      </c>
      <c r="H5" t="s">
        <v>626</v>
      </c>
    </row>
    <row r="6" spans="1:9" x14ac:dyDescent="0.3">
      <c r="A6">
        <v>3.8995726495726496E-2</v>
      </c>
      <c r="B6" t="s">
        <v>57</v>
      </c>
      <c r="C6" t="s">
        <v>710</v>
      </c>
      <c r="D6" t="s">
        <v>2</v>
      </c>
      <c r="E6" t="s">
        <v>149</v>
      </c>
      <c r="F6" t="s">
        <v>13</v>
      </c>
      <c r="G6" t="s">
        <v>525</v>
      </c>
      <c r="H6" t="s">
        <v>626</v>
      </c>
    </row>
    <row r="7" spans="1:9" x14ac:dyDescent="0.3">
      <c r="A7">
        <v>0.29996712689020383</v>
      </c>
      <c r="B7" t="s">
        <v>57</v>
      </c>
      <c r="C7" t="s">
        <v>711</v>
      </c>
      <c r="D7" t="s">
        <v>2</v>
      </c>
      <c r="E7" t="s">
        <v>149</v>
      </c>
      <c r="F7" t="s">
        <v>13</v>
      </c>
      <c r="G7" t="s">
        <v>525</v>
      </c>
      <c r="H7" t="s">
        <v>626</v>
      </c>
    </row>
    <row r="8" spans="1:9" x14ac:dyDescent="0.3">
      <c r="A8">
        <v>0.23997370151216305</v>
      </c>
      <c r="B8" t="s">
        <v>57</v>
      </c>
      <c r="C8" t="s">
        <v>712</v>
      </c>
      <c r="D8" t="s">
        <v>2</v>
      </c>
      <c r="E8" t="s">
        <v>149</v>
      </c>
      <c r="F8" t="s">
        <v>13</v>
      </c>
      <c r="G8" t="s">
        <v>525</v>
      </c>
      <c r="H8" t="s">
        <v>626</v>
      </c>
    </row>
    <row r="9" spans="1:9" x14ac:dyDescent="0.3">
      <c r="A9">
        <v>2.0011505588428667E-3</v>
      </c>
      <c r="B9" t="s">
        <v>57</v>
      </c>
      <c r="C9" t="s">
        <v>713</v>
      </c>
      <c r="D9" t="s">
        <v>2</v>
      </c>
      <c r="E9" t="s">
        <v>149</v>
      </c>
      <c r="F9" t="s">
        <v>13</v>
      </c>
      <c r="G9" t="s">
        <v>525</v>
      </c>
      <c r="H9" t="s">
        <v>626</v>
      </c>
    </row>
    <row r="10" spans="1:9" x14ac:dyDescent="0.3">
      <c r="A10">
        <v>7.4375410913872456E-3</v>
      </c>
      <c r="B10" t="s">
        <v>57</v>
      </c>
      <c r="C10" t="s">
        <v>714</v>
      </c>
      <c r="D10" t="s">
        <v>2</v>
      </c>
      <c r="E10" s="18" t="s">
        <v>345</v>
      </c>
      <c r="F10" t="s">
        <v>13</v>
      </c>
      <c r="G10" t="s">
        <v>525</v>
      </c>
      <c r="H10" t="s">
        <v>626</v>
      </c>
    </row>
    <row r="11" spans="1:9" x14ac:dyDescent="0.3">
      <c r="A11">
        <v>1.510490916333472E-3</v>
      </c>
      <c r="B11" t="s">
        <v>57</v>
      </c>
      <c r="C11" t="s">
        <v>715</v>
      </c>
      <c r="D11" t="s">
        <v>2</v>
      </c>
      <c r="E11" s="2" t="s">
        <v>322</v>
      </c>
      <c r="F11" t="s">
        <v>13</v>
      </c>
      <c r="G11" t="s">
        <v>525</v>
      </c>
      <c r="H11" t="s">
        <v>626</v>
      </c>
    </row>
    <row r="12" spans="1:9" x14ac:dyDescent="0.3">
      <c r="A12">
        <v>8.948032007720718E-3</v>
      </c>
      <c r="B12" t="s">
        <v>57</v>
      </c>
      <c r="C12" t="s">
        <v>614</v>
      </c>
      <c r="D12" t="s">
        <v>2</v>
      </c>
      <c r="E12" s="2" t="s">
        <v>322</v>
      </c>
      <c r="F12" t="s">
        <v>13</v>
      </c>
      <c r="G12" t="s">
        <v>525</v>
      </c>
      <c r="H12" t="s">
        <v>626</v>
      </c>
    </row>
    <row r="13" spans="1:9" x14ac:dyDescent="0.3">
      <c r="A13">
        <v>4.7619047619047619</v>
      </c>
      <c r="B13" t="s">
        <v>542</v>
      </c>
      <c r="C13" t="s">
        <v>648</v>
      </c>
      <c r="D13" t="s">
        <v>2</v>
      </c>
      <c r="E13" t="s">
        <v>111</v>
      </c>
      <c r="F13" t="s">
        <v>13</v>
      </c>
      <c r="G13" t="s">
        <v>525</v>
      </c>
      <c r="H13" t="s">
        <v>626</v>
      </c>
    </row>
    <row r="14" spans="1:9" x14ac:dyDescent="0.3">
      <c r="A14">
        <f>3.99819197896121/48</f>
        <v>8.3295666228358545E-2</v>
      </c>
      <c r="B14" t="s">
        <v>57</v>
      </c>
      <c r="C14" t="s">
        <v>671</v>
      </c>
      <c r="D14" t="s">
        <v>2</v>
      </c>
      <c r="E14" t="s">
        <v>398</v>
      </c>
      <c r="F14" t="s">
        <v>13</v>
      </c>
      <c r="G14" t="s">
        <v>525</v>
      </c>
      <c r="H14" t="s">
        <v>626</v>
      </c>
    </row>
    <row r="15" spans="1:9" x14ac:dyDescent="0.3">
      <c r="A15">
        <v>1.1012491781722601E-4</v>
      </c>
      <c r="B15" s="2" t="s">
        <v>319</v>
      </c>
      <c r="C15" t="s">
        <v>716</v>
      </c>
      <c r="D15" t="s">
        <v>2</v>
      </c>
      <c r="E15" s="18" t="s">
        <v>375</v>
      </c>
      <c r="F15" t="s">
        <v>13</v>
      </c>
      <c r="G15" t="s">
        <v>525</v>
      </c>
      <c r="H15" t="s">
        <v>626</v>
      </c>
    </row>
    <row r="16" spans="1:9" x14ac:dyDescent="0.3">
      <c r="A16">
        <f>$A$2*'[1]Ingot prod APAC'!I12</f>
        <v>0</v>
      </c>
      <c r="B16" t="s">
        <v>314</v>
      </c>
      <c r="C16" t="s">
        <v>620</v>
      </c>
      <c r="D16" t="s">
        <v>2</v>
      </c>
      <c r="E16" s="2" t="s">
        <v>455</v>
      </c>
      <c r="F16" t="s">
        <v>13</v>
      </c>
      <c r="G16" t="s">
        <v>525</v>
      </c>
      <c r="H16" t="s">
        <v>621</v>
      </c>
    </row>
    <row r="17" spans="1:8" x14ac:dyDescent="0.3">
      <c r="A17">
        <f>$A$2*'[1]Ingot prod APAC'!I13</f>
        <v>7.2793179377679282E-8</v>
      </c>
      <c r="B17" s="2" t="s">
        <v>314</v>
      </c>
      <c r="C17" t="s">
        <v>622</v>
      </c>
      <c r="D17" t="s">
        <v>2</v>
      </c>
      <c r="E17" s="2" t="s">
        <v>409</v>
      </c>
      <c r="F17" t="s">
        <v>13</v>
      </c>
      <c r="G17" t="s">
        <v>525</v>
      </c>
      <c r="H17" t="s">
        <v>621</v>
      </c>
    </row>
    <row r="18" spans="1:8" x14ac:dyDescent="0.3">
      <c r="A18">
        <f>$A$2*'[1]Ingot prod APAC'!I14</f>
        <v>9.765513937975687E-8</v>
      </c>
      <c r="B18" s="2" t="s">
        <v>314</v>
      </c>
      <c r="C18" t="s">
        <v>623</v>
      </c>
      <c r="D18" t="s">
        <v>2</v>
      </c>
      <c r="E18" s="2" t="s">
        <v>443</v>
      </c>
      <c r="F18" t="s">
        <v>13</v>
      </c>
      <c r="G18" t="s">
        <v>525</v>
      </c>
      <c r="H18" t="s">
        <v>621</v>
      </c>
    </row>
    <row r="19" spans="1:8" x14ac:dyDescent="0.3">
      <c r="A19">
        <f>55.5555555555556*2.31803430690774E-09</f>
        <v>1.2877968371709678E-7</v>
      </c>
      <c r="B19" t="s">
        <v>314</v>
      </c>
      <c r="C19" t="s">
        <v>717</v>
      </c>
      <c r="D19" t="s">
        <v>2</v>
      </c>
      <c r="E19" t="s">
        <v>341</v>
      </c>
      <c r="F19" t="s">
        <v>13</v>
      </c>
      <c r="G19" t="s">
        <v>525</v>
      </c>
      <c r="H19" t="s">
        <v>626</v>
      </c>
    </row>
    <row r="20" spans="1:8" x14ac:dyDescent="0.3">
      <c r="A20">
        <v>1.2569416796599355E-7</v>
      </c>
      <c r="B20" t="s">
        <v>314</v>
      </c>
      <c r="C20" t="s">
        <v>654</v>
      </c>
      <c r="D20" t="s">
        <v>2</v>
      </c>
      <c r="E20" s="2" t="s">
        <v>449</v>
      </c>
      <c r="F20" t="s">
        <v>13</v>
      </c>
      <c r="G20" t="s">
        <v>525</v>
      </c>
      <c r="H20" t="s">
        <v>655</v>
      </c>
    </row>
    <row r="21" spans="1:8" x14ac:dyDescent="0.3">
      <c r="A21">
        <v>6.9131792381296471E-7</v>
      </c>
      <c r="B21" t="s">
        <v>314</v>
      </c>
      <c r="C21" t="s">
        <v>656</v>
      </c>
      <c r="D21" t="s">
        <v>2</v>
      </c>
      <c r="E21" s="2" t="s">
        <v>487</v>
      </c>
      <c r="F21" t="s">
        <v>13</v>
      </c>
      <c r="G21" t="s">
        <v>525</v>
      </c>
      <c r="H21" t="s">
        <v>655</v>
      </c>
    </row>
    <row r="22" spans="1:8" x14ac:dyDescent="0.3">
      <c r="A22">
        <v>7.2201068575814916E-7</v>
      </c>
      <c r="B22" t="s">
        <v>314</v>
      </c>
      <c r="C22" t="s">
        <v>495</v>
      </c>
      <c r="D22" t="s">
        <v>494</v>
      </c>
      <c r="E22" t="s">
        <v>495</v>
      </c>
      <c r="F22" t="s">
        <v>13</v>
      </c>
      <c r="G22" t="s">
        <v>525</v>
      </c>
      <c r="H22" t="s">
        <v>655</v>
      </c>
    </row>
    <row r="23" spans="1:8" x14ac:dyDescent="0.3">
      <c r="A23">
        <v>1.0640157474330618E-6</v>
      </c>
      <c r="B23" t="s">
        <v>314</v>
      </c>
      <c r="C23" t="s">
        <v>496</v>
      </c>
      <c r="D23" t="s">
        <v>494</v>
      </c>
      <c r="E23" s="2" t="s">
        <v>496</v>
      </c>
      <c r="F23" t="s">
        <v>13</v>
      </c>
      <c r="G23" t="s">
        <v>525</v>
      </c>
      <c r="H23" t="s">
        <v>655</v>
      </c>
    </row>
    <row r="24" spans="1:8" x14ac:dyDescent="0.3">
      <c r="A24">
        <v>7.6001124816647296E-7</v>
      </c>
      <c r="B24" t="s">
        <v>314</v>
      </c>
      <c r="C24" t="s">
        <v>497</v>
      </c>
      <c r="D24" t="s">
        <v>494</v>
      </c>
      <c r="E24" s="2" t="s">
        <v>497</v>
      </c>
      <c r="F24" t="s">
        <v>13</v>
      </c>
      <c r="G24" t="s">
        <v>525</v>
      </c>
      <c r="H24" t="s">
        <v>655</v>
      </c>
    </row>
    <row r="25" spans="1:8" x14ac:dyDescent="0.3">
      <c r="A25">
        <v>1.1157500364954052E-7</v>
      </c>
      <c r="B25" t="s">
        <v>507</v>
      </c>
      <c r="C25" t="s">
        <v>506</v>
      </c>
      <c r="D25" t="s">
        <v>498</v>
      </c>
      <c r="E25" s="2" t="s">
        <v>506</v>
      </c>
      <c r="F25" t="s">
        <v>13</v>
      </c>
      <c r="G25" t="s">
        <v>525</v>
      </c>
      <c r="H25" t="s">
        <v>655</v>
      </c>
    </row>
    <row r="26" spans="1:8" x14ac:dyDescent="0.3">
      <c r="A26">
        <v>0.22429857001972389</v>
      </c>
      <c r="B26" t="s">
        <v>57</v>
      </c>
      <c r="C26" t="s">
        <v>535</v>
      </c>
      <c r="D26" t="s">
        <v>498</v>
      </c>
      <c r="E26" t="s">
        <v>502</v>
      </c>
      <c r="F26" t="s">
        <v>13</v>
      </c>
      <c r="G26" t="s">
        <v>525</v>
      </c>
      <c r="H26" t="s">
        <v>658</v>
      </c>
    </row>
    <row r="27" spans="1:8" x14ac:dyDescent="0.3">
      <c r="A27">
        <v>1.9990959894806049E-5</v>
      </c>
      <c r="B27" t="s">
        <v>57</v>
      </c>
      <c r="C27" t="s">
        <v>500</v>
      </c>
      <c r="D27" t="s">
        <v>498</v>
      </c>
      <c r="E27" t="s">
        <v>500</v>
      </c>
      <c r="F27" t="s">
        <v>13</v>
      </c>
      <c r="G27" t="s">
        <v>525</v>
      </c>
      <c r="H27" t="s">
        <v>658</v>
      </c>
    </row>
    <row r="28" spans="1:8" x14ac:dyDescent="0.3">
      <c r="A28">
        <v>3.9981919789612104E-7</v>
      </c>
      <c r="B28" t="s">
        <v>57</v>
      </c>
      <c r="C28" t="s">
        <v>511</v>
      </c>
      <c r="D28" t="s">
        <v>498</v>
      </c>
      <c r="E28" t="s">
        <v>511</v>
      </c>
      <c r="F28" t="s">
        <v>13</v>
      </c>
      <c r="G28" t="s">
        <v>525</v>
      </c>
      <c r="H28" t="s">
        <v>658</v>
      </c>
    </row>
    <row r="29" spans="1:8" x14ac:dyDescent="0.3">
      <c r="A29">
        <v>0</v>
      </c>
      <c r="B29" t="s">
        <v>312</v>
      </c>
      <c r="C29" t="s">
        <v>483</v>
      </c>
      <c r="D29" t="s">
        <v>2</v>
      </c>
      <c r="E29" t="s">
        <v>483</v>
      </c>
      <c r="F29" t="s">
        <v>13</v>
      </c>
      <c r="G29" t="s">
        <v>525</v>
      </c>
    </row>
    <row r="30" spans="1:8" x14ac:dyDescent="0.3">
      <c r="A30">
        <v>0</v>
      </c>
      <c r="B30" t="s">
        <v>105</v>
      </c>
      <c r="C30" t="s">
        <v>125</v>
      </c>
      <c r="D30" t="s">
        <v>2</v>
      </c>
      <c r="E30" t="s">
        <v>125</v>
      </c>
      <c r="F30" t="s">
        <v>13</v>
      </c>
      <c r="G30" t="s">
        <v>525</v>
      </c>
    </row>
    <row r="31" spans="1:8" x14ac:dyDescent="0.3">
      <c r="A31">
        <v>0</v>
      </c>
      <c r="B31" t="s">
        <v>319</v>
      </c>
      <c r="C31" t="s">
        <v>461</v>
      </c>
      <c r="D31" t="s">
        <v>2</v>
      </c>
      <c r="E31" t="s">
        <v>461</v>
      </c>
      <c r="F31" t="s">
        <v>13</v>
      </c>
      <c r="G31" t="s">
        <v>525</v>
      </c>
    </row>
    <row r="32" spans="1:8" x14ac:dyDescent="0.3">
      <c r="A32">
        <v>0</v>
      </c>
      <c r="B32" t="s">
        <v>314</v>
      </c>
      <c r="C32" t="s">
        <v>395</v>
      </c>
      <c r="D32" t="s">
        <v>2</v>
      </c>
      <c r="E32" t="s">
        <v>395</v>
      </c>
      <c r="F32" t="s">
        <v>13</v>
      </c>
      <c r="G32" t="s">
        <v>525</v>
      </c>
    </row>
    <row r="33" spans="1:7" x14ac:dyDescent="0.3">
      <c r="A33">
        <v>0</v>
      </c>
      <c r="B33" t="s">
        <v>312</v>
      </c>
      <c r="C33" t="s">
        <v>399</v>
      </c>
      <c r="D33" t="s">
        <v>2</v>
      </c>
      <c r="E33" t="s">
        <v>399</v>
      </c>
      <c r="F33" t="s">
        <v>13</v>
      </c>
      <c r="G33" t="s">
        <v>525</v>
      </c>
    </row>
    <row r="34" spans="1:7" x14ac:dyDescent="0.3">
      <c r="A34">
        <v>0</v>
      </c>
      <c r="B34" t="s">
        <v>314</v>
      </c>
      <c r="C34" t="s">
        <v>432</v>
      </c>
      <c r="D34" t="s">
        <v>2</v>
      </c>
      <c r="E34" t="s">
        <v>432</v>
      </c>
      <c r="F34" t="s">
        <v>13</v>
      </c>
      <c r="G34" t="s">
        <v>525</v>
      </c>
    </row>
    <row r="35" spans="1:7" x14ac:dyDescent="0.3">
      <c r="A35">
        <v>0</v>
      </c>
      <c r="B35" t="s">
        <v>312</v>
      </c>
      <c r="C35" t="s">
        <v>325</v>
      </c>
      <c r="D35" t="s">
        <v>2</v>
      </c>
      <c r="E35" t="s">
        <v>325</v>
      </c>
      <c r="F35" t="s">
        <v>13</v>
      </c>
      <c r="G35" t="s">
        <v>525</v>
      </c>
    </row>
    <row r="36" spans="1:7" x14ac:dyDescent="0.3">
      <c r="A36">
        <v>0</v>
      </c>
      <c r="B36" t="s">
        <v>314</v>
      </c>
      <c r="C36" t="s">
        <v>372</v>
      </c>
      <c r="D36" t="s">
        <v>2</v>
      </c>
      <c r="E36" t="s">
        <v>372</v>
      </c>
      <c r="F36" t="s">
        <v>13</v>
      </c>
      <c r="G36" t="s">
        <v>525</v>
      </c>
    </row>
    <row r="37" spans="1:7" x14ac:dyDescent="0.3">
      <c r="A37">
        <v>0</v>
      </c>
      <c r="B37" t="s">
        <v>314</v>
      </c>
      <c r="C37" t="s">
        <v>260</v>
      </c>
      <c r="D37" t="s">
        <v>2</v>
      </c>
      <c r="E37" t="s">
        <v>260</v>
      </c>
      <c r="F37" t="s">
        <v>13</v>
      </c>
      <c r="G37" t="s">
        <v>525</v>
      </c>
    </row>
    <row r="38" spans="1:7" x14ac:dyDescent="0.3">
      <c r="A38">
        <v>0</v>
      </c>
      <c r="B38" t="s">
        <v>312</v>
      </c>
      <c r="C38" t="s">
        <v>330</v>
      </c>
      <c r="D38" t="s">
        <v>2</v>
      </c>
      <c r="E38" t="s">
        <v>330</v>
      </c>
      <c r="F38" t="s">
        <v>13</v>
      </c>
      <c r="G38" t="s">
        <v>525</v>
      </c>
    </row>
    <row r="39" spans="1:7" x14ac:dyDescent="0.3">
      <c r="A39">
        <v>0</v>
      </c>
      <c r="B39" t="s">
        <v>105</v>
      </c>
      <c r="C39" t="s">
        <v>401</v>
      </c>
      <c r="D39" t="s">
        <v>2</v>
      </c>
      <c r="E39" t="s">
        <v>401</v>
      </c>
      <c r="F39" t="s">
        <v>13</v>
      </c>
      <c r="G39" t="s">
        <v>525</v>
      </c>
    </row>
    <row r="40" spans="1:7" x14ac:dyDescent="0.3">
      <c r="A40">
        <v>0</v>
      </c>
      <c r="B40" t="s">
        <v>312</v>
      </c>
      <c r="C40" t="s">
        <v>416</v>
      </c>
      <c r="D40" t="s">
        <v>2</v>
      </c>
      <c r="E40" t="s">
        <v>416</v>
      </c>
      <c r="F40" t="s">
        <v>13</v>
      </c>
      <c r="G40" t="s">
        <v>525</v>
      </c>
    </row>
    <row r="41" spans="1:7" x14ac:dyDescent="0.3">
      <c r="A41">
        <v>0</v>
      </c>
      <c r="B41" t="s">
        <v>319</v>
      </c>
      <c r="C41" t="s">
        <v>375</v>
      </c>
      <c r="D41" t="s">
        <v>2</v>
      </c>
      <c r="E41" t="s">
        <v>375</v>
      </c>
      <c r="F41" t="s">
        <v>13</v>
      </c>
      <c r="G41" t="s">
        <v>525</v>
      </c>
    </row>
    <row r="42" spans="1:7" x14ac:dyDescent="0.3">
      <c r="A42">
        <v>0</v>
      </c>
      <c r="B42" t="s">
        <v>312</v>
      </c>
      <c r="C42" t="s">
        <v>333</v>
      </c>
      <c r="D42" t="s">
        <v>2</v>
      </c>
      <c r="E42" t="s">
        <v>333</v>
      </c>
      <c r="F42" t="s">
        <v>13</v>
      </c>
      <c r="G42" t="s">
        <v>525</v>
      </c>
    </row>
    <row r="43" spans="1:7" x14ac:dyDescent="0.3">
      <c r="A43">
        <v>0</v>
      </c>
      <c r="B43" t="s">
        <v>57</v>
      </c>
      <c r="C43" t="s">
        <v>118</v>
      </c>
      <c r="D43" t="s">
        <v>2</v>
      </c>
      <c r="E43" t="s">
        <v>118</v>
      </c>
      <c r="F43" t="s">
        <v>13</v>
      </c>
      <c r="G43" t="s">
        <v>525</v>
      </c>
    </row>
    <row r="44" spans="1:7" x14ac:dyDescent="0.3">
      <c r="A44">
        <v>0</v>
      </c>
      <c r="B44" t="s">
        <v>312</v>
      </c>
      <c r="C44" t="s">
        <v>406</v>
      </c>
      <c r="D44" t="s">
        <v>2</v>
      </c>
      <c r="E44" t="s">
        <v>406</v>
      </c>
      <c r="F44" t="s">
        <v>13</v>
      </c>
      <c r="G44" t="s">
        <v>525</v>
      </c>
    </row>
    <row r="45" spans="1:7" x14ac:dyDescent="0.3">
      <c r="A45">
        <v>0</v>
      </c>
      <c r="B45" t="s">
        <v>312</v>
      </c>
      <c r="C45" t="s">
        <v>315</v>
      </c>
      <c r="D45" t="s">
        <v>2</v>
      </c>
      <c r="E45" t="s">
        <v>315</v>
      </c>
      <c r="F45" t="s">
        <v>13</v>
      </c>
      <c r="G45" t="s">
        <v>525</v>
      </c>
    </row>
    <row r="46" spans="1:7" x14ac:dyDescent="0.3">
      <c r="A46">
        <v>0</v>
      </c>
      <c r="B46" t="s">
        <v>312</v>
      </c>
      <c r="C46" t="s">
        <v>358</v>
      </c>
      <c r="D46" t="s">
        <v>2</v>
      </c>
      <c r="E46" t="s">
        <v>358</v>
      </c>
      <c r="F46" t="s">
        <v>13</v>
      </c>
      <c r="G46" t="s">
        <v>525</v>
      </c>
    </row>
    <row r="47" spans="1:7" x14ac:dyDescent="0.3">
      <c r="A47">
        <v>0</v>
      </c>
      <c r="B47" t="s">
        <v>314</v>
      </c>
      <c r="C47" t="s">
        <v>444</v>
      </c>
      <c r="D47" t="s">
        <v>2</v>
      </c>
      <c r="E47" t="s">
        <v>444</v>
      </c>
      <c r="F47" t="s">
        <v>13</v>
      </c>
      <c r="G47" t="s">
        <v>525</v>
      </c>
    </row>
    <row r="48" spans="1:7" x14ac:dyDescent="0.3">
      <c r="A48">
        <v>0</v>
      </c>
      <c r="B48" t="s">
        <v>312</v>
      </c>
      <c r="C48" t="s">
        <v>439</v>
      </c>
      <c r="D48" t="s">
        <v>2</v>
      </c>
      <c r="E48" t="s">
        <v>439</v>
      </c>
      <c r="F48" t="s">
        <v>13</v>
      </c>
      <c r="G48" t="s">
        <v>525</v>
      </c>
    </row>
    <row r="49" spans="1:7" x14ac:dyDescent="0.3">
      <c r="A49">
        <v>0</v>
      </c>
      <c r="B49" t="s">
        <v>312</v>
      </c>
      <c r="C49" t="s">
        <v>381</v>
      </c>
      <c r="D49" t="s">
        <v>2</v>
      </c>
      <c r="E49" t="s">
        <v>381</v>
      </c>
      <c r="F49" t="s">
        <v>13</v>
      </c>
      <c r="G49" t="s">
        <v>525</v>
      </c>
    </row>
    <row r="50" spans="1:7" x14ac:dyDescent="0.3">
      <c r="A50">
        <v>0</v>
      </c>
      <c r="B50" t="s">
        <v>312</v>
      </c>
      <c r="C50" t="s">
        <v>418</v>
      </c>
      <c r="D50" t="s">
        <v>2</v>
      </c>
      <c r="E50" t="s">
        <v>418</v>
      </c>
      <c r="F50" t="s">
        <v>13</v>
      </c>
      <c r="G50" t="s">
        <v>525</v>
      </c>
    </row>
    <row r="51" spans="1:7" x14ac:dyDescent="0.3">
      <c r="A51">
        <v>0</v>
      </c>
      <c r="B51" t="s">
        <v>314</v>
      </c>
      <c r="C51" t="s">
        <v>465</v>
      </c>
      <c r="D51" t="s">
        <v>2</v>
      </c>
      <c r="E51" t="s">
        <v>465</v>
      </c>
      <c r="F51" t="s">
        <v>13</v>
      </c>
      <c r="G51" t="s">
        <v>525</v>
      </c>
    </row>
    <row r="52" spans="1:7" x14ac:dyDescent="0.3">
      <c r="A52">
        <v>0</v>
      </c>
      <c r="B52" t="s">
        <v>105</v>
      </c>
      <c r="C52" t="s">
        <v>103</v>
      </c>
      <c r="D52" t="s">
        <v>2</v>
      </c>
      <c r="E52" t="s">
        <v>103</v>
      </c>
      <c r="F52" t="s">
        <v>13</v>
      </c>
      <c r="G52" t="s">
        <v>525</v>
      </c>
    </row>
    <row r="53" spans="1:7" x14ac:dyDescent="0.3">
      <c r="A53">
        <v>0</v>
      </c>
      <c r="B53" t="s">
        <v>312</v>
      </c>
      <c r="C53" t="s">
        <v>320</v>
      </c>
      <c r="D53" t="s">
        <v>2</v>
      </c>
      <c r="E53" t="s">
        <v>320</v>
      </c>
      <c r="F53" t="s">
        <v>13</v>
      </c>
      <c r="G53" t="s">
        <v>525</v>
      </c>
    </row>
    <row r="54" spans="1:7" x14ac:dyDescent="0.3">
      <c r="A54">
        <v>0</v>
      </c>
      <c r="B54" t="s">
        <v>312</v>
      </c>
      <c r="C54" t="s">
        <v>334</v>
      </c>
      <c r="D54" t="s">
        <v>2</v>
      </c>
      <c r="E54" t="s">
        <v>334</v>
      </c>
      <c r="F54" t="s">
        <v>13</v>
      </c>
      <c r="G54" t="s">
        <v>525</v>
      </c>
    </row>
    <row r="55" spans="1:7" x14ac:dyDescent="0.3">
      <c r="A55">
        <v>0</v>
      </c>
      <c r="B55" t="s">
        <v>312</v>
      </c>
      <c r="C55" t="s">
        <v>435</v>
      </c>
      <c r="D55" t="s">
        <v>2</v>
      </c>
      <c r="E55" t="s">
        <v>435</v>
      </c>
      <c r="F55" t="s">
        <v>13</v>
      </c>
      <c r="G55" t="s">
        <v>525</v>
      </c>
    </row>
    <row r="56" spans="1:7" x14ac:dyDescent="0.3">
      <c r="A56">
        <v>0</v>
      </c>
      <c r="B56" t="s">
        <v>319</v>
      </c>
      <c r="C56" t="s">
        <v>456</v>
      </c>
      <c r="D56" t="s">
        <v>2</v>
      </c>
      <c r="E56" t="s">
        <v>456</v>
      </c>
      <c r="F56" t="s">
        <v>13</v>
      </c>
      <c r="G56" t="s">
        <v>525</v>
      </c>
    </row>
    <row r="57" spans="1:7" x14ac:dyDescent="0.3">
      <c r="A57">
        <v>0</v>
      </c>
      <c r="B57" t="s">
        <v>312</v>
      </c>
      <c r="C57" t="s">
        <v>474</v>
      </c>
      <c r="D57" t="s">
        <v>2</v>
      </c>
      <c r="E57" t="s">
        <v>474</v>
      </c>
      <c r="F57" t="s">
        <v>13</v>
      </c>
      <c r="G57" t="s">
        <v>525</v>
      </c>
    </row>
    <row r="58" spans="1:7" x14ac:dyDescent="0.3">
      <c r="A58">
        <v>0</v>
      </c>
      <c r="B58" t="s">
        <v>319</v>
      </c>
      <c r="C58" t="s">
        <v>318</v>
      </c>
      <c r="D58" t="s">
        <v>2</v>
      </c>
      <c r="E58" t="s">
        <v>318</v>
      </c>
      <c r="F58" t="s">
        <v>13</v>
      </c>
      <c r="G58" t="s">
        <v>525</v>
      </c>
    </row>
    <row r="59" spans="1:7" x14ac:dyDescent="0.3">
      <c r="A59">
        <v>0</v>
      </c>
      <c r="B59" t="s">
        <v>314</v>
      </c>
      <c r="C59" t="s">
        <v>475</v>
      </c>
      <c r="D59" t="s">
        <v>2</v>
      </c>
      <c r="E59" t="s">
        <v>475</v>
      </c>
      <c r="F59" t="s">
        <v>13</v>
      </c>
      <c r="G59" t="s">
        <v>525</v>
      </c>
    </row>
    <row r="60" spans="1:7" x14ac:dyDescent="0.3">
      <c r="A60">
        <v>0</v>
      </c>
      <c r="B60" t="s">
        <v>314</v>
      </c>
      <c r="C60" t="s">
        <v>449</v>
      </c>
      <c r="D60" t="s">
        <v>2</v>
      </c>
      <c r="E60" t="s">
        <v>449</v>
      </c>
      <c r="F60" t="s">
        <v>13</v>
      </c>
      <c r="G60" t="s">
        <v>525</v>
      </c>
    </row>
    <row r="61" spans="1:7" x14ac:dyDescent="0.3">
      <c r="A61">
        <v>0</v>
      </c>
      <c r="B61" t="s">
        <v>314</v>
      </c>
      <c r="C61" t="s">
        <v>176</v>
      </c>
      <c r="D61" t="s">
        <v>2</v>
      </c>
      <c r="E61" t="s">
        <v>176</v>
      </c>
      <c r="F61" t="s">
        <v>13</v>
      </c>
      <c r="G61" t="s">
        <v>525</v>
      </c>
    </row>
    <row r="62" spans="1:7" x14ac:dyDescent="0.3">
      <c r="A62">
        <v>0</v>
      </c>
      <c r="B62" t="s">
        <v>312</v>
      </c>
      <c r="C62" t="s">
        <v>388</v>
      </c>
      <c r="D62" t="s">
        <v>2</v>
      </c>
      <c r="E62" t="s">
        <v>388</v>
      </c>
      <c r="F62" t="s">
        <v>13</v>
      </c>
      <c r="G62" t="s">
        <v>525</v>
      </c>
    </row>
    <row r="63" spans="1:7" x14ac:dyDescent="0.3">
      <c r="A63">
        <v>0</v>
      </c>
      <c r="B63" t="s">
        <v>319</v>
      </c>
      <c r="C63" t="s">
        <v>429</v>
      </c>
      <c r="D63" t="s">
        <v>2</v>
      </c>
      <c r="E63" t="s">
        <v>429</v>
      </c>
      <c r="F63" t="s">
        <v>13</v>
      </c>
      <c r="G63" t="s">
        <v>525</v>
      </c>
    </row>
    <row r="64" spans="1:7" x14ac:dyDescent="0.3">
      <c r="A64">
        <v>0</v>
      </c>
      <c r="B64" t="s">
        <v>312</v>
      </c>
      <c r="C64" t="s">
        <v>272</v>
      </c>
      <c r="D64" t="s">
        <v>2</v>
      </c>
      <c r="E64" t="s">
        <v>272</v>
      </c>
      <c r="F64" t="s">
        <v>13</v>
      </c>
      <c r="G64" t="s">
        <v>525</v>
      </c>
    </row>
    <row r="65" spans="1:7" x14ac:dyDescent="0.3">
      <c r="A65">
        <v>0</v>
      </c>
      <c r="B65" t="s">
        <v>312</v>
      </c>
      <c r="C65" t="s">
        <v>410</v>
      </c>
      <c r="D65" t="s">
        <v>2</v>
      </c>
      <c r="E65" t="s">
        <v>410</v>
      </c>
      <c r="F65" t="s">
        <v>13</v>
      </c>
      <c r="G65" t="s">
        <v>525</v>
      </c>
    </row>
    <row r="66" spans="1:7" x14ac:dyDescent="0.3">
      <c r="A66">
        <v>0</v>
      </c>
      <c r="B66" t="s">
        <v>319</v>
      </c>
      <c r="C66" t="s">
        <v>363</v>
      </c>
      <c r="D66" t="s">
        <v>2</v>
      </c>
      <c r="E66" t="s">
        <v>363</v>
      </c>
      <c r="F66" t="s">
        <v>13</v>
      </c>
      <c r="G66" t="s">
        <v>525</v>
      </c>
    </row>
    <row r="67" spans="1:7" x14ac:dyDescent="0.3">
      <c r="A67">
        <v>0</v>
      </c>
      <c r="B67" t="s">
        <v>312</v>
      </c>
      <c r="C67" t="s">
        <v>382</v>
      </c>
      <c r="D67" t="s">
        <v>2</v>
      </c>
      <c r="E67" t="s">
        <v>382</v>
      </c>
      <c r="F67" t="s">
        <v>13</v>
      </c>
      <c r="G67" t="s">
        <v>525</v>
      </c>
    </row>
    <row r="68" spans="1:7" x14ac:dyDescent="0.3">
      <c r="A68">
        <v>0</v>
      </c>
      <c r="B68" t="s">
        <v>312</v>
      </c>
      <c r="C68" t="s">
        <v>424</v>
      </c>
      <c r="D68" t="s">
        <v>2</v>
      </c>
      <c r="E68" t="s">
        <v>424</v>
      </c>
      <c r="F68" t="s">
        <v>13</v>
      </c>
      <c r="G68" t="s">
        <v>525</v>
      </c>
    </row>
    <row r="69" spans="1:7" x14ac:dyDescent="0.3">
      <c r="A69">
        <v>0</v>
      </c>
      <c r="B69" t="s">
        <v>314</v>
      </c>
      <c r="C69" t="s">
        <v>351</v>
      </c>
      <c r="D69" t="s">
        <v>2</v>
      </c>
      <c r="E69" t="s">
        <v>351</v>
      </c>
      <c r="F69" t="s">
        <v>13</v>
      </c>
      <c r="G69" t="s">
        <v>525</v>
      </c>
    </row>
    <row r="70" spans="1:7" x14ac:dyDescent="0.3">
      <c r="A70">
        <v>0</v>
      </c>
      <c r="B70" t="s">
        <v>312</v>
      </c>
      <c r="C70" t="s">
        <v>347</v>
      </c>
      <c r="D70" t="s">
        <v>2</v>
      </c>
      <c r="E70" t="s">
        <v>347</v>
      </c>
      <c r="F70" t="s">
        <v>13</v>
      </c>
      <c r="G70" t="s">
        <v>525</v>
      </c>
    </row>
    <row r="71" spans="1:7" x14ac:dyDescent="0.3">
      <c r="A71">
        <v>0</v>
      </c>
      <c r="B71" t="s">
        <v>314</v>
      </c>
      <c r="C71" t="s">
        <v>453</v>
      </c>
      <c r="D71" t="s">
        <v>2</v>
      </c>
      <c r="E71" t="s">
        <v>453</v>
      </c>
      <c r="F71" t="s">
        <v>13</v>
      </c>
      <c r="G71" t="s">
        <v>525</v>
      </c>
    </row>
    <row r="72" spans="1:7" x14ac:dyDescent="0.3">
      <c r="A72">
        <v>0</v>
      </c>
      <c r="B72" t="s">
        <v>319</v>
      </c>
      <c r="C72" t="s">
        <v>457</v>
      </c>
      <c r="D72" t="s">
        <v>2</v>
      </c>
      <c r="E72" t="s">
        <v>457</v>
      </c>
      <c r="F72" t="s">
        <v>13</v>
      </c>
      <c r="G72" t="s">
        <v>525</v>
      </c>
    </row>
    <row r="73" spans="1:7" x14ac:dyDescent="0.3">
      <c r="A73">
        <v>0</v>
      </c>
      <c r="B73" t="s">
        <v>312</v>
      </c>
      <c r="C73" t="s">
        <v>485</v>
      </c>
      <c r="D73" t="s">
        <v>2</v>
      </c>
      <c r="E73" t="s">
        <v>485</v>
      </c>
      <c r="F73" t="s">
        <v>13</v>
      </c>
      <c r="G73" t="s">
        <v>525</v>
      </c>
    </row>
    <row r="74" spans="1:7" x14ac:dyDescent="0.3">
      <c r="A74">
        <v>0</v>
      </c>
      <c r="B74" t="s">
        <v>312</v>
      </c>
      <c r="C74" t="s">
        <v>355</v>
      </c>
      <c r="D74" t="s">
        <v>2</v>
      </c>
      <c r="E74" t="s">
        <v>355</v>
      </c>
      <c r="F74" t="s">
        <v>13</v>
      </c>
      <c r="G74" t="s">
        <v>525</v>
      </c>
    </row>
    <row r="75" spans="1:7" x14ac:dyDescent="0.3">
      <c r="A75">
        <v>0</v>
      </c>
      <c r="B75" t="s">
        <v>312</v>
      </c>
      <c r="C75" t="s">
        <v>338</v>
      </c>
      <c r="D75" t="s">
        <v>2</v>
      </c>
      <c r="E75" t="s">
        <v>338</v>
      </c>
      <c r="F75" t="s">
        <v>13</v>
      </c>
      <c r="G75" t="s">
        <v>525</v>
      </c>
    </row>
    <row r="76" spans="1:7" x14ac:dyDescent="0.3">
      <c r="A76">
        <v>0</v>
      </c>
      <c r="B76" t="s">
        <v>312</v>
      </c>
      <c r="C76" t="s">
        <v>394</v>
      </c>
      <c r="D76" t="s">
        <v>2</v>
      </c>
      <c r="E76" t="s">
        <v>394</v>
      </c>
      <c r="F76" t="s">
        <v>13</v>
      </c>
      <c r="G76" t="s">
        <v>525</v>
      </c>
    </row>
    <row r="77" spans="1:7" x14ac:dyDescent="0.3">
      <c r="A77">
        <v>0</v>
      </c>
      <c r="B77" t="s">
        <v>312</v>
      </c>
      <c r="C77" t="s">
        <v>438</v>
      </c>
      <c r="D77" t="s">
        <v>2</v>
      </c>
      <c r="E77" t="s">
        <v>438</v>
      </c>
      <c r="F77" t="s">
        <v>13</v>
      </c>
      <c r="G77" t="s">
        <v>525</v>
      </c>
    </row>
    <row r="78" spans="1:7" x14ac:dyDescent="0.3">
      <c r="A78">
        <v>0</v>
      </c>
      <c r="B78" t="s">
        <v>312</v>
      </c>
      <c r="C78" t="s">
        <v>486</v>
      </c>
      <c r="D78" t="s">
        <v>2</v>
      </c>
      <c r="E78" t="s">
        <v>486</v>
      </c>
      <c r="F78" t="s">
        <v>13</v>
      </c>
      <c r="G78" t="s">
        <v>525</v>
      </c>
    </row>
    <row r="79" spans="1:7" x14ac:dyDescent="0.3">
      <c r="A79">
        <v>0</v>
      </c>
      <c r="B79" t="s">
        <v>319</v>
      </c>
      <c r="C79" t="s">
        <v>419</v>
      </c>
      <c r="D79" t="s">
        <v>2</v>
      </c>
      <c r="E79" t="s">
        <v>419</v>
      </c>
      <c r="F79" t="s">
        <v>13</v>
      </c>
      <c r="G79" t="s">
        <v>525</v>
      </c>
    </row>
    <row r="80" spans="1:7" x14ac:dyDescent="0.3">
      <c r="A80">
        <v>0</v>
      </c>
      <c r="B80" t="s">
        <v>57</v>
      </c>
      <c r="C80" t="s">
        <v>353</v>
      </c>
      <c r="D80" t="s">
        <v>2</v>
      </c>
      <c r="E80" t="s">
        <v>353</v>
      </c>
      <c r="F80" t="s">
        <v>13</v>
      </c>
      <c r="G80" t="s">
        <v>525</v>
      </c>
    </row>
    <row r="81" spans="1:7" x14ac:dyDescent="0.3">
      <c r="A81">
        <v>0</v>
      </c>
      <c r="B81" t="s">
        <v>319</v>
      </c>
      <c r="C81" t="s">
        <v>489</v>
      </c>
      <c r="D81" t="s">
        <v>2</v>
      </c>
      <c r="E81" t="s">
        <v>489</v>
      </c>
      <c r="F81" t="s">
        <v>13</v>
      </c>
      <c r="G81" t="s">
        <v>525</v>
      </c>
    </row>
    <row r="82" spans="1:7" x14ac:dyDescent="0.3">
      <c r="A82">
        <v>0</v>
      </c>
      <c r="B82" t="s">
        <v>312</v>
      </c>
      <c r="C82" t="s">
        <v>386</v>
      </c>
      <c r="D82" t="s">
        <v>2</v>
      </c>
      <c r="E82" t="s">
        <v>386</v>
      </c>
      <c r="F82" t="s">
        <v>13</v>
      </c>
      <c r="G82" t="s">
        <v>525</v>
      </c>
    </row>
    <row r="83" spans="1:7" x14ac:dyDescent="0.3">
      <c r="A83">
        <v>0</v>
      </c>
      <c r="B83" t="s">
        <v>319</v>
      </c>
      <c r="C83" t="s">
        <v>389</v>
      </c>
      <c r="D83" t="s">
        <v>2</v>
      </c>
      <c r="E83" t="s">
        <v>389</v>
      </c>
      <c r="F83" t="s">
        <v>13</v>
      </c>
      <c r="G83" t="s">
        <v>525</v>
      </c>
    </row>
    <row r="84" spans="1:7" x14ac:dyDescent="0.3">
      <c r="A84">
        <v>0</v>
      </c>
      <c r="B84" t="s">
        <v>312</v>
      </c>
      <c r="C84" t="s">
        <v>340</v>
      </c>
      <c r="D84" t="s">
        <v>2</v>
      </c>
      <c r="E84" t="s">
        <v>340</v>
      </c>
      <c r="F84" t="s">
        <v>13</v>
      </c>
      <c r="G84" t="s">
        <v>525</v>
      </c>
    </row>
    <row r="85" spans="1:7" x14ac:dyDescent="0.3">
      <c r="A85">
        <v>0</v>
      </c>
      <c r="B85" t="s">
        <v>312</v>
      </c>
      <c r="C85" t="s">
        <v>368</v>
      </c>
      <c r="D85" t="s">
        <v>2</v>
      </c>
      <c r="E85" t="s">
        <v>368</v>
      </c>
      <c r="F85" t="s">
        <v>13</v>
      </c>
      <c r="G85" t="s">
        <v>525</v>
      </c>
    </row>
    <row r="86" spans="1:7" x14ac:dyDescent="0.3">
      <c r="A86">
        <v>0</v>
      </c>
      <c r="B86" t="s">
        <v>312</v>
      </c>
      <c r="C86" t="s">
        <v>328</v>
      </c>
      <c r="D86" t="s">
        <v>2</v>
      </c>
      <c r="E86" t="s">
        <v>328</v>
      </c>
      <c r="F86" t="s">
        <v>13</v>
      </c>
      <c r="G86" t="s">
        <v>525</v>
      </c>
    </row>
    <row r="87" spans="1:7" x14ac:dyDescent="0.3">
      <c r="A87">
        <v>0</v>
      </c>
      <c r="B87" t="s">
        <v>312</v>
      </c>
      <c r="C87" t="s">
        <v>479</v>
      </c>
      <c r="D87" t="s">
        <v>2</v>
      </c>
      <c r="E87" t="s">
        <v>479</v>
      </c>
      <c r="F87" t="s">
        <v>13</v>
      </c>
      <c r="G87" t="s">
        <v>525</v>
      </c>
    </row>
    <row r="88" spans="1:7" x14ac:dyDescent="0.3">
      <c r="A88">
        <v>0</v>
      </c>
      <c r="B88" t="s">
        <v>57</v>
      </c>
      <c r="C88" t="s">
        <v>116</v>
      </c>
      <c r="D88" t="s">
        <v>2</v>
      </c>
      <c r="E88" t="s">
        <v>116</v>
      </c>
      <c r="F88" t="s">
        <v>13</v>
      </c>
      <c r="G88" t="s">
        <v>525</v>
      </c>
    </row>
    <row r="89" spans="1:7" x14ac:dyDescent="0.3">
      <c r="A89">
        <v>0</v>
      </c>
      <c r="B89" t="s">
        <v>312</v>
      </c>
      <c r="C89" t="s">
        <v>352</v>
      </c>
      <c r="D89" t="s">
        <v>2</v>
      </c>
      <c r="E89" t="s">
        <v>352</v>
      </c>
      <c r="F89" t="s">
        <v>13</v>
      </c>
      <c r="G89" t="s">
        <v>525</v>
      </c>
    </row>
    <row r="90" spans="1:7" x14ac:dyDescent="0.3">
      <c r="A90">
        <v>0</v>
      </c>
      <c r="B90" t="s">
        <v>312</v>
      </c>
      <c r="C90" t="s">
        <v>417</v>
      </c>
      <c r="D90" t="s">
        <v>2</v>
      </c>
      <c r="E90" t="s">
        <v>417</v>
      </c>
      <c r="F90" t="s">
        <v>13</v>
      </c>
      <c r="G90" t="s">
        <v>525</v>
      </c>
    </row>
    <row r="91" spans="1:7" x14ac:dyDescent="0.3">
      <c r="A91">
        <v>0</v>
      </c>
      <c r="B91" t="s">
        <v>312</v>
      </c>
      <c r="C91" t="s">
        <v>447</v>
      </c>
      <c r="D91" t="s">
        <v>2</v>
      </c>
      <c r="E91" t="s">
        <v>447</v>
      </c>
      <c r="F91" t="s">
        <v>13</v>
      </c>
      <c r="G91" t="s">
        <v>525</v>
      </c>
    </row>
    <row r="92" spans="1:7" x14ac:dyDescent="0.3">
      <c r="A92">
        <v>0</v>
      </c>
      <c r="B92" t="s">
        <v>319</v>
      </c>
      <c r="C92" t="s">
        <v>329</v>
      </c>
      <c r="D92" t="s">
        <v>2</v>
      </c>
      <c r="E92" t="s">
        <v>329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252</v>
      </c>
      <c r="D93" t="s">
        <v>2</v>
      </c>
      <c r="E93" t="s">
        <v>252</v>
      </c>
      <c r="F93" t="s">
        <v>13</v>
      </c>
      <c r="G93" t="s">
        <v>525</v>
      </c>
    </row>
    <row r="94" spans="1:7" x14ac:dyDescent="0.3">
      <c r="A94">
        <v>0</v>
      </c>
      <c r="B94" t="s">
        <v>312</v>
      </c>
      <c r="C94" t="s">
        <v>317</v>
      </c>
      <c r="D94" t="s">
        <v>2</v>
      </c>
      <c r="E94" t="s">
        <v>317</v>
      </c>
      <c r="F94" t="s">
        <v>13</v>
      </c>
      <c r="G94" t="s">
        <v>525</v>
      </c>
    </row>
    <row r="95" spans="1:7" x14ac:dyDescent="0.3">
      <c r="A95">
        <v>0</v>
      </c>
      <c r="B95" t="s">
        <v>312</v>
      </c>
      <c r="C95" t="s">
        <v>436</v>
      </c>
      <c r="D95" t="s">
        <v>2</v>
      </c>
      <c r="E95" t="s">
        <v>436</v>
      </c>
      <c r="F95" t="s">
        <v>13</v>
      </c>
      <c r="G95" t="s">
        <v>525</v>
      </c>
    </row>
    <row r="96" spans="1:7" x14ac:dyDescent="0.3">
      <c r="A96">
        <v>0</v>
      </c>
      <c r="B96" t="s">
        <v>319</v>
      </c>
      <c r="C96" t="s">
        <v>490</v>
      </c>
      <c r="D96" t="s">
        <v>2</v>
      </c>
      <c r="E96" t="s">
        <v>490</v>
      </c>
      <c r="F96" t="s">
        <v>13</v>
      </c>
      <c r="G96" t="s">
        <v>525</v>
      </c>
    </row>
    <row r="97" spans="1:7" x14ac:dyDescent="0.3">
      <c r="A97">
        <v>0</v>
      </c>
      <c r="B97" t="s">
        <v>312</v>
      </c>
      <c r="C97" t="s">
        <v>391</v>
      </c>
      <c r="D97" t="s">
        <v>2</v>
      </c>
      <c r="E97" t="s">
        <v>391</v>
      </c>
      <c r="F97" t="s">
        <v>13</v>
      </c>
      <c r="G97" t="s">
        <v>525</v>
      </c>
    </row>
    <row r="98" spans="1:7" x14ac:dyDescent="0.3">
      <c r="A98">
        <v>0</v>
      </c>
      <c r="B98" t="s">
        <v>312</v>
      </c>
      <c r="C98" t="s">
        <v>235</v>
      </c>
      <c r="D98" t="s">
        <v>2</v>
      </c>
      <c r="E98" t="s">
        <v>235</v>
      </c>
      <c r="F98" t="s">
        <v>13</v>
      </c>
      <c r="G98" t="s">
        <v>525</v>
      </c>
    </row>
    <row r="99" spans="1:7" x14ac:dyDescent="0.3">
      <c r="A99">
        <v>0</v>
      </c>
      <c r="B99" t="s">
        <v>312</v>
      </c>
      <c r="C99" t="s">
        <v>493</v>
      </c>
      <c r="D99" t="s">
        <v>2</v>
      </c>
      <c r="E99" t="s">
        <v>493</v>
      </c>
      <c r="F99" t="s">
        <v>13</v>
      </c>
      <c r="G99" t="s">
        <v>525</v>
      </c>
    </row>
    <row r="100" spans="1:7" x14ac:dyDescent="0.3">
      <c r="A100">
        <v>0</v>
      </c>
      <c r="B100" t="s">
        <v>312</v>
      </c>
      <c r="C100" t="s">
        <v>335</v>
      </c>
      <c r="D100" t="s">
        <v>2</v>
      </c>
      <c r="E100" t="s">
        <v>335</v>
      </c>
      <c r="F100" t="s">
        <v>13</v>
      </c>
      <c r="G100" t="s">
        <v>525</v>
      </c>
    </row>
    <row r="101" spans="1:7" x14ac:dyDescent="0.3">
      <c r="A101">
        <v>0</v>
      </c>
      <c r="B101" t="s">
        <v>312</v>
      </c>
      <c r="C101" t="s">
        <v>354</v>
      </c>
      <c r="D101" t="s">
        <v>2</v>
      </c>
      <c r="E101" t="s">
        <v>354</v>
      </c>
      <c r="F101" t="s">
        <v>13</v>
      </c>
      <c r="G101" t="s">
        <v>525</v>
      </c>
    </row>
    <row r="102" spans="1:7" x14ac:dyDescent="0.3">
      <c r="A102">
        <v>0</v>
      </c>
      <c r="B102" t="s">
        <v>319</v>
      </c>
      <c r="C102" t="s">
        <v>360</v>
      </c>
      <c r="D102" t="s">
        <v>2</v>
      </c>
      <c r="E102" t="s">
        <v>360</v>
      </c>
      <c r="F102" t="s">
        <v>13</v>
      </c>
      <c r="G102" t="s">
        <v>525</v>
      </c>
    </row>
    <row r="103" spans="1:7" x14ac:dyDescent="0.3">
      <c r="A103">
        <v>0</v>
      </c>
      <c r="B103" t="s">
        <v>314</v>
      </c>
      <c r="C103" t="s">
        <v>356</v>
      </c>
      <c r="D103" t="s">
        <v>2</v>
      </c>
      <c r="E103" t="s">
        <v>356</v>
      </c>
      <c r="F103" t="s">
        <v>13</v>
      </c>
      <c r="G103" t="s">
        <v>525</v>
      </c>
    </row>
    <row r="104" spans="1:7" x14ac:dyDescent="0.3">
      <c r="A104">
        <v>0</v>
      </c>
      <c r="B104" t="s">
        <v>312</v>
      </c>
      <c r="C104" t="s">
        <v>405</v>
      </c>
      <c r="D104" t="s">
        <v>2</v>
      </c>
      <c r="E104" t="s">
        <v>405</v>
      </c>
      <c r="F104" t="s">
        <v>13</v>
      </c>
      <c r="G104" t="s">
        <v>525</v>
      </c>
    </row>
    <row r="105" spans="1:7" x14ac:dyDescent="0.3">
      <c r="A105">
        <v>0</v>
      </c>
      <c r="B105" t="s">
        <v>312</v>
      </c>
      <c r="C105" t="s">
        <v>471</v>
      </c>
      <c r="D105" t="s">
        <v>2</v>
      </c>
      <c r="E105" t="s">
        <v>471</v>
      </c>
      <c r="F105" t="s">
        <v>13</v>
      </c>
      <c r="G105" t="s">
        <v>525</v>
      </c>
    </row>
    <row r="106" spans="1:7" x14ac:dyDescent="0.3">
      <c r="A106">
        <v>0</v>
      </c>
      <c r="B106" t="s">
        <v>319</v>
      </c>
      <c r="C106" t="s">
        <v>421</v>
      </c>
      <c r="D106" t="s">
        <v>2</v>
      </c>
      <c r="E106" t="s">
        <v>421</v>
      </c>
      <c r="F106" t="s">
        <v>13</v>
      </c>
      <c r="G106" t="s">
        <v>525</v>
      </c>
    </row>
    <row r="107" spans="1:7" x14ac:dyDescent="0.3">
      <c r="A107">
        <v>0</v>
      </c>
      <c r="B107" t="s">
        <v>312</v>
      </c>
      <c r="C107" t="s">
        <v>321</v>
      </c>
      <c r="D107" t="s">
        <v>2</v>
      </c>
      <c r="E107" t="s">
        <v>321</v>
      </c>
      <c r="F107" t="s">
        <v>13</v>
      </c>
      <c r="G107" t="s">
        <v>525</v>
      </c>
    </row>
    <row r="108" spans="1:7" x14ac:dyDescent="0.3">
      <c r="A108">
        <v>0</v>
      </c>
      <c r="B108" t="s">
        <v>105</v>
      </c>
      <c r="C108" t="s">
        <v>113</v>
      </c>
      <c r="D108" t="s">
        <v>2</v>
      </c>
      <c r="E108" t="s">
        <v>113</v>
      </c>
      <c r="F108" t="s">
        <v>13</v>
      </c>
      <c r="G108" t="s">
        <v>525</v>
      </c>
    </row>
    <row r="109" spans="1:7" x14ac:dyDescent="0.3">
      <c r="A109">
        <v>0</v>
      </c>
      <c r="B109" t="s">
        <v>312</v>
      </c>
      <c r="C109" t="s">
        <v>348</v>
      </c>
      <c r="D109" t="s">
        <v>2</v>
      </c>
      <c r="E109" t="s">
        <v>348</v>
      </c>
      <c r="F109" t="s">
        <v>13</v>
      </c>
      <c r="G109" t="s">
        <v>525</v>
      </c>
    </row>
    <row r="110" spans="1:7" x14ac:dyDescent="0.3">
      <c r="A110">
        <v>0</v>
      </c>
      <c r="B110" t="s">
        <v>105</v>
      </c>
      <c r="C110" t="s">
        <v>469</v>
      </c>
      <c r="D110" t="s">
        <v>2</v>
      </c>
      <c r="E110" t="s">
        <v>469</v>
      </c>
      <c r="F110" t="s">
        <v>13</v>
      </c>
      <c r="G110" t="s">
        <v>525</v>
      </c>
    </row>
    <row r="111" spans="1:7" x14ac:dyDescent="0.3">
      <c r="A111">
        <v>0</v>
      </c>
      <c r="B111" t="s">
        <v>314</v>
      </c>
      <c r="C111" t="s">
        <v>481</v>
      </c>
      <c r="D111" t="s">
        <v>2</v>
      </c>
      <c r="E111" t="s">
        <v>481</v>
      </c>
      <c r="F111" t="s">
        <v>13</v>
      </c>
      <c r="G111" t="s">
        <v>525</v>
      </c>
    </row>
    <row r="112" spans="1:7" x14ac:dyDescent="0.3">
      <c r="A112">
        <v>0</v>
      </c>
      <c r="B112" t="s">
        <v>312</v>
      </c>
      <c r="C112" t="s">
        <v>398</v>
      </c>
      <c r="D112" t="s">
        <v>2</v>
      </c>
      <c r="E112" t="s">
        <v>398</v>
      </c>
      <c r="F112" t="s">
        <v>13</v>
      </c>
      <c r="G112" t="s">
        <v>525</v>
      </c>
    </row>
    <row r="113" spans="1:7" x14ac:dyDescent="0.3">
      <c r="A113">
        <v>0</v>
      </c>
      <c r="B113" t="s">
        <v>314</v>
      </c>
      <c r="C113" t="s">
        <v>342</v>
      </c>
      <c r="D113" t="s">
        <v>2</v>
      </c>
      <c r="E113" t="s">
        <v>342</v>
      </c>
      <c r="F113" t="s">
        <v>13</v>
      </c>
      <c r="G113" t="s">
        <v>525</v>
      </c>
    </row>
    <row r="114" spans="1:7" x14ac:dyDescent="0.3">
      <c r="A114">
        <v>0</v>
      </c>
      <c r="B114" t="s">
        <v>312</v>
      </c>
      <c r="C114" t="s">
        <v>322</v>
      </c>
      <c r="D114" t="s">
        <v>2</v>
      </c>
      <c r="E114" t="s">
        <v>322</v>
      </c>
      <c r="F114" t="s">
        <v>13</v>
      </c>
      <c r="G114" t="s">
        <v>525</v>
      </c>
    </row>
    <row r="115" spans="1:7" x14ac:dyDescent="0.3">
      <c r="A115">
        <v>0</v>
      </c>
      <c r="B115" t="s">
        <v>314</v>
      </c>
      <c r="C115" t="s">
        <v>409</v>
      </c>
      <c r="D115" t="s">
        <v>2</v>
      </c>
      <c r="E115" t="s">
        <v>409</v>
      </c>
      <c r="F115" t="s">
        <v>13</v>
      </c>
      <c r="G115" t="s">
        <v>525</v>
      </c>
    </row>
    <row r="116" spans="1:7" x14ac:dyDescent="0.3">
      <c r="A116">
        <v>0</v>
      </c>
      <c r="B116" t="s">
        <v>314</v>
      </c>
      <c r="C116" t="s">
        <v>480</v>
      </c>
      <c r="D116" t="s">
        <v>2</v>
      </c>
      <c r="E116" t="s">
        <v>480</v>
      </c>
      <c r="F116" t="s">
        <v>13</v>
      </c>
      <c r="G116" t="s">
        <v>525</v>
      </c>
    </row>
    <row r="117" spans="1:7" x14ac:dyDescent="0.3">
      <c r="A117">
        <v>0</v>
      </c>
      <c r="B117" t="s">
        <v>105</v>
      </c>
      <c r="C117" t="s">
        <v>121</v>
      </c>
      <c r="D117" t="s">
        <v>2</v>
      </c>
      <c r="E117" t="s">
        <v>121</v>
      </c>
      <c r="F117" t="s">
        <v>13</v>
      </c>
      <c r="G117" t="s">
        <v>525</v>
      </c>
    </row>
    <row r="118" spans="1:7" x14ac:dyDescent="0.3">
      <c r="A118">
        <v>0</v>
      </c>
      <c r="B118" t="s">
        <v>312</v>
      </c>
      <c r="C118" t="s">
        <v>359</v>
      </c>
      <c r="D118" t="s">
        <v>2</v>
      </c>
      <c r="E118" t="s">
        <v>359</v>
      </c>
      <c r="F118" t="s">
        <v>13</v>
      </c>
      <c r="G118" t="s">
        <v>525</v>
      </c>
    </row>
    <row r="119" spans="1:7" x14ac:dyDescent="0.3">
      <c r="A119">
        <v>0</v>
      </c>
      <c r="B119" t="s">
        <v>319</v>
      </c>
      <c r="C119" t="s">
        <v>468</v>
      </c>
      <c r="D119" t="s">
        <v>2</v>
      </c>
      <c r="E119" t="s">
        <v>468</v>
      </c>
      <c r="F119" t="s">
        <v>13</v>
      </c>
      <c r="G119" t="s">
        <v>525</v>
      </c>
    </row>
    <row r="120" spans="1:7" x14ac:dyDescent="0.3">
      <c r="A120">
        <v>0</v>
      </c>
      <c r="B120" t="s">
        <v>319</v>
      </c>
      <c r="C120" t="s">
        <v>458</v>
      </c>
      <c r="D120" t="s">
        <v>2</v>
      </c>
      <c r="E120" t="s">
        <v>458</v>
      </c>
      <c r="F120" t="s">
        <v>13</v>
      </c>
      <c r="G120" t="s">
        <v>525</v>
      </c>
    </row>
    <row r="121" spans="1:7" x14ac:dyDescent="0.3">
      <c r="A121">
        <v>0</v>
      </c>
      <c r="B121" t="s">
        <v>312</v>
      </c>
      <c r="C121" t="s">
        <v>370</v>
      </c>
      <c r="D121" t="s">
        <v>2</v>
      </c>
      <c r="E121" t="s">
        <v>370</v>
      </c>
      <c r="F121" t="s">
        <v>13</v>
      </c>
      <c r="G121" t="s">
        <v>525</v>
      </c>
    </row>
    <row r="122" spans="1:7" x14ac:dyDescent="0.3">
      <c r="A122">
        <v>0</v>
      </c>
      <c r="B122" t="s">
        <v>57</v>
      </c>
      <c r="C122" t="s">
        <v>114</v>
      </c>
      <c r="D122" t="s">
        <v>2</v>
      </c>
      <c r="E122" t="s">
        <v>114</v>
      </c>
      <c r="F122" t="s">
        <v>13</v>
      </c>
      <c r="G122" t="s">
        <v>525</v>
      </c>
    </row>
    <row r="123" spans="1:7" x14ac:dyDescent="0.3">
      <c r="A123">
        <v>0</v>
      </c>
      <c r="B123" t="s">
        <v>319</v>
      </c>
      <c r="C123" t="s">
        <v>404</v>
      </c>
      <c r="D123" t="s">
        <v>2</v>
      </c>
      <c r="E123" t="s">
        <v>404</v>
      </c>
      <c r="F123" t="s">
        <v>13</v>
      </c>
      <c r="G123" t="s">
        <v>525</v>
      </c>
    </row>
    <row r="124" spans="1:7" x14ac:dyDescent="0.3">
      <c r="A124">
        <v>0</v>
      </c>
      <c r="B124" t="s">
        <v>312</v>
      </c>
      <c r="C124" t="s">
        <v>369</v>
      </c>
      <c r="D124" t="s">
        <v>2</v>
      </c>
      <c r="E124" t="s">
        <v>369</v>
      </c>
      <c r="F124" t="s">
        <v>13</v>
      </c>
      <c r="G124" t="s">
        <v>525</v>
      </c>
    </row>
    <row r="125" spans="1:7" x14ac:dyDescent="0.3">
      <c r="A125">
        <v>0</v>
      </c>
      <c r="B125" t="s">
        <v>57</v>
      </c>
      <c r="C125" t="s">
        <v>122</v>
      </c>
      <c r="D125" t="s">
        <v>2</v>
      </c>
      <c r="E125" t="s">
        <v>122</v>
      </c>
      <c r="F125" t="s">
        <v>13</v>
      </c>
      <c r="G125" t="s">
        <v>525</v>
      </c>
    </row>
    <row r="126" spans="1:7" x14ac:dyDescent="0.3">
      <c r="A126">
        <v>0</v>
      </c>
      <c r="B126" t="s">
        <v>319</v>
      </c>
      <c r="C126" t="s">
        <v>390</v>
      </c>
      <c r="D126" t="s">
        <v>2</v>
      </c>
      <c r="E126" t="s">
        <v>390</v>
      </c>
      <c r="F126" t="s">
        <v>13</v>
      </c>
      <c r="G126" t="s">
        <v>525</v>
      </c>
    </row>
    <row r="127" spans="1:7" x14ac:dyDescent="0.3">
      <c r="A127">
        <v>0</v>
      </c>
      <c r="B127" t="s">
        <v>312</v>
      </c>
      <c r="C127" t="s">
        <v>492</v>
      </c>
      <c r="D127" t="s">
        <v>2</v>
      </c>
      <c r="E127" t="s">
        <v>492</v>
      </c>
      <c r="F127" t="s">
        <v>13</v>
      </c>
      <c r="G127" t="s">
        <v>525</v>
      </c>
    </row>
    <row r="128" spans="1:7" x14ac:dyDescent="0.3">
      <c r="A128">
        <v>0</v>
      </c>
      <c r="B128" t="s">
        <v>312</v>
      </c>
      <c r="C128" t="s">
        <v>345</v>
      </c>
      <c r="D128" t="s">
        <v>2</v>
      </c>
      <c r="E128" t="s">
        <v>345</v>
      </c>
      <c r="F128" t="s">
        <v>13</v>
      </c>
      <c r="G128" t="s">
        <v>525</v>
      </c>
    </row>
    <row r="129" spans="1:7" x14ac:dyDescent="0.3">
      <c r="A129">
        <v>0</v>
      </c>
      <c r="B129" t="s">
        <v>314</v>
      </c>
      <c r="C129" t="s">
        <v>374</v>
      </c>
      <c r="D129" t="s">
        <v>2</v>
      </c>
      <c r="E129" t="s">
        <v>374</v>
      </c>
      <c r="F129" t="s">
        <v>13</v>
      </c>
      <c r="G129" t="s">
        <v>525</v>
      </c>
    </row>
    <row r="130" spans="1:7" x14ac:dyDescent="0.3">
      <c r="A130">
        <v>0</v>
      </c>
      <c r="B130" t="s">
        <v>105</v>
      </c>
      <c r="C130" t="s">
        <v>124</v>
      </c>
      <c r="D130" t="s">
        <v>2</v>
      </c>
      <c r="E130" t="s">
        <v>124</v>
      </c>
      <c r="F130" t="s">
        <v>13</v>
      </c>
      <c r="G130" t="s">
        <v>525</v>
      </c>
    </row>
    <row r="131" spans="1:7" x14ac:dyDescent="0.3">
      <c r="A131">
        <v>0</v>
      </c>
      <c r="B131" t="s">
        <v>312</v>
      </c>
      <c r="C131" t="s">
        <v>440</v>
      </c>
      <c r="D131" t="s">
        <v>2</v>
      </c>
      <c r="E131" t="s">
        <v>440</v>
      </c>
      <c r="F131" t="s">
        <v>13</v>
      </c>
      <c r="G131" t="s">
        <v>525</v>
      </c>
    </row>
    <row r="132" spans="1:7" x14ac:dyDescent="0.3">
      <c r="A132">
        <v>0</v>
      </c>
      <c r="B132" t="s">
        <v>312</v>
      </c>
      <c r="C132" t="s">
        <v>316</v>
      </c>
      <c r="D132" t="s">
        <v>2</v>
      </c>
      <c r="E132" t="s">
        <v>316</v>
      </c>
      <c r="F132" t="s">
        <v>13</v>
      </c>
      <c r="G132" t="s">
        <v>525</v>
      </c>
    </row>
    <row r="133" spans="1:7" x14ac:dyDescent="0.3">
      <c r="A133">
        <v>0</v>
      </c>
      <c r="B133" t="s">
        <v>312</v>
      </c>
      <c r="C133" t="s">
        <v>427</v>
      </c>
      <c r="D133" t="s">
        <v>2</v>
      </c>
      <c r="E133" t="s">
        <v>427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332</v>
      </c>
      <c r="D134" t="s">
        <v>2</v>
      </c>
      <c r="E134" t="s">
        <v>332</v>
      </c>
      <c r="F134" t="s">
        <v>13</v>
      </c>
      <c r="G134" t="s">
        <v>525</v>
      </c>
    </row>
    <row r="135" spans="1:7" x14ac:dyDescent="0.3">
      <c r="A135">
        <v>0</v>
      </c>
      <c r="B135" t="s">
        <v>312</v>
      </c>
      <c r="C135" t="s">
        <v>336</v>
      </c>
      <c r="D135" t="s">
        <v>2</v>
      </c>
      <c r="E135" t="s">
        <v>336</v>
      </c>
      <c r="F135" t="s">
        <v>13</v>
      </c>
      <c r="G135" t="s">
        <v>525</v>
      </c>
    </row>
    <row r="136" spans="1:7" x14ac:dyDescent="0.3">
      <c r="A136">
        <v>0</v>
      </c>
      <c r="B136" t="s">
        <v>314</v>
      </c>
      <c r="C136" t="s">
        <v>393</v>
      </c>
      <c r="D136" t="s">
        <v>2</v>
      </c>
      <c r="E136" t="s">
        <v>393</v>
      </c>
      <c r="F136" t="s">
        <v>13</v>
      </c>
      <c r="G136" t="s">
        <v>525</v>
      </c>
    </row>
    <row r="137" spans="1:7" x14ac:dyDescent="0.3">
      <c r="A137">
        <v>0</v>
      </c>
      <c r="B137" t="s">
        <v>312</v>
      </c>
      <c r="C137" t="s">
        <v>339</v>
      </c>
      <c r="D137" t="s">
        <v>2</v>
      </c>
      <c r="E137" t="s">
        <v>339</v>
      </c>
      <c r="F137" t="s">
        <v>13</v>
      </c>
      <c r="G137" t="s">
        <v>525</v>
      </c>
    </row>
    <row r="138" spans="1:7" x14ac:dyDescent="0.3">
      <c r="A138">
        <v>0</v>
      </c>
      <c r="B138" t="s">
        <v>312</v>
      </c>
      <c r="C138" t="s">
        <v>400</v>
      </c>
      <c r="D138" t="s">
        <v>2</v>
      </c>
      <c r="E138" t="s">
        <v>400</v>
      </c>
      <c r="F138" t="s">
        <v>13</v>
      </c>
      <c r="G138" t="s">
        <v>525</v>
      </c>
    </row>
    <row r="139" spans="1:7" x14ac:dyDescent="0.3">
      <c r="A139">
        <v>0</v>
      </c>
      <c r="B139" t="s">
        <v>312</v>
      </c>
      <c r="C139" t="s">
        <v>380</v>
      </c>
      <c r="D139" t="s">
        <v>2</v>
      </c>
      <c r="E139" t="s">
        <v>380</v>
      </c>
      <c r="F139" t="s">
        <v>13</v>
      </c>
      <c r="G139" t="s">
        <v>525</v>
      </c>
    </row>
    <row r="140" spans="1:7" x14ac:dyDescent="0.3">
      <c r="A140">
        <v>0</v>
      </c>
      <c r="B140" t="s">
        <v>312</v>
      </c>
      <c r="C140" t="s">
        <v>442</v>
      </c>
      <c r="D140" t="s">
        <v>2</v>
      </c>
      <c r="E140" t="s">
        <v>442</v>
      </c>
      <c r="F140" t="s">
        <v>13</v>
      </c>
      <c r="G140" t="s">
        <v>525</v>
      </c>
    </row>
    <row r="141" spans="1:7" x14ac:dyDescent="0.3">
      <c r="A141">
        <v>0</v>
      </c>
      <c r="B141" t="s">
        <v>314</v>
      </c>
      <c r="C141" t="s">
        <v>349</v>
      </c>
      <c r="D141" t="s">
        <v>2</v>
      </c>
      <c r="E141" t="s">
        <v>349</v>
      </c>
      <c r="F141" t="s">
        <v>13</v>
      </c>
      <c r="G141" t="s">
        <v>525</v>
      </c>
    </row>
    <row r="142" spans="1:7" x14ac:dyDescent="0.3">
      <c r="A142">
        <v>0</v>
      </c>
      <c r="B142" t="s">
        <v>57</v>
      </c>
      <c r="C142" t="s">
        <v>470</v>
      </c>
      <c r="D142" t="s">
        <v>2</v>
      </c>
      <c r="E142" t="s">
        <v>470</v>
      </c>
      <c r="F142" t="s">
        <v>13</v>
      </c>
      <c r="G142" t="s">
        <v>525</v>
      </c>
    </row>
    <row r="143" spans="1:7" x14ac:dyDescent="0.3">
      <c r="A143">
        <v>0</v>
      </c>
      <c r="B143" t="s">
        <v>319</v>
      </c>
      <c r="C143" t="s">
        <v>463</v>
      </c>
      <c r="D143" t="s">
        <v>2</v>
      </c>
      <c r="E143" t="s">
        <v>463</v>
      </c>
      <c r="F143" t="s">
        <v>13</v>
      </c>
      <c r="G143" t="s">
        <v>525</v>
      </c>
    </row>
    <row r="144" spans="1:7" x14ac:dyDescent="0.3">
      <c r="A144">
        <v>0</v>
      </c>
      <c r="B144" t="s">
        <v>314</v>
      </c>
      <c r="C144" t="s">
        <v>343</v>
      </c>
      <c r="D144" t="s">
        <v>2</v>
      </c>
      <c r="E144" t="s">
        <v>343</v>
      </c>
      <c r="F144" t="s">
        <v>13</v>
      </c>
      <c r="G144" t="s">
        <v>525</v>
      </c>
    </row>
    <row r="145" spans="1:7" x14ac:dyDescent="0.3">
      <c r="A145">
        <v>0</v>
      </c>
      <c r="B145" t="s">
        <v>312</v>
      </c>
      <c r="C145" t="s">
        <v>371</v>
      </c>
      <c r="D145" t="s">
        <v>2</v>
      </c>
      <c r="E145" t="s">
        <v>371</v>
      </c>
      <c r="F145" t="s">
        <v>13</v>
      </c>
      <c r="G145" t="s">
        <v>525</v>
      </c>
    </row>
    <row r="146" spans="1:7" x14ac:dyDescent="0.3">
      <c r="A146">
        <v>0</v>
      </c>
      <c r="B146" t="s">
        <v>312</v>
      </c>
      <c r="C146" t="s">
        <v>366</v>
      </c>
      <c r="D146" t="s">
        <v>2</v>
      </c>
      <c r="E146" t="s">
        <v>366</v>
      </c>
      <c r="F146" t="s">
        <v>13</v>
      </c>
      <c r="G146" t="s">
        <v>525</v>
      </c>
    </row>
    <row r="147" spans="1:7" x14ac:dyDescent="0.3">
      <c r="A147">
        <v>0</v>
      </c>
      <c r="B147" t="s">
        <v>312</v>
      </c>
      <c r="C147" t="s">
        <v>384</v>
      </c>
      <c r="D147" t="s">
        <v>2</v>
      </c>
      <c r="E147" t="s">
        <v>384</v>
      </c>
      <c r="F147" t="s">
        <v>13</v>
      </c>
      <c r="G147" t="s">
        <v>525</v>
      </c>
    </row>
    <row r="148" spans="1:7" x14ac:dyDescent="0.3">
      <c r="A148">
        <v>0</v>
      </c>
      <c r="B148" t="s">
        <v>319</v>
      </c>
      <c r="C148" t="s">
        <v>464</v>
      </c>
      <c r="D148" t="s">
        <v>2</v>
      </c>
      <c r="E148" t="s">
        <v>464</v>
      </c>
      <c r="F148" t="s">
        <v>13</v>
      </c>
      <c r="G148" t="s">
        <v>525</v>
      </c>
    </row>
    <row r="149" spans="1:7" x14ac:dyDescent="0.3">
      <c r="A149">
        <v>0</v>
      </c>
      <c r="B149" t="s">
        <v>312</v>
      </c>
      <c r="C149" t="s">
        <v>323</v>
      </c>
      <c r="D149" t="s">
        <v>2</v>
      </c>
      <c r="E149" t="s">
        <v>323</v>
      </c>
      <c r="F149" t="s">
        <v>13</v>
      </c>
      <c r="G149" t="s">
        <v>525</v>
      </c>
    </row>
    <row r="150" spans="1:7" x14ac:dyDescent="0.3">
      <c r="A150">
        <v>0</v>
      </c>
      <c r="B150" t="s">
        <v>314</v>
      </c>
      <c r="C150" t="s">
        <v>414</v>
      </c>
      <c r="D150" t="s">
        <v>2</v>
      </c>
      <c r="E150" t="s">
        <v>414</v>
      </c>
      <c r="F150" t="s">
        <v>13</v>
      </c>
      <c r="G150" t="s">
        <v>525</v>
      </c>
    </row>
    <row r="151" spans="1:7" x14ac:dyDescent="0.3">
      <c r="A151">
        <v>0</v>
      </c>
      <c r="B151" t="s">
        <v>312</v>
      </c>
      <c r="C151" t="s">
        <v>261</v>
      </c>
      <c r="D151" t="s">
        <v>2</v>
      </c>
      <c r="E151" t="s">
        <v>261</v>
      </c>
      <c r="F151" t="s">
        <v>13</v>
      </c>
      <c r="G151" t="s">
        <v>525</v>
      </c>
    </row>
    <row r="152" spans="1:7" x14ac:dyDescent="0.3">
      <c r="A152">
        <v>0</v>
      </c>
      <c r="B152" t="s">
        <v>319</v>
      </c>
      <c r="C152" t="s">
        <v>364</v>
      </c>
      <c r="D152" t="s">
        <v>2</v>
      </c>
      <c r="E152" t="s">
        <v>364</v>
      </c>
      <c r="F152" t="s">
        <v>13</v>
      </c>
      <c r="G152" t="s">
        <v>525</v>
      </c>
    </row>
    <row r="153" spans="1:7" x14ac:dyDescent="0.3">
      <c r="A153">
        <v>0</v>
      </c>
      <c r="B153" t="s">
        <v>312</v>
      </c>
      <c r="C153" t="s">
        <v>373</v>
      </c>
      <c r="D153" t="s">
        <v>2</v>
      </c>
      <c r="E153" t="s">
        <v>373</v>
      </c>
      <c r="F153" t="s">
        <v>13</v>
      </c>
      <c r="G153" t="s">
        <v>525</v>
      </c>
    </row>
    <row r="154" spans="1:7" x14ac:dyDescent="0.3">
      <c r="A154">
        <v>0</v>
      </c>
      <c r="B154" t="s">
        <v>312</v>
      </c>
      <c r="C154" t="s">
        <v>482</v>
      </c>
      <c r="D154" t="s">
        <v>2</v>
      </c>
      <c r="E154" t="s">
        <v>482</v>
      </c>
      <c r="F154" t="s">
        <v>13</v>
      </c>
      <c r="G154" t="s">
        <v>525</v>
      </c>
    </row>
    <row r="155" spans="1:7" x14ac:dyDescent="0.3">
      <c r="A155">
        <v>0</v>
      </c>
      <c r="B155" t="s">
        <v>312</v>
      </c>
      <c r="C155" t="s">
        <v>412</v>
      </c>
      <c r="D155" t="s">
        <v>2</v>
      </c>
      <c r="E155" t="s">
        <v>412</v>
      </c>
      <c r="F155" t="s">
        <v>13</v>
      </c>
      <c r="G155" t="s">
        <v>525</v>
      </c>
    </row>
    <row r="156" spans="1:7" x14ac:dyDescent="0.3">
      <c r="A156">
        <v>0</v>
      </c>
      <c r="B156" t="s">
        <v>312</v>
      </c>
      <c r="C156" t="s">
        <v>434</v>
      </c>
      <c r="D156" t="s">
        <v>2</v>
      </c>
      <c r="E156" t="s">
        <v>434</v>
      </c>
      <c r="F156" t="s">
        <v>13</v>
      </c>
      <c r="G156" t="s">
        <v>525</v>
      </c>
    </row>
    <row r="157" spans="1:7" x14ac:dyDescent="0.3">
      <c r="A157">
        <v>0</v>
      </c>
      <c r="B157" t="s">
        <v>314</v>
      </c>
      <c r="C157" t="s">
        <v>443</v>
      </c>
      <c r="D157" t="s">
        <v>2</v>
      </c>
      <c r="E157" t="s">
        <v>443</v>
      </c>
      <c r="F157" t="s">
        <v>13</v>
      </c>
      <c r="G157" t="s">
        <v>525</v>
      </c>
    </row>
    <row r="158" spans="1:7" x14ac:dyDescent="0.3">
      <c r="A158">
        <v>0</v>
      </c>
      <c r="B158" t="s">
        <v>319</v>
      </c>
      <c r="C158" t="s">
        <v>430</v>
      </c>
      <c r="D158" t="s">
        <v>2</v>
      </c>
      <c r="E158" t="s">
        <v>430</v>
      </c>
      <c r="F158" t="s">
        <v>13</v>
      </c>
      <c r="G158" t="s">
        <v>525</v>
      </c>
    </row>
    <row r="159" spans="1:7" x14ac:dyDescent="0.3">
      <c r="A159">
        <v>0</v>
      </c>
      <c r="B159" t="s">
        <v>314</v>
      </c>
      <c r="C159" t="s">
        <v>408</v>
      </c>
      <c r="D159" t="s">
        <v>2</v>
      </c>
      <c r="E159" t="s">
        <v>408</v>
      </c>
      <c r="F159" t="s">
        <v>13</v>
      </c>
      <c r="G159" t="s">
        <v>525</v>
      </c>
    </row>
    <row r="160" spans="1:7" x14ac:dyDescent="0.3">
      <c r="A160">
        <v>0</v>
      </c>
      <c r="B160" t="s">
        <v>312</v>
      </c>
      <c r="C160" t="s">
        <v>138</v>
      </c>
      <c r="D160" t="s">
        <v>2</v>
      </c>
      <c r="E160" t="s">
        <v>138</v>
      </c>
      <c r="F160" t="s">
        <v>13</v>
      </c>
      <c r="G160" t="s">
        <v>525</v>
      </c>
    </row>
    <row r="161" spans="1:7" x14ac:dyDescent="0.3">
      <c r="A161">
        <v>0</v>
      </c>
      <c r="B161" t="s">
        <v>312</v>
      </c>
      <c r="C161" t="s">
        <v>275</v>
      </c>
      <c r="D161" t="s">
        <v>2</v>
      </c>
      <c r="E161" t="s">
        <v>275</v>
      </c>
      <c r="F161" t="s">
        <v>13</v>
      </c>
      <c r="G161" t="s">
        <v>525</v>
      </c>
    </row>
    <row r="162" spans="1:7" x14ac:dyDescent="0.3">
      <c r="A162">
        <v>0</v>
      </c>
      <c r="B162" t="s">
        <v>312</v>
      </c>
      <c r="C162" t="s">
        <v>337</v>
      </c>
      <c r="D162" t="s">
        <v>2</v>
      </c>
      <c r="E162" t="s">
        <v>337</v>
      </c>
      <c r="F162" t="s">
        <v>13</v>
      </c>
      <c r="G162" t="s">
        <v>525</v>
      </c>
    </row>
    <row r="163" spans="1:7" x14ac:dyDescent="0.3">
      <c r="A163">
        <v>0</v>
      </c>
      <c r="B163" t="s">
        <v>312</v>
      </c>
      <c r="C163" t="s">
        <v>331</v>
      </c>
      <c r="D163" t="s">
        <v>2</v>
      </c>
      <c r="E163" t="s">
        <v>331</v>
      </c>
      <c r="F163" t="s">
        <v>13</v>
      </c>
      <c r="G163" t="s">
        <v>525</v>
      </c>
    </row>
    <row r="164" spans="1:7" x14ac:dyDescent="0.3">
      <c r="A164">
        <v>0</v>
      </c>
      <c r="B164" t="s">
        <v>312</v>
      </c>
      <c r="C164" t="s">
        <v>452</v>
      </c>
      <c r="D164" t="s">
        <v>2</v>
      </c>
      <c r="E164" t="s">
        <v>452</v>
      </c>
      <c r="F164" t="s">
        <v>13</v>
      </c>
      <c r="G164" t="s">
        <v>525</v>
      </c>
    </row>
    <row r="165" spans="1:7" x14ac:dyDescent="0.3">
      <c r="A165">
        <v>0</v>
      </c>
      <c r="B165" t="s">
        <v>319</v>
      </c>
      <c r="C165" t="s">
        <v>477</v>
      </c>
      <c r="D165" t="s">
        <v>2</v>
      </c>
      <c r="E165" t="s">
        <v>477</v>
      </c>
      <c r="F165" t="s">
        <v>13</v>
      </c>
      <c r="G165" t="s">
        <v>525</v>
      </c>
    </row>
    <row r="166" spans="1:7" x14ac:dyDescent="0.3">
      <c r="A166">
        <v>0</v>
      </c>
      <c r="B166" t="s">
        <v>312</v>
      </c>
      <c r="C166" t="s">
        <v>446</v>
      </c>
      <c r="D166" t="s">
        <v>2</v>
      </c>
      <c r="E166" t="s">
        <v>446</v>
      </c>
      <c r="F166" t="s">
        <v>13</v>
      </c>
      <c r="G166" t="s">
        <v>525</v>
      </c>
    </row>
    <row r="167" spans="1:7" x14ac:dyDescent="0.3">
      <c r="A167">
        <v>0</v>
      </c>
      <c r="B167" t="s">
        <v>319</v>
      </c>
      <c r="C167" t="s">
        <v>491</v>
      </c>
      <c r="D167" t="s">
        <v>2</v>
      </c>
      <c r="E167" t="s">
        <v>491</v>
      </c>
      <c r="F167" t="s">
        <v>13</v>
      </c>
      <c r="G167" t="s">
        <v>525</v>
      </c>
    </row>
    <row r="168" spans="1:7" x14ac:dyDescent="0.3">
      <c r="A168">
        <v>0</v>
      </c>
      <c r="B168" t="s">
        <v>312</v>
      </c>
      <c r="C168" t="s">
        <v>326</v>
      </c>
      <c r="D168" t="s">
        <v>2</v>
      </c>
      <c r="E168" t="s">
        <v>326</v>
      </c>
      <c r="F168" t="s">
        <v>13</v>
      </c>
      <c r="G168" t="s">
        <v>525</v>
      </c>
    </row>
    <row r="169" spans="1:7" x14ac:dyDescent="0.3">
      <c r="A169">
        <v>0</v>
      </c>
      <c r="B169" t="s">
        <v>319</v>
      </c>
      <c r="C169" t="s">
        <v>415</v>
      </c>
      <c r="D169" t="s">
        <v>2</v>
      </c>
      <c r="E169" t="s">
        <v>415</v>
      </c>
      <c r="F169" t="s">
        <v>13</v>
      </c>
      <c r="G169" t="s">
        <v>525</v>
      </c>
    </row>
    <row r="170" spans="1:7" x14ac:dyDescent="0.3">
      <c r="A170">
        <v>0</v>
      </c>
      <c r="B170" t="s">
        <v>314</v>
      </c>
      <c r="C170" t="s">
        <v>451</v>
      </c>
      <c r="D170" t="s">
        <v>2</v>
      </c>
      <c r="E170" t="s">
        <v>451</v>
      </c>
      <c r="F170" t="s">
        <v>13</v>
      </c>
      <c r="G170" t="s">
        <v>525</v>
      </c>
    </row>
    <row r="171" spans="1:7" x14ac:dyDescent="0.3">
      <c r="A171">
        <v>0</v>
      </c>
      <c r="B171" t="s">
        <v>314</v>
      </c>
      <c r="C171" t="s">
        <v>448</v>
      </c>
      <c r="D171" t="s">
        <v>2</v>
      </c>
      <c r="E171" t="s">
        <v>448</v>
      </c>
      <c r="F171" t="s">
        <v>13</v>
      </c>
      <c r="G171" t="s">
        <v>525</v>
      </c>
    </row>
    <row r="172" spans="1:7" x14ac:dyDescent="0.3">
      <c r="A172">
        <v>0</v>
      </c>
      <c r="B172" t="s">
        <v>312</v>
      </c>
      <c r="C172" t="s">
        <v>423</v>
      </c>
      <c r="D172" t="s">
        <v>2</v>
      </c>
      <c r="E172" t="s">
        <v>423</v>
      </c>
      <c r="F172" t="s">
        <v>13</v>
      </c>
      <c r="G172" t="s">
        <v>525</v>
      </c>
    </row>
    <row r="173" spans="1:7" x14ac:dyDescent="0.3">
      <c r="A173">
        <v>0</v>
      </c>
      <c r="B173" t="s">
        <v>319</v>
      </c>
      <c r="C173" t="s">
        <v>361</v>
      </c>
      <c r="D173" t="s">
        <v>2</v>
      </c>
      <c r="E173" t="s">
        <v>361</v>
      </c>
      <c r="F173" t="s">
        <v>13</v>
      </c>
      <c r="G173" t="s">
        <v>525</v>
      </c>
    </row>
    <row r="174" spans="1:7" x14ac:dyDescent="0.3">
      <c r="A174">
        <v>0</v>
      </c>
      <c r="B174" t="s">
        <v>314</v>
      </c>
      <c r="C174" t="s">
        <v>467</v>
      </c>
      <c r="D174" t="s">
        <v>2</v>
      </c>
      <c r="E174" t="s">
        <v>467</v>
      </c>
      <c r="F174" t="s">
        <v>13</v>
      </c>
      <c r="G174" t="s">
        <v>525</v>
      </c>
    </row>
    <row r="175" spans="1:7" x14ac:dyDescent="0.3">
      <c r="A175">
        <v>0</v>
      </c>
      <c r="B175" t="s">
        <v>319</v>
      </c>
      <c r="C175" t="s">
        <v>420</v>
      </c>
      <c r="D175" t="s">
        <v>2</v>
      </c>
      <c r="E175" t="s">
        <v>420</v>
      </c>
      <c r="F175" t="s">
        <v>13</v>
      </c>
      <c r="G175" t="s">
        <v>525</v>
      </c>
    </row>
    <row r="176" spans="1:7" x14ac:dyDescent="0.3">
      <c r="A176">
        <v>0</v>
      </c>
      <c r="B176" t="s">
        <v>314</v>
      </c>
      <c r="C176" t="s">
        <v>487</v>
      </c>
      <c r="D176" t="s">
        <v>2</v>
      </c>
      <c r="E176" t="s">
        <v>487</v>
      </c>
      <c r="F176" t="s">
        <v>13</v>
      </c>
      <c r="G176" t="s">
        <v>525</v>
      </c>
    </row>
    <row r="177" spans="1:7" x14ac:dyDescent="0.3">
      <c r="A177">
        <v>0</v>
      </c>
      <c r="B177" t="s">
        <v>312</v>
      </c>
      <c r="C177" t="s">
        <v>149</v>
      </c>
      <c r="D177" t="s">
        <v>2</v>
      </c>
      <c r="E177" t="s">
        <v>149</v>
      </c>
      <c r="F177" t="s">
        <v>13</v>
      </c>
      <c r="G177" t="s">
        <v>525</v>
      </c>
    </row>
    <row r="178" spans="1:7" x14ac:dyDescent="0.3">
      <c r="A178">
        <v>0</v>
      </c>
      <c r="B178" t="s">
        <v>314</v>
      </c>
      <c r="C178" t="s">
        <v>377</v>
      </c>
      <c r="D178" t="s">
        <v>2</v>
      </c>
      <c r="E178" t="s">
        <v>377</v>
      </c>
      <c r="F178" t="s">
        <v>13</v>
      </c>
      <c r="G178" t="s">
        <v>525</v>
      </c>
    </row>
    <row r="179" spans="1:7" x14ac:dyDescent="0.3">
      <c r="A179">
        <v>0</v>
      </c>
      <c r="B179" t="s">
        <v>312</v>
      </c>
      <c r="C179" t="s">
        <v>403</v>
      </c>
      <c r="D179" t="s">
        <v>2</v>
      </c>
      <c r="E179" t="s">
        <v>403</v>
      </c>
      <c r="F179" t="s">
        <v>13</v>
      </c>
      <c r="G179" t="s">
        <v>525</v>
      </c>
    </row>
    <row r="180" spans="1:7" x14ac:dyDescent="0.3">
      <c r="A180">
        <v>0</v>
      </c>
      <c r="B180" t="s">
        <v>312</v>
      </c>
      <c r="C180" t="s">
        <v>387</v>
      </c>
      <c r="D180" t="s">
        <v>2</v>
      </c>
      <c r="E180" t="s">
        <v>387</v>
      </c>
      <c r="F180" t="s">
        <v>13</v>
      </c>
      <c r="G180" t="s">
        <v>525</v>
      </c>
    </row>
    <row r="181" spans="1:7" x14ac:dyDescent="0.3">
      <c r="A181">
        <v>0</v>
      </c>
      <c r="B181" t="s">
        <v>312</v>
      </c>
      <c r="C181" t="s">
        <v>431</v>
      </c>
      <c r="D181" t="s">
        <v>2</v>
      </c>
      <c r="E181" t="s">
        <v>431</v>
      </c>
      <c r="F181" t="s">
        <v>13</v>
      </c>
      <c r="G181" t="s">
        <v>525</v>
      </c>
    </row>
    <row r="182" spans="1:7" x14ac:dyDescent="0.3">
      <c r="A182">
        <v>0</v>
      </c>
      <c r="B182" t="s">
        <v>319</v>
      </c>
      <c r="C182" t="s">
        <v>459</v>
      </c>
      <c r="D182" t="s">
        <v>2</v>
      </c>
      <c r="E182" t="s">
        <v>459</v>
      </c>
      <c r="F182" t="s">
        <v>13</v>
      </c>
      <c r="G182" t="s">
        <v>525</v>
      </c>
    </row>
    <row r="183" spans="1:7" x14ac:dyDescent="0.3">
      <c r="A183">
        <v>0</v>
      </c>
      <c r="B183" t="s">
        <v>314</v>
      </c>
      <c r="C183" t="s">
        <v>376</v>
      </c>
      <c r="D183" t="s">
        <v>2</v>
      </c>
      <c r="E183" t="s">
        <v>376</v>
      </c>
      <c r="F183" t="s">
        <v>13</v>
      </c>
      <c r="G183" t="s">
        <v>525</v>
      </c>
    </row>
    <row r="184" spans="1:7" x14ac:dyDescent="0.3">
      <c r="A184">
        <v>0</v>
      </c>
      <c r="B184" t="s">
        <v>312</v>
      </c>
      <c r="C184" t="s">
        <v>379</v>
      </c>
      <c r="D184" t="s">
        <v>2</v>
      </c>
      <c r="E184" t="s">
        <v>379</v>
      </c>
      <c r="F184" t="s">
        <v>13</v>
      </c>
      <c r="G184" t="s">
        <v>525</v>
      </c>
    </row>
    <row r="185" spans="1:7" x14ac:dyDescent="0.3">
      <c r="A185">
        <v>0</v>
      </c>
      <c r="B185" t="s">
        <v>314</v>
      </c>
      <c r="C185" t="s">
        <v>445</v>
      </c>
      <c r="D185" t="s">
        <v>2</v>
      </c>
      <c r="E185" t="s">
        <v>445</v>
      </c>
      <c r="F185" t="s">
        <v>13</v>
      </c>
      <c r="G185" t="s">
        <v>525</v>
      </c>
    </row>
    <row r="186" spans="1:7" x14ac:dyDescent="0.3">
      <c r="A186">
        <v>0</v>
      </c>
      <c r="B186" t="s">
        <v>319</v>
      </c>
      <c r="C186" t="s">
        <v>460</v>
      </c>
      <c r="D186" t="s">
        <v>2</v>
      </c>
      <c r="E186" t="s">
        <v>460</v>
      </c>
      <c r="F186" t="s">
        <v>13</v>
      </c>
      <c r="G186" t="s">
        <v>525</v>
      </c>
    </row>
    <row r="187" spans="1:7" x14ac:dyDescent="0.3">
      <c r="A187">
        <v>0</v>
      </c>
      <c r="B187" t="s">
        <v>314</v>
      </c>
      <c r="C187" t="s">
        <v>450</v>
      </c>
      <c r="D187" t="s">
        <v>2</v>
      </c>
      <c r="E187" t="s">
        <v>450</v>
      </c>
      <c r="F187" t="s">
        <v>13</v>
      </c>
      <c r="G187" t="s">
        <v>525</v>
      </c>
    </row>
    <row r="188" spans="1:7" x14ac:dyDescent="0.3">
      <c r="A188">
        <v>0</v>
      </c>
      <c r="B188" t="s">
        <v>312</v>
      </c>
      <c r="C188" t="s">
        <v>473</v>
      </c>
      <c r="D188" t="s">
        <v>2</v>
      </c>
      <c r="E188" t="s">
        <v>473</v>
      </c>
      <c r="F188" t="s">
        <v>13</v>
      </c>
      <c r="G188" t="s">
        <v>525</v>
      </c>
    </row>
    <row r="189" spans="1:7" x14ac:dyDescent="0.3">
      <c r="A189">
        <v>0</v>
      </c>
      <c r="B189" t="s">
        <v>314</v>
      </c>
      <c r="C189" t="s">
        <v>313</v>
      </c>
      <c r="D189" t="s">
        <v>2</v>
      </c>
      <c r="E189" t="s">
        <v>313</v>
      </c>
      <c r="F189" t="s">
        <v>13</v>
      </c>
      <c r="G189" t="s">
        <v>525</v>
      </c>
    </row>
    <row r="190" spans="1:7" x14ac:dyDescent="0.3">
      <c r="A190">
        <v>0</v>
      </c>
      <c r="B190" t="s">
        <v>312</v>
      </c>
      <c r="C190" t="s">
        <v>472</v>
      </c>
      <c r="D190" t="s">
        <v>2</v>
      </c>
      <c r="E190" t="s">
        <v>472</v>
      </c>
      <c r="F190" t="s">
        <v>13</v>
      </c>
      <c r="G190" t="s">
        <v>525</v>
      </c>
    </row>
    <row r="191" spans="1:7" x14ac:dyDescent="0.3">
      <c r="A191">
        <v>0</v>
      </c>
      <c r="B191" t="s">
        <v>312</v>
      </c>
      <c r="C191" t="s">
        <v>402</v>
      </c>
      <c r="D191" t="s">
        <v>2</v>
      </c>
      <c r="E191" t="s">
        <v>402</v>
      </c>
      <c r="F191" t="s">
        <v>13</v>
      </c>
      <c r="G191" t="s">
        <v>525</v>
      </c>
    </row>
    <row r="192" spans="1:7" x14ac:dyDescent="0.3">
      <c r="A192">
        <v>0</v>
      </c>
      <c r="B192" t="s">
        <v>314</v>
      </c>
      <c r="C192" t="s">
        <v>455</v>
      </c>
      <c r="D192" t="s">
        <v>2</v>
      </c>
      <c r="E192" t="s">
        <v>455</v>
      </c>
      <c r="F192" t="s">
        <v>13</v>
      </c>
      <c r="G192" t="s">
        <v>525</v>
      </c>
    </row>
    <row r="193" spans="1:7" x14ac:dyDescent="0.3">
      <c r="A193">
        <v>0</v>
      </c>
      <c r="B193" t="s">
        <v>312</v>
      </c>
      <c r="C193" t="s">
        <v>411</v>
      </c>
      <c r="D193" t="s">
        <v>2</v>
      </c>
      <c r="E193" t="s">
        <v>411</v>
      </c>
      <c r="F193" t="s">
        <v>13</v>
      </c>
      <c r="G193" t="s">
        <v>525</v>
      </c>
    </row>
    <row r="194" spans="1:7" x14ac:dyDescent="0.3">
      <c r="A194">
        <v>0</v>
      </c>
      <c r="B194" t="s">
        <v>312</v>
      </c>
      <c r="C194" t="s">
        <v>488</v>
      </c>
      <c r="D194" t="s">
        <v>2</v>
      </c>
      <c r="E194" t="s">
        <v>488</v>
      </c>
      <c r="F194" t="s">
        <v>13</v>
      </c>
      <c r="G194" t="s">
        <v>525</v>
      </c>
    </row>
    <row r="195" spans="1:7" x14ac:dyDescent="0.3">
      <c r="A195">
        <v>0</v>
      </c>
      <c r="B195" t="s">
        <v>319</v>
      </c>
      <c r="C195" t="s">
        <v>462</v>
      </c>
      <c r="D195" t="s">
        <v>2</v>
      </c>
      <c r="E195" t="s">
        <v>462</v>
      </c>
      <c r="F195" t="s">
        <v>13</v>
      </c>
      <c r="G195" t="s">
        <v>525</v>
      </c>
    </row>
    <row r="196" spans="1:7" x14ac:dyDescent="0.3">
      <c r="A196">
        <v>0</v>
      </c>
      <c r="B196" t="s">
        <v>312</v>
      </c>
      <c r="C196" t="s">
        <v>246</v>
      </c>
      <c r="D196" t="s">
        <v>2</v>
      </c>
      <c r="E196" t="s">
        <v>246</v>
      </c>
      <c r="F196" t="s">
        <v>13</v>
      </c>
      <c r="G196" t="s">
        <v>525</v>
      </c>
    </row>
    <row r="197" spans="1:7" x14ac:dyDescent="0.3">
      <c r="A197">
        <v>0</v>
      </c>
      <c r="B197" t="s">
        <v>312</v>
      </c>
      <c r="C197" t="s">
        <v>357</v>
      </c>
      <c r="D197" t="s">
        <v>2</v>
      </c>
      <c r="E197" t="s">
        <v>357</v>
      </c>
      <c r="F197" t="s">
        <v>13</v>
      </c>
      <c r="G197" t="s">
        <v>525</v>
      </c>
    </row>
    <row r="198" spans="1:7" x14ac:dyDescent="0.3">
      <c r="A198">
        <v>0</v>
      </c>
      <c r="B198" t="s">
        <v>314</v>
      </c>
      <c r="C198" t="s">
        <v>341</v>
      </c>
      <c r="D198" t="s">
        <v>2</v>
      </c>
      <c r="E198" t="s">
        <v>341</v>
      </c>
      <c r="F198" t="s">
        <v>13</v>
      </c>
      <c r="G198" t="s">
        <v>525</v>
      </c>
    </row>
    <row r="199" spans="1:7" x14ac:dyDescent="0.3">
      <c r="A199">
        <v>0</v>
      </c>
      <c r="B199" t="s">
        <v>319</v>
      </c>
      <c r="C199" t="s">
        <v>466</v>
      </c>
      <c r="D199" t="s">
        <v>2</v>
      </c>
      <c r="E199" t="s">
        <v>466</v>
      </c>
      <c r="F199" t="s">
        <v>13</v>
      </c>
      <c r="G199" t="s">
        <v>525</v>
      </c>
    </row>
    <row r="200" spans="1:7" x14ac:dyDescent="0.3">
      <c r="A200">
        <v>0</v>
      </c>
      <c r="B200" t="s">
        <v>319</v>
      </c>
      <c r="C200" t="s">
        <v>362</v>
      </c>
      <c r="D200" t="s">
        <v>2</v>
      </c>
      <c r="E200" t="s">
        <v>362</v>
      </c>
      <c r="F200" t="s">
        <v>13</v>
      </c>
      <c r="G200" t="s">
        <v>525</v>
      </c>
    </row>
    <row r="201" spans="1:7" x14ac:dyDescent="0.3">
      <c r="A201">
        <v>0</v>
      </c>
      <c r="B201" t="s">
        <v>312</v>
      </c>
      <c r="C201" t="s">
        <v>433</v>
      </c>
      <c r="D201" t="s">
        <v>2</v>
      </c>
      <c r="E201" t="s">
        <v>433</v>
      </c>
      <c r="F201" t="s">
        <v>13</v>
      </c>
      <c r="G201" t="s">
        <v>525</v>
      </c>
    </row>
    <row r="202" spans="1:7" x14ac:dyDescent="0.3">
      <c r="A202">
        <v>0</v>
      </c>
      <c r="B202" t="s">
        <v>312</v>
      </c>
      <c r="C202" t="s">
        <v>397</v>
      </c>
      <c r="D202" t="s">
        <v>2</v>
      </c>
      <c r="E202" t="s">
        <v>397</v>
      </c>
      <c r="F202" t="s">
        <v>13</v>
      </c>
      <c r="G202" t="s">
        <v>525</v>
      </c>
    </row>
    <row r="203" spans="1:7" x14ac:dyDescent="0.3">
      <c r="A203">
        <v>0</v>
      </c>
      <c r="B203" t="s">
        <v>319</v>
      </c>
      <c r="C203" t="s">
        <v>378</v>
      </c>
      <c r="D203" t="s">
        <v>2</v>
      </c>
      <c r="E203" t="s">
        <v>378</v>
      </c>
      <c r="F203" t="s">
        <v>13</v>
      </c>
      <c r="G203" t="s">
        <v>525</v>
      </c>
    </row>
    <row r="204" spans="1:7" x14ac:dyDescent="0.3">
      <c r="A204">
        <v>0</v>
      </c>
      <c r="B204" t="s">
        <v>105</v>
      </c>
      <c r="C204" t="s">
        <v>117</v>
      </c>
      <c r="D204" t="s">
        <v>2</v>
      </c>
      <c r="E204" t="s">
        <v>117</v>
      </c>
      <c r="F204" t="s">
        <v>13</v>
      </c>
      <c r="G204" t="s">
        <v>525</v>
      </c>
    </row>
    <row r="205" spans="1:7" x14ac:dyDescent="0.3">
      <c r="A205">
        <v>0</v>
      </c>
      <c r="B205" t="s">
        <v>312</v>
      </c>
      <c r="C205" t="s">
        <v>476</v>
      </c>
      <c r="D205" t="s">
        <v>2</v>
      </c>
      <c r="E205" t="s">
        <v>476</v>
      </c>
      <c r="F205" t="s">
        <v>13</v>
      </c>
      <c r="G205" t="s">
        <v>525</v>
      </c>
    </row>
    <row r="206" spans="1:7" x14ac:dyDescent="0.3">
      <c r="A206">
        <v>0</v>
      </c>
      <c r="B206" t="s">
        <v>319</v>
      </c>
      <c r="C206" t="s">
        <v>478</v>
      </c>
      <c r="D206" t="s">
        <v>2</v>
      </c>
      <c r="E206" t="s">
        <v>478</v>
      </c>
      <c r="F206" t="s">
        <v>13</v>
      </c>
      <c r="G206" t="s">
        <v>525</v>
      </c>
    </row>
    <row r="207" spans="1:7" x14ac:dyDescent="0.3">
      <c r="A207">
        <v>0</v>
      </c>
      <c r="B207" t="s">
        <v>312</v>
      </c>
      <c r="C207" t="s">
        <v>367</v>
      </c>
      <c r="D207" t="s">
        <v>2</v>
      </c>
      <c r="E207" t="s">
        <v>367</v>
      </c>
      <c r="F207" t="s">
        <v>13</v>
      </c>
      <c r="G207" t="s">
        <v>525</v>
      </c>
    </row>
    <row r="208" spans="1:7" x14ac:dyDescent="0.3">
      <c r="A208">
        <v>0</v>
      </c>
      <c r="B208" t="s">
        <v>312</v>
      </c>
      <c r="C208" t="s">
        <v>346</v>
      </c>
      <c r="D208" t="s">
        <v>2</v>
      </c>
      <c r="E208" t="s">
        <v>346</v>
      </c>
      <c r="F208" t="s">
        <v>13</v>
      </c>
      <c r="G208" t="s">
        <v>525</v>
      </c>
    </row>
    <row r="209" spans="1:7" x14ac:dyDescent="0.3">
      <c r="A209">
        <v>0</v>
      </c>
      <c r="B209" t="s">
        <v>105</v>
      </c>
      <c r="C209" t="s">
        <v>119</v>
      </c>
      <c r="D209" t="s">
        <v>2</v>
      </c>
      <c r="E209" t="s">
        <v>119</v>
      </c>
      <c r="F209" t="s">
        <v>13</v>
      </c>
      <c r="G209" t="s">
        <v>525</v>
      </c>
    </row>
    <row r="210" spans="1:7" x14ac:dyDescent="0.3">
      <c r="A210">
        <v>0</v>
      </c>
      <c r="B210" t="s">
        <v>312</v>
      </c>
      <c r="C210" t="s">
        <v>385</v>
      </c>
      <c r="D210" t="s">
        <v>2</v>
      </c>
      <c r="E210" t="s">
        <v>385</v>
      </c>
      <c r="F210" t="s">
        <v>13</v>
      </c>
      <c r="G210" t="s">
        <v>525</v>
      </c>
    </row>
    <row r="211" spans="1:7" x14ac:dyDescent="0.3">
      <c r="A211">
        <v>0</v>
      </c>
      <c r="B211" t="s">
        <v>57</v>
      </c>
      <c r="C211" t="s">
        <v>120</v>
      </c>
      <c r="D211" t="s">
        <v>2</v>
      </c>
      <c r="E211" t="s">
        <v>120</v>
      </c>
      <c r="F211" t="s">
        <v>13</v>
      </c>
      <c r="G211" t="s">
        <v>525</v>
      </c>
    </row>
    <row r="212" spans="1:7" x14ac:dyDescent="0.3">
      <c r="A212">
        <v>0</v>
      </c>
      <c r="B212" t="s">
        <v>312</v>
      </c>
      <c r="C212" t="s">
        <v>324</v>
      </c>
      <c r="D212" t="s">
        <v>2</v>
      </c>
      <c r="E212" t="s">
        <v>324</v>
      </c>
      <c r="F212" t="s">
        <v>13</v>
      </c>
      <c r="G212" t="s">
        <v>525</v>
      </c>
    </row>
    <row r="213" spans="1:7" x14ac:dyDescent="0.3">
      <c r="A213">
        <v>0</v>
      </c>
      <c r="B213" t="s">
        <v>312</v>
      </c>
      <c r="C213" t="s">
        <v>327</v>
      </c>
      <c r="D213" t="s">
        <v>2</v>
      </c>
      <c r="E213" t="s">
        <v>327</v>
      </c>
      <c r="F213" t="s">
        <v>13</v>
      </c>
      <c r="G213" t="s">
        <v>525</v>
      </c>
    </row>
    <row r="214" spans="1:7" x14ac:dyDescent="0.3">
      <c r="A214">
        <v>0</v>
      </c>
      <c r="B214" t="s">
        <v>314</v>
      </c>
      <c r="C214" t="s">
        <v>441</v>
      </c>
      <c r="D214" t="s">
        <v>2</v>
      </c>
      <c r="E214" t="s">
        <v>441</v>
      </c>
      <c r="F214" t="s">
        <v>13</v>
      </c>
      <c r="G214" t="s">
        <v>525</v>
      </c>
    </row>
    <row r="215" spans="1:7" x14ac:dyDescent="0.3">
      <c r="A215">
        <v>0</v>
      </c>
      <c r="B215" t="s">
        <v>105</v>
      </c>
      <c r="C215" t="s">
        <v>115</v>
      </c>
      <c r="D215" t="s">
        <v>2</v>
      </c>
      <c r="E215" t="s">
        <v>115</v>
      </c>
      <c r="F215" t="s">
        <v>13</v>
      </c>
      <c r="G215" t="s">
        <v>525</v>
      </c>
    </row>
    <row r="216" spans="1:7" x14ac:dyDescent="0.3">
      <c r="A216">
        <v>0</v>
      </c>
      <c r="B216" t="s">
        <v>312</v>
      </c>
      <c r="C216" t="s">
        <v>484</v>
      </c>
      <c r="D216" t="s">
        <v>2</v>
      </c>
      <c r="E216" t="s">
        <v>484</v>
      </c>
      <c r="F216" t="s">
        <v>13</v>
      </c>
      <c r="G216" t="s">
        <v>525</v>
      </c>
    </row>
    <row r="217" spans="1:7" x14ac:dyDescent="0.3">
      <c r="A217">
        <v>0</v>
      </c>
      <c r="B217" t="s">
        <v>312</v>
      </c>
      <c r="C217" t="s">
        <v>311</v>
      </c>
      <c r="D217" t="s">
        <v>2</v>
      </c>
      <c r="E217" t="s">
        <v>311</v>
      </c>
      <c r="F217" t="s">
        <v>13</v>
      </c>
      <c r="G217" t="s">
        <v>525</v>
      </c>
    </row>
    <row r="218" spans="1:7" x14ac:dyDescent="0.3">
      <c r="A218">
        <v>0</v>
      </c>
      <c r="B218" t="s">
        <v>312</v>
      </c>
      <c r="C218" t="s">
        <v>365</v>
      </c>
      <c r="D218" t="s">
        <v>2</v>
      </c>
      <c r="E218" t="s">
        <v>365</v>
      </c>
      <c r="F218" t="s">
        <v>13</v>
      </c>
      <c r="G218" t="s">
        <v>525</v>
      </c>
    </row>
    <row r="219" spans="1:7" x14ac:dyDescent="0.3">
      <c r="A219">
        <v>0</v>
      </c>
      <c r="B219" t="s">
        <v>314</v>
      </c>
      <c r="C219" t="s">
        <v>350</v>
      </c>
      <c r="D219" t="s">
        <v>2</v>
      </c>
      <c r="E219" t="s">
        <v>350</v>
      </c>
      <c r="F219" t="s">
        <v>13</v>
      </c>
      <c r="G219" t="s">
        <v>525</v>
      </c>
    </row>
    <row r="220" spans="1:7" x14ac:dyDescent="0.3">
      <c r="A220">
        <v>0</v>
      </c>
      <c r="B220" t="s">
        <v>105</v>
      </c>
      <c r="C220" t="s">
        <v>123</v>
      </c>
      <c r="D220" t="s">
        <v>2</v>
      </c>
      <c r="E220" t="s">
        <v>123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396</v>
      </c>
      <c r="D221" t="s">
        <v>2</v>
      </c>
      <c r="E221" t="s">
        <v>396</v>
      </c>
      <c r="F221" t="s">
        <v>13</v>
      </c>
      <c r="G221" t="s">
        <v>525</v>
      </c>
    </row>
    <row r="222" spans="1:7" x14ac:dyDescent="0.3">
      <c r="A222">
        <v>0</v>
      </c>
      <c r="B222" t="s">
        <v>312</v>
      </c>
      <c r="C222" t="s">
        <v>428</v>
      </c>
      <c r="D222" t="s">
        <v>2</v>
      </c>
      <c r="E222" t="s">
        <v>428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383</v>
      </c>
      <c r="D223" t="s">
        <v>2</v>
      </c>
      <c r="E223" t="s">
        <v>383</v>
      </c>
      <c r="F223" t="s">
        <v>13</v>
      </c>
      <c r="G223" t="s">
        <v>525</v>
      </c>
    </row>
    <row r="224" spans="1:7" x14ac:dyDescent="0.3">
      <c r="A224">
        <v>0</v>
      </c>
      <c r="B224" t="s">
        <v>312</v>
      </c>
      <c r="C224" t="s">
        <v>426</v>
      </c>
      <c r="D224" t="s">
        <v>2</v>
      </c>
      <c r="E224" t="s">
        <v>426</v>
      </c>
      <c r="F224" t="s">
        <v>13</v>
      </c>
      <c r="G224" t="s">
        <v>525</v>
      </c>
    </row>
    <row r="225" spans="1:7" x14ac:dyDescent="0.3">
      <c r="A225">
        <v>0</v>
      </c>
      <c r="B225" t="s">
        <v>312</v>
      </c>
      <c r="C225" t="s">
        <v>437</v>
      </c>
      <c r="D225" t="s">
        <v>2</v>
      </c>
      <c r="E225" t="s">
        <v>437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454</v>
      </c>
      <c r="D226" t="s">
        <v>2</v>
      </c>
      <c r="E226" t="s">
        <v>454</v>
      </c>
      <c r="F226" t="s">
        <v>13</v>
      </c>
      <c r="G226" t="s">
        <v>525</v>
      </c>
    </row>
    <row r="227" spans="1:7" x14ac:dyDescent="0.3">
      <c r="A227">
        <v>0</v>
      </c>
      <c r="B227" t="s">
        <v>312</v>
      </c>
      <c r="C227" t="s">
        <v>425</v>
      </c>
      <c r="D227" t="s">
        <v>2</v>
      </c>
      <c r="E227" t="s">
        <v>425</v>
      </c>
      <c r="F227" t="s">
        <v>13</v>
      </c>
      <c r="G227" t="s">
        <v>525</v>
      </c>
    </row>
    <row r="228" spans="1:7" x14ac:dyDescent="0.3">
      <c r="A228">
        <v>0</v>
      </c>
      <c r="B228" t="s">
        <v>312</v>
      </c>
      <c r="C228" t="s">
        <v>344</v>
      </c>
      <c r="D228" t="s">
        <v>2</v>
      </c>
      <c r="E228" t="s">
        <v>344</v>
      </c>
      <c r="F228" t="s">
        <v>13</v>
      </c>
      <c r="G228" t="s">
        <v>525</v>
      </c>
    </row>
    <row r="229" spans="1:7" x14ac:dyDescent="0.3">
      <c r="A229">
        <v>0</v>
      </c>
      <c r="B229" t="s">
        <v>312</v>
      </c>
      <c r="C229" t="s">
        <v>407</v>
      </c>
      <c r="D229" t="s">
        <v>2</v>
      </c>
      <c r="E229" t="s">
        <v>407</v>
      </c>
      <c r="F229" t="s">
        <v>13</v>
      </c>
      <c r="G229" t="s">
        <v>525</v>
      </c>
    </row>
    <row r="230" spans="1:7" x14ac:dyDescent="0.3">
      <c r="A230">
        <v>0</v>
      </c>
      <c r="B230" t="s">
        <v>314</v>
      </c>
      <c r="C230" t="s">
        <v>413</v>
      </c>
      <c r="D230" t="s">
        <v>2</v>
      </c>
      <c r="E230" t="s">
        <v>413</v>
      </c>
      <c r="F230" t="s">
        <v>13</v>
      </c>
      <c r="G230" t="s">
        <v>525</v>
      </c>
    </row>
    <row r="231" spans="1:7" x14ac:dyDescent="0.3">
      <c r="A231">
        <v>0</v>
      </c>
      <c r="B231" t="s">
        <v>312</v>
      </c>
      <c r="C231" t="s">
        <v>392</v>
      </c>
      <c r="D231" t="s">
        <v>2</v>
      </c>
      <c r="E231" t="s">
        <v>392</v>
      </c>
      <c r="F231" t="s">
        <v>13</v>
      </c>
      <c r="G231" t="s">
        <v>525</v>
      </c>
    </row>
    <row r="232" spans="1:7" x14ac:dyDescent="0.3">
      <c r="A232">
        <v>0</v>
      </c>
      <c r="B232" t="s">
        <v>319</v>
      </c>
      <c r="C232" t="s">
        <v>422</v>
      </c>
      <c r="D232" t="s">
        <v>2</v>
      </c>
      <c r="E232" t="s">
        <v>422</v>
      </c>
      <c r="F232" t="s">
        <v>13</v>
      </c>
      <c r="G232" t="s">
        <v>525</v>
      </c>
    </row>
    <row r="233" spans="1:7" x14ac:dyDescent="0.3">
      <c r="A233">
        <v>0</v>
      </c>
      <c r="B233" t="s">
        <v>314</v>
      </c>
      <c r="C233" t="s">
        <v>495</v>
      </c>
      <c r="D233" t="s">
        <v>494</v>
      </c>
      <c r="E233" t="s">
        <v>495</v>
      </c>
      <c r="F233" t="s">
        <v>13</v>
      </c>
      <c r="G233" t="s">
        <v>525</v>
      </c>
    </row>
    <row r="234" spans="1:7" x14ac:dyDescent="0.3">
      <c r="A234">
        <v>0</v>
      </c>
      <c r="B234" t="s">
        <v>314</v>
      </c>
      <c r="C234" t="s">
        <v>497</v>
      </c>
      <c r="D234" t="s">
        <v>494</v>
      </c>
      <c r="E234" t="s">
        <v>497</v>
      </c>
      <c r="F234" t="s">
        <v>13</v>
      </c>
      <c r="G234" t="s">
        <v>525</v>
      </c>
    </row>
    <row r="235" spans="1:7" x14ac:dyDescent="0.3">
      <c r="A235">
        <v>0</v>
      </c>
      <c r="B235" t="s">
        <v>314</v>
      </c>
      <c r="C235" t="s">
        <v>496</v>
      </c>
      <c r="D235" t="s">
        <v>494</v>
      </c>
      <c r="E235" t="s">
        <v>496</v>
      </c>
      <c r="F235" t="s">
        <v>13</v>
      </c>
      <c r="G235" t="s">
        <v>525</v>
      </c>
    </row>
    <row r="236" spans="1:7" x14ac:dyDescent="0.3">
      <c r="A236">
        <v>0</v>
      </c>
      <c r="B236" t="s">
        <v>312</v>
      </c>
      <c r="C236" t="s">
        <v>513</v>
      </c>
      <c r="D236" t="s">
        <v>498</v>
      </c>
      <c r="E236" t="s">
        <v>513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515</v>
      </c>
      <c r="D237" t="s">
        <v>498</v>
      </c>
      <c r="E237" t="s">
        <v>515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509</v>
      </c>
      <c r="D238" t="s">
        <v>498</v>
      </c>
      <c r="E238" t="s">
        <v>509</v>
      </c>
      <c r="F238" t="s">
        <v>13</v>
      </c>
      <c r="G238" t="s">
        <v>525</v>
      </c>
    </row>
    <row r="239" spans="1:7" x14ac:dyDescent="0.3">
      <c r="A239">
        <v>0</v>
      </c>
      <c r="B239" t="s">
        <v>312</v>
      </c>
      <c r="C239" t="s">
        <v>502</v>
      </c>
      <c r="D239" t="s">
        <v>498</v>
      </c>
      <c r="E239" t="s">
        <v>502</v>
      </c>
      <c r="F239" t="s">
        <v>13</v>
      </c>
      <c r="G239" t="s">
        <v>525</v>
      </c>
    </row>
    <row r="240" spans="1:7" x14ac:dyDescent="0.3">
      <c r="A240">
        <v>0</v>
      </c>
      <c r="B240" t="s">
        <v>312</v>
      </c>
      <c r="C240" t="s">
        <v>500</v>
      </c>
      <c r="D240" t="s">
        <v>498</v>
      </c>
      <c r="E240" t="s">
        <v>500</v>
      </c>
      <c r="F240" t="s">
        <v>13</v>
      </c>
      <c r="G240" t="s">
        <v>525</v>
      </c>
    </row>
    <row r="241" spans="1:7" x14ac:dyDescent="0.3">
      <c r="A241">
        <v>0</v>
      </c>
      <c r="B241" t="s">
        <v>507</v>
      </c>
      <c r="C241" t="s">
        <v>506</v>
      </c>
      <c r="D241" t="s">
        <v>498</v>
      </c>
      <c r="E241" t="s">
        <v>506</v>
      </c>
      <c r="F241" t="s">
        <v>13</v>
      </c>
      <c r="G241" t="s">
        <v>525</v>
      </c>
    </row>
    <row r="242" spans="1:7" x14ac:dyDescent="0.3">
      <c r="A242">
        <v>0</v>
      </c>
      <c r="B242" t="s">
        <v>312</v>
      </c>
      <c r="C242" t="s">
        <v>514</v>
      </c>
      <c r="D242" t="s">
        <v>498</v>
      </c>
      <c r="E242" t="s">
        <v>514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499</v>
      </c>
      <c r="D243" t="s">
        <v>498</v>
      </c>
      <c r="E243" t="s">
        <v>499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508</v>
      </c>
      <c r="D244" t="s">
        <v>498</v>
      </c>
      <c r="E244" t="s">
        <v>508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t="s">
        <v>519</v>
      </c>
      <c r="D245" t="s">
        <v>498</v>
      </c>
      <c r="E245" t="s">
        <v>519</v>
      </c>
      <c r="F245" t="s">
        <v>13</v>
      </c>
      <c r="G245" t="s">
        <v>525</v>
      </c>
    </row>
    <row r="246" spans="1:7" x14ac:dyDescent="0.3">
      <c r="A246">
        <v>0</v>
      </c>
      <c r="B246" t="s">
        <v>312</v>
      </c>
      <c r="C246" t="s">
        <v>510</v>
      </c>
      <c r="D246" t="s">
        <v>498</v>
      </c>
      <c r="E246" t="s">
        <v>510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521</v>
      </c>
      <c r="D247" t="s">
        <v>498</v>
      </c>
      <c r="E247" t="s">
        <v>521</v>
      </c>
      <c r="F247" t="s">
        <v>13</v>
      </c>
      <c r="G247" t="s">
        <v>525</v>
      </c>
    </row>
    <row r="248" spans="1:7" x14ac:dyDescent="0.3">
      <c r="A248">
        <v>0</v>
      </c>
      <c r="B248" t="s">
        <v>312</v>
      </c>
      <c r="C248" t="s">
        <v>501</v>
      </c>
      <c r="D248" t="s">
        <v>498</v>
      </c>
      <c r="E248" t="s">
        <v>501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504</v>
      </c>
      <c r="D249" t="s">
        <v>498</v>
      </c>
      <c r="E249" t="s">
        <v>504</v>
      </c>
      <c r="F249" t="s">
        <v>13</v>
      </c>
      <c r="G249" t="s">
        <v>525</v>
      </c>
    </row>
    <row r="250" spans="1:7" x14ac:dyDescent="0.3">
      <c r="A250">
        <v>0</v>
      </c>
      <c r="B250" t="s">
        <v>312</v>
      </c>
      <c r="C250" t="s">
        <v>520</v>
      </c>
      <c r="D250" t="s">
        <v>498</v>
      </c>
      <c r="E250" t="s">
        <v>520</v>
      </c>
      <c r="F250" t="s">
        <v>13</v>
      </c>
      <c r="G250" t="s">
        <v>525</v>
      </c>
    </row>
    <row r="251" spans="1:7" x14ac:dyDescent="0.3">
      <c r="A251">
        <v>0</v>
      </c>
      <c r="B251" t="s">
        <v>312</v>
      </c>
      <c r="C251" t="s">
        <v>523</v>
      </c>
      <c r="D251" t="s">
        <v>498</v>
      </c>
      <c r="E251" t="s">
        <v>523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503</v>
      </c>
      <c r="D252" t="s">
        <v>498</v>
      </c>
      <c r="E252" t="s">
        <v>503</v>
      </c>
      <c r="F252" t="s">
        <v>13</v>
      </c>
      <c r="G252" t="s">
        <v>525</v>
      </c>
    </row>
    <row r="253" spans="1:7" x14ac:dyDescent="0.3">
      <c r="A253">
        <v>0</v>
      </c>
      <c r="B253" t="s">
        <v>312</v>
      </c>
      <c r="C253" t="s">
        <v>512</v>
      </c>
      <c r="D253" t="s">
        <v>498</v>
      </c>
      <c r="E253" t="s">
        <v>512</v>
      </c>
      <c r="F253" t="s">
        <v>13</v>
      </c>
      <c r="G253" t="s">
        <v>525</v>
      </c>
    </row>
    <row r="254" spans="1:7" x14ac:dyDescent="0.3">
      <c r="A254">
        <v>0</v>
      </c>
      <c r="B254" t="s">
        <v>312</v>
      </c>
      <c r="C254" t="s">
        <v>505</v>
      </c>
      <c r="D254" t="s">
        <v>498</v>
      </c>
      <c r="E254" t="s">
        <v>505</v>
      </c>
      <c r="F254" t="s">
        <v>13</v>
      </c>
      <c r="G254" t="s">
        <v>525</v>
      </c>
    </row>
    <row r="255" spans="1:7" x14ac:dyDescent="0.3">
      <c r="A255">
        <v>0</v>
      </c>
      <c r="B255" t="s">
        <v>312</v>
      </c>
      <c r="C255" t="s">
        <v>518</v>
      </c>
      <c r="D255" t="s">
        <v>498</v>
      </c>
      <c r="E255" t="s">
        <v>518</v>
      </c>
      <c r="F255" t="s">
        <v>13</v>
      </c>
      <c r="G255" t="s">
        <v>525</v>
      </c>
    </row>
    <row r="256" spans="1:7" x14ac:dyDescent="0.3">
      <c r="A256">
        <v>0</v>
      </c>
      <c r="B256" t="s">
        <v>312</v>
      </c>
      <c r="C256" t="s">
        <v>522</v>
      </c>
      <c r="D256" t="s">
        <v>498</v>
      </c>
      <c r="E256" t="s">
        <v>522</v>
      </c>
      <c r="F256" t="s">
        <v>13</v>
      </c>
      <c r="G256" t="s">
        <v>525</v>
      </c>
    </row>
    <row r="257" spans="1:7" x14ac:dyDescent="0.3">
      <c r="A257">
        <v>0</v>
      </c>
      <c r="B257" t="s">
        <v>312</v>
      </c>
      <c r="C257" t="s">
        <v>516</v>
      </c>
      <c r="D257" t="s">
        <v>498</v>
      </c>
      <c r="E257" t="s">
        <v>516</v>
      </c>
      <c r="F257" t="s">
        <v>13</v>
      </c>
      <c r="G257" t="s">
        <v>525</v>
      </c>
    </row>
    <row r="258" spans="1:7" x14ac:dyDescent="0.3">
      <c r="A258">
        <v>0</v>
      </c>
      <c r="B258" t="s">
        <v>312</v>
      </c>
      <c r="C258" t="s">
        <v>517</v>
      </c>
      <c r="D258" t="s">
        <v>498</v>
      </c>
      <c r="E258" t="s">
        <v>517</v>
      </c>
      <c r="F258" t="s">
        <v>13</v>
      </c>
      <c r="G258" t="s">
        <v>525</v>
      </c>
    </row>
    <row r="259" spans="1:7" x14ac:dyDescent="0.3">
      <c r="A259">
        <v>0</v>
      </c>
      <c r="B259" t="s">
        <v>16</v>
      </c>
      <c r="C259" s="2" t="s">
        <v>22</v>
      </c>
      <c r="D259" t="s">
        <v>2</v>
      </c>
      <c r="E259" s="2" t="s">
        <v>22</v>
      </c>
      <c r="F259" t="s">
        <v>13</v>
      </c>
      <c r="G259" t="s">
        <v>525</v>
      </c>
    </row>
    <row r="260" spans="1:7" x14ac:dyDescent="0.3">
      <c r="A260">
        <v>0</v>
      </c>
      <c r="B260" t="s">
        <v>16</v>
      </c>
      <c r="C260" s="2" t="s">
        <v>49</v>
      </c>
      <c r="D260" t="s">
        <v>2</v>
      </c>
      <c r="E260" s="2" t="s">
        <v>49</v>
      </c>
      <c r="F260" t="s">
        <v>13</v>
      </c>
      <c r="G260" t="s">
        <v>525</v>
      </c>
    </row>
    <row r="261" spans="1:7" x14ac:dyDescent="0.3">
      <c r="A261">
        <v>0</v>
      </c>
      <c r="B261" t="s">
        <v>312</v>
      </c>
      <c r="C261" s="2" t="s">
        <v>55</v>
      </c>
      <c r="D261" t="s">
        <v>2</v>
      </c>
      <c r="E261" s="2" t="s">
        <v>55</v>
      </c>
      <c r="F261" t="s">
        <v>13</v>
      </c>
      <c r="G261" t="s">
        <v>525</v>
      </c>
    </row>
    <row r="262" spans="1:7" x14ac:dyDescent="0.3">
      <c r="A262">
        <v>0</v>
      </c>
      <c r="B262" t="s">
        <v>312</v>
      </c>
      <c r="C262" t="s">
        <v>59</v>
      </c>
      <c r="D262" t="s">
        <v>2</v>
      </c>
      <c r="E262" t="s">
        <v>59</v>
      </c>
      <c r="F262" t="s">
        <v>13</v>
      </c>
      <c r="G262" t="s">
        <v>525</v>
      </c>
    </row>
    <row r="263" spans="1:7" x14ac:dyDescent="0.3">
      <c r="A263">
        <v>0</v>
      </c>
      <c r="B263" t="s">
        <v>16</v>
      </c>
      <c r="C263" s="2" t="s">
        <v>61</v>
      </c>
      <c r="D263" t="s">
        <v>2</v>
      </c>
      <c r="E263" s="2" t="s">
        <v>61</v>
      </c>
      <c r="F263" t="s">
        <v>13</v>
      </c>
      <c r="G263" t="s">
        <v>525</v>
      </c>
    </row>
    <row r="264" spans="1:7" x14ac:dyDescent="0.3">
      <c r="A264">
        <v>0</v>
      </c>
      <c r="B264" t="s">
        <v>312</v>
      </c>
      <c r="C264" s="2" t="s">
        <v>67</v>
      </c>
      <c r="D264" t="s">
        <v>2</v>
      </c>
      <c r="E264" s="2" t="s">
        <v>67</v>
      </c>
      <c r="F264" t="s">
        <v>13</v>
      </c>
      <c r="G264" t="s">
        <v>525</v>
      </c>
    </row>
    <row r="265" spans="1:7" x14ac:dyDescent="0.3">
      <c r="A265">
        <v>0</v>
      </c>
      <c r="B265" t="s">
        <v>312</v>
      </c>
      <c r="C265" t="s">
        <v>73</v>
      </c>
      <c r="D265" t="s">
        <v>2</v>
      </c>
      <c r="E265" t="s">
        <v>73</v>
      </c>
      <c r="F265" t="s">
        <v>13</v>
      </c>
      <c r="G265" t="s">
        <v>525</v>
      </c>
    </row>
    <row r="266" spans="1:7" x14ac:dyDescent="0.3">
      <c r="A266">
        <v>0</v>
      </c>
      <c r="B266" t="s">
        <v>312</v>
      </c>
      <c r="C266" t="s">
        <v>79</v>
      </c>
      <c r="D266" t="s">
        <v>2</v>
      </c>
      <c r="E266" t="s">
        <v>79</v>
      </c>
      <c r="F266" t="s">
        <v>13</v>
      </c>
      <c r="G266" t="s">
        <v>525</v>
      </c>
    </row>
    <row r="267" spans="1:7" x14ac:dyDescent="0.3">
      <c r="A267">
        <v>0</v>
      </c>
      <c r="B267" t="s">
        <v>312</v>
      </c>
      <c r="C267" t="s">
        <v>82</v>
      </c>
      <c r="D267" t="s">
        <v>2</v>
      </c>
      <c r="E267" t="s">
        <v>82</v>
      </c>
      <c r="F267" t="s">
        <v>13</v>
      </c>
      <c r="G267" t="s">
        <v>525</v>
      </c>
    </row>
    <row r="268" spans="1:7" x14ac:dyDescent="0.3">
      <c r="A268">
        <v>0</v>
      </c>
      <c r="B268" t="s">
        <v>312</v>
      </c>
      <c r="C268" t="s">
        <v>85</v>
      </c>
      <c r="D268" t="s">
        <v>2</v>
      </c>
      <c r="E268" t="s">
        <v>85</v>
      </c>
      <c r="F268" t="s">
        <v>13</v>
      </c>
      <c r="G268" t="s">
        <v>525</v>
      </c>
    </row>
    <row r="269" spans="1:7" x14ac:dyDescent="0.3">
      <c r="A269">
        <v>0</v>
      </c>
      <c r="B269" t="s">
        <v>312</v>
      </c>
      <c r="C269" t="s">
        <v>88</v>
      </c>
      <c r="D269" t="s">
        <v>2</v>
      </c>
      <c r="E269" t="s">
        <v>88</v>
      </c>
      <c r="F269" t="s">
        <v>13</v>
      </c>
      <c r="G269" t="s">
        <v>525</v>
      </c>
    </row>
    <row r="270" spans="1:7" x14ac:dyDescent="0.3">
      <c r="A270">
        <v>0</v>
      </c>
      <c r="B270" t="s">
        <v>312</v>
      </c>
      <c r="C270" t="s">
        <v>91</v>
      </c>
      <c r="D270" t="s">
        <v>2</v>
      </c>
      <c r="E270" t="s">
        <v>91</v>
      </c>
      <c r="F270" t="s">
        <v>13</v>
      </c>
      <c r="G270" t="s">
        <v>525</v>
      </c>
    </row>
    <row r="271" spans="1:7" x14ac:dyDescent="0.3">
      <c r="A271">
        <v>0</v>
      </c>
      <c r="B271" t="s">
        <v>312</v>
      </c>
      <c r="C271" t="s">
        <v>94</v>
      </c>
      <c r="D271" t="s">
        <v>2</v>
      </c>
      <c r="E271" t="s">
        <v>94</v>
      </c>
      <c r="F271" t="s">
        <v>13</v>
      </c>
      <c r="G271" t="s">
        <v>525</v>
      </c>
    </row>
    <row r="272" spans="1:7" x14ac:dyDescent="0.3">
      <c r="A272">
        <v>0</v>
      </c>
      <c r="B272" t="s">
        <v>312</v>
      </c>
      <c r="C272" t="s">
        <v>97</v>
      </c>
      <c r="D272" t="s">
        <v>2</v>
      </c>
      <c r="E272" t="s">
        <v>97</v>
      </c>
      <c r="F272" t="s">
        <v>13</v>
      </c>
      <c r="G272" t="s">
        <v>525</v>
      </c>
    </row>
    <row r="273" spans="1:7" x14ac:dyDescent="0.3">
      <c r="A273">
        <v>0</v>
      </c>
      <c r="B273" t="s">
        <v>312</v>
      </c>
      <c r="C273" t="s">
        <v>100</v>
      </c>
      <c r="D273" t="s">
        <v>2</v>
      </c>
      <c r="E273" t="s">
        <v>100</v>
      </c>
      <c r="F273" t="s">
        <v>13</v>
      </c>
      <c r="G273" t="s">
        <v>525</v>
      </c>
    </row>
  </sheetData>
  <pageMargins left="0.75" right="0.75" top="1" bottom="1" header="0.5" footer="0.5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2"/>
  <sheetViews>
    <sheetView topLeftCell="A4" workbookViewId="0">
      <selection activeCell="C24" sqref="C24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1</v>
      </c>
      <c r="B2" t="s">
        <v>57</v>
      </c>
      <c r="C2" t="s">
        <v>718</v>
      </c>
      <c r="D2" t="s">
        <v>2</v>
      </c>
      <c r="E2" t="s">
        <v>73</v>
      </c>
      <c r="F2" s="4" t="s">
        <v>13</v>
      </c>
      <c r="G2" t="s">
        <v>525</v>
      </c>
      <c r="H2" t="s">
        <v>626</v>
      </c>
    </row>
    <row r="3" spans="1:9" x14ac:dyDescent="0.3">
      <c r="A3">
        <v>1</v>
      </c>
      <c r="B3" t="s">
        <v>57</v>
      </c>
      <c r="C3" t="s">
        <v>719</v>
      </c>
      <c r="D3" t="s">
        <v>2</v>
      </c>
      <c r="E3" t="s">
        <v>149</v>
      </c>
      <c r="F3" t="s">
        <v>13</v>
      </c>
      <c r="G3" t="s">
        <v>525</v>
      </c>
      <c r="H3" t="s">
        <v>626</v>
      </c>
    </row>
    <row r="4" spans="1:9" x14ac:dyDescent="0.3">
      <c r="A4">
        <v>0.01</v>
      </c>
      <c r="B4" t="s">
        <v>57</v>
      </c>
      <c r="C4" t="s">
        <v>641</v>
      </c>
      <c r="D4" t="s">
        <v>2</v>
      </c>
      <c r="E4" t="s">
        <v>85</v>
      </c>
      <c r="F4" t="s">
        <v>13</v>
      </c>
      <c r="G4" t="s">
        <v>525</v>
      </c>
      <c r="H4" t="s">
        <v>626</v>
      </c>
    </row>
    <row r="5" spans="1:9" x14ac:dyDescent="0.3">
      <c r="A5">
        <v>6.6799999999999998E-2</v>
      </c>
      <c r="B5" t="s">
        <v>57</v>
      </c>
      <c r="C5" t="s">
        <v>720</v>
      </c>
      <c r="D5" t="s">
        <v>2</v>
      </c>
      <c r="E5" t="s">
        <v>149</v>
      </c>
      <c r="F5" t="s">
        <v>13</v>
      </c>
      <c r="G5" t="s">
        <v>525</v>
      </c>
      <c r="H5" t="s">
        <v>626</v>
      </c>
    </row>
    <row r="6" spans="1:9" x14ac:dyDescent="0.3">
      <c r="A6">
        <v>4.1500000000000002E-2</v>
      </c>
      <c r="B6" t="s">
        <v>57</v>
      </c>
      <c r="C6" t="s">
        <v>666</v>
      </c>
      <c r="D6" t="s">
        <v>2</v>
      </c>
      <c r="E6" t="s">
        <v>149</v>
      </c>
      <c r="F6" t="s">
        <v>13</v>
      </c>
      <c r="G6" t="s">
        <v>525</v>
      </c>
      <c r="H6" t="s">
        <v>626</v>
      </c>
    </row>
    <row r="7" spans="1:9" x14ac:dyDescent="0.3">
      <c r="A7">
        <v>0.16700000000000001</v>
      </c>
      <c r="B7" t="s">
        <v>57</v>
      </c>
      <c r="C7" t="s">
        <v>721</v>
      </c>
      <c r="D7" t="s">
        <v>2</v>
      </c>
      <c r="E7" s="2" t="s">
        <v>330</v>
      </c>
      <c r="F7" t="s">
        <v>13</v>
      </c>
      <c r="G7" t="s">
        <v>525</v>
      </c>
      <c r="H7" t="s">
        <v>626</v>
      </c>
    </row>
    <row r="8" spans="1:9" x14ac:dyDescent="0.3">
      <c r="A8">
        <v>2.2200000000000001E-2</v>
      </c>
      <c r="B8" t="s">
        <v>57</v>
      </c>
      <c r="C8" t="s">
        <v>667</v>
      </c>
      <c r="D8" t="s">
        <v>2</v>
      </c>
      <c r="E8" s="2" t="s">
        <v>332</v>
      </c>
      <c r="F8" t="s">
        <v>13</v>
      </c>
      <c r="G8" t="s">
        <v>525</v>
      </c>
      <c r="H8" t="s">
        <v>626</v>
      </c>
    </row>
    <row r="9" spans="1:9" x14ac:dyDescent="0.3">
      <c r="A9">
        <v>32</v>
      </c>
      <c r="B9" t="s">
        <v>542</v>
      </c>
      <c r="C9" t="s">
        <v>648</v>
      </c>
      <c r="D9" t="s">
        <v>2</v>
      </c>
      <c r="E9" t="s">
        <v>111</v>
      </c>
      <c r="F9" t="s">
        <v>13</v>
      </c>
      <c r="G9" t="s">
        <v>525</v>
      </c>
      <c r="H9" t="s">
        <v>626</v>
      </c>
    </row>
    <row r="10" spans="1:9" x14ac:dyDescent="0.3">
      <c r="A10">
        <f>68.2242990654206/48</f>
        <v>1.4213395638629291</v>
      </c>
      <c r="B10" t="s">
        <v>57</v>
      </c>
      <c r="C10" t="s">
        <v>671</v>
      </c>
      <c r="D10" t="s">
        <v>2</v>
      </c>
      <c r="E10" t="s">
        <v>398</v>
      </c>
      <c r="F10" t="s">
        <v>13</v>
      </c>
      <c r="G10" t="s">
        <v>525</v>
      </c>
      <c r="H10" t="s">
        <v>626</v>
      </c>
    </row>
    <row r="11" spans="1:9" x14ac:dyDescent="0.3">
      <c r="A11">
        <f>4.01*2.31803430690774E-09</f>
        <v>9.295317570700037E-9</v>
      </c>
      <c r="B11" t="s">
        <v>314</v>
      </c>
      <c r="C11" t="s">
        <v>717</v>
      </c>
      <c r="D11" t="s">
        <v>2</v>
      </c>
      <c r="E11" t="s">
        <v>341</v>
      </c>
      <c r="F11" t="s">
        <v>13</v>
      </c>
      <c r="G11" t="s">
        <v>525</v>
      </c>
      <c r="H11" t="s">
        <v>626</v>
      </c>
    </row>
    <row r="12" spans="1:9" x14ac:dyDescent="0.3">
      <c r="A12" s="5">
        <f>$A$2*'[1]SGS prod CN'!I6</f>
        <v>6.9982507693825402E-7</v>
      </c>
      <c r="B12" t="s">
        <v>314</v>
      </c>
      <c r="C12" t="s">
        <v>620</v>
      </c>
      <c r="D12" t="s">
        <v>2</v>
      </c>
      <c r="E12" s="2" t="s">
        <v>455</v>
      </c>
      <c r="F12" t="s">
        <v>13</v>
      </c>
      <c r="G12" t="s">
        <v>525</v>
      </c>
      <c r="H12" t="s">
        <v>621</v>
      </c>
    </row>
    <row r="13" spans="1:9" x14ac:dyDescent="0.3">
      <c r="A13">
        <f>$A$2*'[1]SGS prod CN'!I7</f>
        <v>1.2229254135450123E-7</v>
      </c>
      <c r="B13" t="s">
        <v>314</v>
      </c>
      <c r="C13" t="s">
        <v>622</v>
      </c>
      <c r="D13" t="s">
        <v>2</v>
      </c>
      <c r="E13" s="2" t="s">
        <v>409</v>
      </c>
      <c r="F13" t="s">
        <v>13</v>
      </c>
      <c r="G13" t="s">
        <v>525</v>
      </c>
      <c r="H13" t="s">
        <v>621</v>
      </c>
    </row>
    <row r="14" spans="1:9" x14ac:dyDescent="0.3">
      <c r="A14">
        <f>$A$2*'[1]SGS prod CN'!I8</f>
        <v>1.640606341579916E-7</v>
      </c>
      <c r="B14" t="s">
        <v>314</v>
      </c>
      <c r="C14" t="s">
        <v>623</v>
      </c>
      <c r="D14" t="s">
        <v>2</v>
      </c>
      <c r="E14" s="2" t="s">
        <v>443</v>
      </c>
      <c r="F14" t="s">
        <v>13</v>
      </c>
      <c r="G14" t="s">
        <v>525</v>
      </c>
      <c r="H14" t="s">
        <v>621</v>
      </c>
    </row>
    <row r="15" spans="1:9" x14ac:dyDescent="0.3">
      <c r="A15">
        <v>1.6699999999999999E-4</v>
      </c>
      <c r="B15" s="2" t="s">
        <v>319</v>
      </c>
      <c r="C15" t="s">
        <v>672</v>
      </c>
      <c r="D15" t="s">
        <v>2</v>
      </c>
      <c r="E15" s="18" t="s">
        <v>375</v>
      </c>
      <c r="F15" t="s">
        <v>13</v>
      </c>
      <c r="G15" t="s">
        <v>525</v>
      </c>
      <c r="H15" t="s">
        <v>626</v>
      </c>
    </row>
    <row r="16" spans="1:9" x14ac:dyDescent="0.3">
      <c r="A16">
        <v>2.1116620218286924E-7</v>
      </c>
      <c r="B16" t="s">
        <v>314</v>
      </c>
      <c r="C16" t="s">
        <v>654</v>
      </c>
      <c r="D16" t="s">
        <v>2</v>
      </c>
      <c r="E16" s="2" t="s">
        <v>449</v>
      </c>
      <c r="F16" t="s">
        <v>13</v>
      </c>
      <c r="G16" t="s">
        <v>525</v>
      </c>
      <c r="H16" t="s">
        <v>655</v>
      </c>
    </row>
    <row r="17" spans="1:8" x14ac:dyDescent="0.3">
      <c r="A17">
        <v>1.1614141120057812E-6</v>
      </c>
      <c r="B17" t="s">
        <v>314</v>
      </c>
      <c r="C17" t="s">
        <v>656</v>
      </c>
      <c r="D17" t="s">
        <v>2</v>
      </c>
      <c r="E17" s="2" t="s">
        <v>487</v>
      </c>
      <c r="F17" t="s">
        <v>13</v>
      </c>
      <c r="G17" t="s">
        <v>525</v>
      </c>
      <c r="H17" t="s">
        <v>655</v>
      </c>
    </row>
    <row r="18" spans="1:8" x14ac:dyDescent="0.3">
      <c r="A18">
        <v>1.2129779520736912E-6</v>
      </c>
      <c r="B18" t="s">
        <v>314</v>
      </c>
      <c r="C18" t="s">
        <v>495</v>
      </c>
      <c r="D18" t="s">
        <v>494</v>
      </c>
      <c r="E18" t="s">
        <v>495</v>
      </c>
      <c r="F18" t="s">
        <v>13</v>
      </c>
      <c r="G18" t="s">
        <v>525</v>
      </c>
      <c r="H18" t="s">
        <v>655</v>
      </c>
    </row>
    <row r="19" spans="1:8" x14ac:dyDescent="0.3">
      <c r="A19">
        <v>1.7875464556875446E-6</v>
      </c>
      <c r="B19" t="s">
        <v>314</v>
      </c>
      <c r="C19" t="s">
        <v>496</v>
      </c>
      <c r="D19" t="s">
        <v>494</v>
      </c>
      <c r="E19" s="2" t="s">
        <v>496</v>
      </c>
      <c r="F19" t="s">
        <v>13</v>
      </c>
      <c r="G19" t="s">
        <v>525</v>
      </c>
      <c r="H19" t="s">
        <v>655</v>
      </c>
    </row>
    <row r="20" spans="1:8" x14ac:dyDescent="0.3">
      <c r="A20">
        <v>1.2768188969196751E-6</v>
      </c>
      <c r="B20" t="s">
        <v>314</v>
      </c>
      <c r="C20" t="s">
        <v>497</v>
      </c>
      <c r="D20" t="s">
        <v>494</v>
      </c>
      <c r="E20" s="2" t="s">
        <v>497</v>
      </c>
      <c r="F20" t="s">
        <v>13</v>
      </c>
      <c r="G20" t="s">
        <v>525</v>
      </c>
      <c r="H20" t="s">
        <v>655</v>
      </c>
    </row>
    <row r="21" spans="1:8" x14ac:dyDescent="0.3">
      <c r="A21">
        <v>1.8744600613122816E-7</v>
      </c>
      <c r="B21" t="s">
        <v>507</v>
      </c>
      <c r="C21" t="s">
        <v>506</v>
      </c>
      <c r="D21" t="s">
        <v>498</v>
      </c>
      <c r="E21" s="2" t="s">
        <v>506</v>
      </c>
      <c r="F21" t="s">
        <v>13</v>
      </c>
      <c r="G21" t="s">
        <v>525</v>
      </c>
      <c r="H21" t="s">
        <v>655</v>
      </c>
    </row>
    <row r="22" spans="1:8" x14ac:dyDescent="0.3">
      <c r="A22">
        <v>3.3849999999999998E-2</v>
      </c>
      <c r="B22" t="s">
        <v>57</v>
      </c>
      <c r="C22" t="s">
        <v>722</v>
      </c>
      <c r="D22" t="s">
        <v>498</v>
      </c>
      <c r="E22" t="s">
        <v>514</v>
      </c>
      <c r="F22" t="s">
        <v>13</v>
      </c>
      <c r="G22" t="s">
        <v>525</v>
      </c>
      <c r="H22" t="s">
        <v>626</v>
      </c>
    </row>
    <row r="23" spans="1:8" x14ac:dyDescent="0.3">
      <c r="A23">
        <v>4.4149999999999997E-3</v>
      </c>
      <c r="B23" t="s">
        <v>57</v>
      </c>
      <c r="C23" t="s">
        <v>723</v>
      </c>
      <c r="D23" t="s">
        <v>498</v>
      </c>
      <c r="E23" t="s">
        <v>516</v>
      </c>
      <c r="F23" t="s">
        <v>13</v>
      </c>
      <c r="G23" t="s">
        <v>525</v>
      </c>
      <c r="H23" t="s">
        <v>626</v>
      </c>
    </row>
    <row r="24" spans="1:8" x14ac:dyDescent="0.3">
      <c r="A24">
        <v>8.3500000000000005E-2</v>
      </c>
      <c r="B24" t="s">
        <v>57</v>
      </c>
      <c r="C24" t="s">
        <v>724</v>
      </c>
      <c r="D24" t="s">
        <v>498</v>
      </c>
      <c r="E24" t="s">
        <v>514</v>
      </c>
      <c r="F24" t="s">
        <v>13</v>
      </c>
      <c r="G24" t="s">
        <v>525</v>
      </c>
      <c r="H24" t="s">
        <v>626</v>
      </c>
    </row>
    <row r="25" spans="1:8" x14ac:dyDescent="0.3">
      <c r="A25">
        <v>3.8273831775700931</v>
      </c>
      <c r="B25" t="s">
        <v>57</v>
      </c>
      <c r="C25" t="s">
        <v>535</v>
      </c>
      <c r="D25" t="s">
        <v>498</v>
      </c>
      <c r="E25" t="s">
        <v>502</v>
      </c>
      <c r="F25" t="s">
        <v>13</v>
      </c>
      <c r="G25" t="s">
        <v>525</v>
      </c>
      <c r="H25" t="s">
        <v>658</v>
      </c>
    </row>
    <row r="26" spans="1:8" x14ac:dyDescent="0.3">
      <c r="A26">
        <v>3.411214953271028E-4</v>
      </c>
      <c r="B26" t="s">
        <v>57</v>
      </c>
      <c r="C26" t="s">
        <v>500</v>
      </c>
      <c r="D26" t="s">
        <v>498</v>
      </c>
      <c r="E26" t="s">
        <v>500</v>
      </c>
      <c r="F26" t="s">
        <v>13</v>
      </c>
      <c r="G26" t="s">
        <v>525</v>
      </c>
      <c r="H26" t="s">
        <v>658</v>
      </c>
    </row>
    <row r="27" spans="1:8" x14ac:dyDescent="0.3">
      <c r="A27">
        <v>6.8224299065420561E-6</v>
      </c>
      <c r="B27" t="s">
        <v>57</v>
      </c>
      <c r="C27" t="s">
        <v>511</v>
      </c>
      <c r="D27" t="s">
        <v>498</v>
      </c>
      <c r="E27" t="s">
        <v>511</v>
      </c>
      <c r="F27" t="s">
        <v>13</v>
      </c>
      <c r="G27" t="s">
        <v>525</v>
      </c>
      <c r="H27" t="s">
        <v>658</v>
      </c>
    </row>
    <row r="28" spans="1:8" x14ac:dyDescent="0.3">
      <c r="A28">
        <v>0</v>
      </c>
      <c r="B28" t="s">
        <v>312</v>
      </c>
      <c r="C28" t="s">
        <v>483</v>
      </c>
      <c r="D28" t="s">
        <v>2</v>
      </c>
      <c r="E28" t="s">
        <v>483</v>
      </c>
      <c r="F28" t="s">
        <v>13</v>
      </c>
      <c r="G28" t="s">
        <v>525</v>
      </c>
    </row>
    <row r="29" spans="1:8" x14ac:dyDescent="0.3">
      <c r="A29">
        <v>0</v>
      </c>
      <c r="B29" t="s">
        <v>105</v>
      </c>
      <c r="C29" t="s">
        <v>125</v>
      </c>
      <c r="D29" t="s">
        <v>2</v>
      </c>
      <c r="E29" t="s">
        <v>125</v>
      </c>
      <c r="F29" t="s">
        <v>13</v>
      </c>
      <c r="G29" t="s">
        <v>525</v>
      </c>
    </row>
    <row r="30" spans="1:8" x14ac:dyDescent="0.3">
      <c r="A30">
        <v>0</v>
      </c>
      <c r="B30" t="s">
        <v>319</v>
      </c>
      <c r="C30" t="s">
        <v>461</v>
      </c>
      <c r="D30" t="s">
        <v>2</v>
      </c>
      <c r="E30" t="s">
        <v>461</v>
      </c>
      <c r="F30" t="s">
        <v>13</v>
      </c>
      <c r="G30" t="s">
        <v>525</v>
      </c>
    </row>
    <row r="31" spans="1:8" x14ac:dyDescent="0.3">
      <c r="A31">
        <v>0</v>
      </c>
      <c r="B31" t="s">
        <v>314</v>
      </c>
      <c r="C31" t="s">
        <v>395</v>
      </c>
      <c r="D31" t="s">
        <v>2</v>
      </c>
      <c r="E31" t="s">
        <v>395</v>
      </c>
      <c r="F31" t="s">
        <v>13</v>
      </c>
      <c r="G31" t="s">
        <v>525</v>
      </c>
    </row>
    <row r="32" spans="1:8" x14ac:dyDescent="0.3">
      <c r="A32">
        <v>0</v>
      </c>
      <c r="B32" t="s">
        <v>312</v>
      </c>
      <c r="C32" t="s">
        <v>399</v>
      </c>
      <c r="D32" t="s">
        <v>2</v>
      </c>
      <c r="E32" t="s">
        <v>399</v>
      </c>
      <c r="F32" t="s">
        <v>13</v>
      </c>
      <c r="G32" t="s">
        <v>525</v>
      </c>
    </row>
    <row r="33" spans="1:7" x14ac:dyDescent="0.3">
      <c r="A33">
        <v>0</v>
      </c>
      <c r="B33" t="s">
        <v>314</v>
      </c>
      <c r="C33" t="s">
        <v>432</v>
      </c>
      <c r="D33" t="s">
        <v>2</v>
      </c>
      <c r="E33" t="s">
        <v>432</v>
      </c>
      <c r="F33" t="s">
        <v>13</v>
      </c>
      <c r="G33" t="s">
        <v>525</v>
      </c>
    </row>
    <row r="34" spans="1:7" x14ac:dyDescent="0.3">
      <c r="A34">
        <v>0</v>
      </c>
      <c r="B34" t="s">
        <v>312</v>
      </c>
      <c r="C34" t="s">
        <v>325</v>
      </c>
      <c r="D34" t="s">
        <v>2</v>
      </c>
      <c r="E34" t="s">
        <v>325</v>
      </c>
      <c r="F34" t="s">
        <v>13</v>
      </c>
      <c r="G34" t="s">
        <v>525</v>
      </c>
    </row>
    <row r="35" spans="1:7" x14ac:dyDescent="0.3">
      <c r="A35">
        <v>0</v>
      </c>
      <c r="B35" t="s">
        <v>314</v>
      </c>
      <c r="C35" t="s">
        <v>372</v>
      </c>
      <c r="D35" t="s">
        <v>2</v>
      </c>
      <c r="E35" t="s">
        <v>372</v>
      </c>
      <c r="F35" t="s">
        <v>13</v>
      </c>
      <c r="G35" t="s">
        <v>525</v>
      </c>
    </row>
    <row r="36" spans="1:7" x14ac:dyDescent="0.3">
      <c r="A36">
        <v>0</v>
      </c>
      <c r="B36" t="s">
        <v>314</v>
      </c>
      <c r="C36" t="s">
        <v>260</v>
      </c>
      <c r="D36" t="s">
        <v>2</v>
      </c>
      <c r="E36" t="s">
        <v>260</v>
      </c>
      <c r="F36" t="s">
        <v>13</v>
      </c>
      <c r="G36" t="s">
        <v>525</v>
      </c>
    </row>
    <row r="37" spans="1:7" x14ac:dyDescent="0.3">
      <c r="A37">
        <v>0</v>
      </c>
      <c r="B37" t="s">
        <v>312</v>
      </c>
      <c r="C37" t="s">
        <v>330</v>
      </c>
      <c r="D37" t="s">
        <v>2</v>
      </c>
      <c r="E37" t="s">
        <v>330</v>
      </c>
      <c r="F37" t="s">
        <v>13</v>
      </c>
      <c r="G37" t="s">
        <v>525</v>
      </c>
    </row>
    <row r="38" spans="1:7" x14ac:dyDescent="0.3">
      <c r="A38">
        <v>0</v>
      </c>
      <c r="B38" t="s">
        <v>105</v>
      </c>
      <c r="C38" t="s">
        <v>401</v>
      </c>
      <c r="D38" t="s">
        <v>2</v>
      </c>
      <c r="E38" t="s">
        <v>401</v>
      </c>
      <c r="F38" t="s">
        <v>13</v>
      </c>
      <c r="G38" t="s">
        <v>525</v>
      </c>
    </row>
    <row r="39" spans="1:7" x14ac:dyDescent="0.3">
      <c r="A39">
        <v>0</v>
      </c>
      <c r="B39" t="s">
        <v>312</v>
      </c>
      <c r="C39" t="s">
        <v>416</v>
      </c>
      <c r="D39" t="s">
        <v>2</v>
      </c>
      <c r="E39" t="s">
        <v>416</v>
      </c>
      <c r="F39" t="s">
        <v>13</v>
      </c>
      <c r="G39" t="s">
        <v>525</v>
      </c>
    </row>
    <row r="40" spans="1:7" x14ac:dyDescent="0.3">
      <c r="A40">
        <v>0</v>
      </c>
      <c r="B40" t="s">
        <v>319</v>
      </c>
      <c r="C40" t="s">
        <v>375</v>
      </c>
      <c r="D40" t="s">
        <v>2</v>
      </c>
      <c r="E40" t="s">
        <v>375</v>
      </c>
      <c r="F40" t="s">
        <v>13</v>
      </c>
      <c r="G40" t="s">
        <v>525</v>
      </c>
    </row>
    <row r="41" spans="1:7" x14ac:dyDescent="0.3">
      <c r="A41">
        <v>0</v>
      </c>
      <c r="B41" t="s">
        <v>312</v>
      </c>
      <c r="C41" t="s">
        <v>333</v>
      </c>
      <c r="D41" t="s">
        <v>2</v>
      </c>
      <c r="E41" t="s">
        <v>333</v>
      </c>
      <c r="F41" t="s">
        <v>13</v>
      </c>
      <c r="G41" t="s">
        <v>525</v>
      </c>
    </row>
    <row r="42" spans="1:7" x14ac:dyDescent="0.3">
      <c r="A42">
        <v>0</v>
      </c>
      <c r="B42" t="s">
        <v>57</v>
      </c>
      <c r="C42" t="s">
        <v>118</v>
      </c>
      <c r="D42" t="s">
        <v>2</v>
      </c>
      <c r="E42" t="s">
        <v>118</v>
      </c>
      <c r="F42" t="s">
        <v>13</v>
      </c>
      <c r="G42" t="s">
        <v>525</v>
      </c>
    </row>
    <row r="43" spans="1:7" x14ac:dyDescent="0.3">
      <c r="A43">
        <v>0</v>
      </c>
      <c r="B43" t="s">
        <v>312</v>
      </c>
      <c r="C43" t="s">
        <v>406</v>
      </c>
      <c r="D43" t="s">
        <v>2</v>
      </c>
      <c r="E43" t="s">
        <v>406</v>
      </c>
      <c r="F43" t="s">
        <v>13</v>
      </c>
      <c r="G43" t="s">
        <v>525</v>
      </c>
    </row>
    <row r="44" spans="1:7" x14ac:dyDescent="0.3">
      <c r="A44">
        <v>0</v>
      </c>
      <c r="B44" t="s">
        <v>312</v>
      </c>
      <c r="C44" t="s">
        <v>315</v>
      </c>
      <c r="D44" t="s">
        <v>2</v>
      </c>
      <c r="E44" t="s">
        <v>315</v>
      </c>
      <c r="F44" t="s">
        <v>13</v>
      </c>
      <c r="G44" t="s">
        <v>525</v>
      </c>
    </row>
    <row r="45" spans="1:7" x14ac:dyDescent="0.3">
      <c r="A45">
        <v>0</v>
      </c>
      <c r="B45" t="s">
        <v>312</v>
      </c>
      <c r="C45" t="s">
        <v>358</v>
      </c>
      <c r="D45" t="s">
        <v>2</v>
      </c>
      <c r="E45" t="s">
        <v>358</v>
      </c>
      <c r="F45" t="s">
        <v>13</v>
      </c>
      <c r="G45" t="s">
        <v>525</v>
      </c>
    </row>
    <row r="46" spans="1:7" x14ac:dyDescent="0.3">
      <c r="A46">
        <v>0</v>
      </c>
      <c r="B46" t="s">
        <v>314</v>
      </c>
      <c r="C46" t="s">
        <v>444</v>
      </c>
      <c r="D46" t="s">
        <v>2</v>
      </c>
      <c r="E46" t="s">
        <v>444</v>
      </c>
      <c r="F46" t="s">
        <v>13</v>
      </c>
      <c r="G46" t="s">
        <v>525</v>
      </c>
    </row>
    <row r="47" spans="1:7" x14ac:dyDescent="0.3">
      <c r="A47">
        <v>0</v>
      </c>
      <c r="B47" t="s">
        <v>312</v>
      </c>
      <c r="C47" t="s">
        <v>439</v>
      </c>
      <c r="D47" t="s">
        <v>2</v>
      </c>
      <c r="E47" t="s">
        <v>439</v>
      </c>
      <c r="F47" t="s">
        <v>13</v>
      </c>
      <c r="G47" t="s">
        <v>525</v>
      </c>
    </row>
    <row r="48" spans="1:7" x14ac:dyDescent="0.3">
      <c r="A48">
        <v>0</v>
      </c>
      <c r="B48" t="s">
        <v>312</v>
      </c>
      <c r="C48" t="s">
        <v>381</v>
      </c>
      <c r="D48" t="s">
        <v>2</v>
      </c>
      <c r="E48" t="s">
        <v>381</v>
      </c>
      <c r="F48" t="s">
        <v>13</v>
      </c>
      <c r="G48" t="s">
        <v>525</v>
      </c>
    </row>
    <row r="49" spans="1:7" x14ac:dyDescent="0.3">
      <c r="A49">
        <v>0</v>
      </c>
      <c r="B49" t="s">
        <v>312</v>
      </c>
      <c r="C49" t="s">
        <v>418</v>
      </c>
      <c r="D49" t="s">
        <v>2</v>
      </c>
      <c r="E49" t="s">
        <v>418</v>
      </c>
      <c r="F49" t="s">
        <v>13</v>
      </c>
      <c r="G49" t="s">
        <v>525</v>
      </c>
    </row>
    <row r="50" spans="1:7" x14ac:dyDescent="0.3">
      <c r="A50">
        <v>0</v>
      </c>
      <c r="B50" t="s">
        <v>314</v>
      </c>
      <c r="C50" t="s">
        <v>465</v>
      </c>
      <c r="D50" t="s">
        <v>2</v>
      </c>
      <c r="E50" t="s">
        <v>465</v>
      </c>
      <c r="F50" t="s">
        <v>13</v>
      </c>
      <c r="G50" t="s">
        <v>525</v>
      </c>
    </row>
    <row r="51" spans="1:7" x14ac:dyDescent="0.3">
      <c r="A51">
        <v>0</v>
      </c>
      <c r="B51" t="s">
        <v>105</v>
      </c>
      <c r="C51" t="s">
        <v>103</v>
      </c>
      <c r="D51" t="s">
        <v>2</v>
      </c>
      <c r="E51" t="s">
        <v>103</v>
      </c>
      <c r="F51" t="s">
        <v>13</v>
      </c>
      <c r="G51" t="s">
        <v>525</v>
      </c>
    </row>
    <row r="52" spans="1:7" x14ac:dyDescent="0.3">
      <c r="A52">
        <v>0</v>
      </c>
      <c r="B52" t="s">
        <v>312</v>
      </c>
      <c r="C52" t="s">
        <v>320</v>
      </c>
      <c r="D52" t="s">
        <v>2</v>
      </c>
      <c r="E52" t="s">
        <v>320</v>
      </c>
      <c r="F52" t="s">
        <v>13</v>
      </c>
      <c r="G52" t="s">
        <v>525</v>
      </c>
    </row>
    <row r="53" spans="1:7" x14ac:dyDescent="0.3">
      <c r="A53">
        <v>0</v>
      </c>
      <c r="B53" t="s">
        <v>312</v>
      </c>
      <c r="C53" t="s">
        <v>334</v>
      </c>
      <c r="D53" t="s">
        <v>2</v>
      </c>
      <c r="E53" t="s">
        <v>334</v>
      </c>
      <c r="F53" t="s">
        <v>13</v>
      </c>
      <c r="G53" t="s">
        <v>525</v>
      </c>
    </row>
    <row r="54" spans="1:7" x14ac:dyDescent="0.3">
      <c r="A54">
        <v>0</v>
      </c>
      <c r="B54" t="s">
        <v>312</v>
      </c>
      <c r="C54" t="s">
        <v>435</v>
      </c>
      <c r="D54" t="s">
        <v>2</v>
      </c>
      <c r="E54" t="s">
        <v>435</v>
      </c>
      <c r="F54" t="s">
        <v>13</v>
      </c>
      <c r="G54" t="s">
        <v>525</v>
      </c>
    </row>
    <row r="55" spans="1:7" x14ac:dyDescent="0.3">
      <c r="A55">
        <v>0</v>
      </c>
      <c r="B55" t="s">
        <v>319</v>
      </c>
      <c r="C55" t="s">
        <v>456</v>
      </c>
      <c r="D55" t="s">
        <v>2</v>
      </c>
      <c r="E55" t="s">
        <v>456</v>
      </c>
      <c r="F55" t="s">
        <v>13</v>
      </c>
      <c r="G55" t="s">
        <v>525</v>
      </c>
    </row>
    <row r="56" spans="1:7" x14ac:dyDescent="0.3">
      <c r="A56">
        <v>0</v>
      </c>
      <c r="B56" t="s">
        <v>312</v>
      </c>
      <c r="C56" t="s">
        <v>474</v>
      </c>
      <c r="D56" t="s">
        <v>2</v>
      </c>
      <c r="E56" t="s">
        <v>474</v>
      </c>
      <c r="F56" t="s">
        <v>13</v>
      </c>
      <c r="G56" t="s">
        <v>525</v>
      </c>
    </row>
    <row r="57" spans="1:7" x14ac:dyDescent="0.3">
      <c r="A57">
        <v>0</v>
      </c>
      <c r="B57" t="s">
        <v>319</v>
      </c>
      <c r="C57" t="s">
        <v>318</v>
      </c>
      <c r="D57" t="s">
        <v>2</v>
      </c>
      <c r="E57" t="s">
        <v>318</v>
      </c>
      <c r="F57" t="s">
        <v>13</v>
      </c>
      <c r="G57" t="s">
        <v>525</v>
      </c>
    </row>
    <row r="58" spans="1:7" x14ac:dyDescent="0.3">
      <c r="A58">
        <v>0</v>
      </c>
      <c r="B58" t="s">
        <v>314</v>
      </c>
      <c r="C58" t="s">
        <v>475</v>
      </c>
      <c r="D58" t="s">
        <v>2</v>
      </c>
      <c r="E58" t="s">
        <v>475</v>
      </c>
      <c r="F58" t="s">
        <v>13</v>
      </c>
      <c r="G58" t="s">
        <v>525</v>
      </c>
    </row>
    <row r="59" spans="1:7" x14ac:dyDescent="0.3">
      <c r="A59">
        <v>0</v>
      </c>
      <c r="B59" t="s">
        <v>314</v>
      </c>
      <c r="C59" t="s">
        <v>449</v>
      </c>
      <c r="D59" t="s">
        <v>2</v>
      </c>
      <c r="E59" t="s">
        <v>449</v>
      </c>
      <c r="F59" t="s">
        <v>13</v>
      </c>
      <c r="G59" t="s">
        <v>525</v>
      </c>
    </row>
    <row r="60" spans="1:7" x14ac:dyDescent="0.3">
      <c r="A60">
        <v>0</v>
      </c>
      <c r="B60" t="s">
        <v>314</v>
      </c>
      <c r="C60" t="s">
        <v>176</v>
      </c>
      <c r="D60" t="s">
        <v>2</v>
      </c>
      <c r="E60" t="s">
        <v>176</v>
      </c>
      <c r="F60" t="s">
        <v>13</v>
      </c>
      <c r="G60" t="s">
        <v>525</v>
      </c>
    </row>
    <row r="61" spans="1:7" x14ac:dyDescent="0.3">
      <c r="A61">
        <v>0</v>
      </c>
      <c r="B61" t="s">
        <v>312</v>
      </c>
      <c r="C61" t="s">
        <v>388</v>
      </c>
      <c r="D61" t="s">
        <v>2</v>
      </c>
      <c r="E61" t="s">
        <v>388</v>
      </c>
      <c r="F61" t="s">
        <v>13</v>
      </c>
      <c r="G61" t="s">
        <v>525</v>
      </c>
    </row>
    <row r="62" spans="1:7" x14ac:dyDescent="0.3">
      <c r="A62">
        <v>0</v>
      </c>
      <c r="B62" t="s">
        <v>319</v>
      </c>
      <c r="C62" t="s">
        <v>429</v>
      </c>
      <c r="D62" t="s">
        <v>2</v>
      </c>
      <c r="E62" t="s">
        <v>429</v>
      </c>
      <c r="F62" t="s">
        <v>13</v>
      </c>
      <c r="G62" t="s">
        <v>525</v>
      </c>
    </row>
    <row r="63" spans="1:7" x14ac:dyDescent="0.3">
      <c r="A63">
        <v>0</v>
      </c>
      <c r="B63" t="s">
        <v>312</v>
      </c>
      <c r="C63" t="s">
        <v>272</v>
      </c>
      <c r="D63" t="s">
        <v>2</v>
      </c>
      <c r="E63" t="s">
        <v>272</v>
      </c>
      <c r="F63" t="s">
        <v>13</v>
      </c>
      <c r="G63" t="s">
        <v>525</v>
      </c>
    </row>
    <row r="64" spans="1:7" x14ac:dyDescent="0.3">
      <c r="A64">
        <v>0</v>
      </c>
      <c r="B64" t="s">
        <v>312</v>
      </c>
      <c r="C64" t="s">
        <v>410</v>
      </c>
      <c r="D64" t="s">
        <v>2</v>
      </c>
      <c r="E64" t="s">
        <v>410</v>
      </c>
      <c r="F64" t="s">
        <v>13</v>
      </c>
      <c r="G64" t="s">
        <v>525</v>
      </c>
    </row>
    <row r="65" spans="1:7" x14ac:dyDescent="0.3">
      <c r="A65">
        <v>0</v>
      </c>
      <c r="B65" t="s">
        <v>319</v>
      </c>
      <c r="C65" t="s">
        <v>363</v>
      </c>
      <c r="D65" t="s">
        <v>2</v>
      </c>
      <c r="E65" t="s">
        <v>363</v>
      </c>
      <c r="F65" t="s">
        <v>13</v>
      </c>
      <c r="G65" t="s">
        <v>525</v>
      </c>
    </row>
    <row r="66" spans="1:7" x14ac:dyDescent="0.3">
      <c r="A66">
        <v>0</v>
      </c>
      <c r="B66" t="s">
        <v>312</v>
      </c>
      <c r="C66" t="s">
        <v>382</v>
      </c>
      <c r="D66" t="s">
        <v>2</v>
      </c>
      <c r="E66" t="s">
        <v>382</v>
      </c>
      <c r="F66" t="s">
        <v>13</v>
      </c>
      <c r="G66" t="s">
        <v>525</v>
      </c>
    </row>
    <row r="67" spans="1:7" x14ac:dyDescent="0.3">
      <c r="A67">
        <v>0</v>
      </c>
      <c r="B67" t="s">
        <v>312</v>
      </c>
      <c r="C67" t="s">
        <v>424</v>
      </c>
      <c r="D67" t="s">
        <v>2</v>
      </c>
      <c r="E67" t="s">
        <v>424</v>
      </c>
      <c r="F67" t="s">
        <v>13</v>
      </c>
      <c r="G67" t="s">
        <v>525</v>
      </c>
    </row>
    <row r="68" spans="1:7" x14ac:dyDescent="0.3">
      <c r="A68">
        <v>0</v>
      </c>
      <c r="B68" t="s">
        <v>314</v>
      </c>
      <c r="C68" t="s">
        <v>351</v>
      </c>
      <c r="D68" t="s">
        <v>2</v>
      </c>
      <c r="E68" t="s">
        <v>351</v>
      </c>
      <c r="F68" t="s">
        <v>13</v>
      </c>
      <c r="G68" t="s">
        <v>525</v>
      </c>
    </row>
    <row r="69" spans="1:7" x14ac:dyDescent="0.3">
      <c r="A69">
        <v>0</v>
      </c>
      <c r="B69" t="s">
        <v>312</v>
      </c>
      <c r="C69" t="s">
        <v>347</v>
      </c>
      <c r="D69" t="s">
        <v>2</v>
      </c>
      <c r="E69" t="s">
        <v>347</v>
      </c>
      <c r="F69" t="s">
        <v>13</v>
      </c>
      <c r="G69" t="s">
        <v>525</v>
      </c>
    </row>
    <row r="70" spans="1:7" x14ac:dyDescent="0.3">
      <c r="A70">
        <v>0</v>
      </c>
      <c r="B70" t="s">
        <v>314</v>
      </c>
      <c r="C70" t="s">
        <v>453</v>
      </c>
      <c r="D70" t="s">
        <v>2</v>
      </c>
      <c r="E70" t="s">
        <v>453</v>
      </c>
      <c r="F70" t="s">
        <v>13</v>
      </c>
      <c r="G70" t="s">
        <v>525</v>
      </c>
    </row>
    <row r="71" spans="1:7" x14ac:dyDescent="0.3">
      <c r="A71">
        <v>0</v>
      </c>
      <c r="B71" t="s">
        <v>319</v>
      </c>
      <c r="C71" t="s">
        <v>457</v>
      </c>
      <c r="D71" t="s">
        <v>2</v>
      </c>
      <c r="E71" t="s">
        <v>457</v>
      </c>
      <c r="F71" t="s">
        <v>13</v>
      </c>
      <c r="G71" t="s">
        <v>525</v>
      </c>
    </row>
    <row r="72" spans="1:7" x14ac:dyDescent="0.3">
      <c r="A72">
        <v>0</v>
      </c>
      <c r="B72" t="s">
        <v>312</v>
      </c>
      <c r="C72" t="s">
        <v>485</v>
      </c>
      <c r="D72" t="s">
        <v>2</v>
      </c>
      <c r="E72" t="s">
        <v>485</v>
      </c>
      <c r="F72" t="s">
        <v>13</v>
      </c>
      <c r="G72" t="s">
        <v>525</v>
      </c>
    </row>
    <row r="73" spans="1:7" x14ac:dyDescent="0.3">
      <c r="A73">
        <v>0</v>
      </c>
      <c r="B73" t="s">
        <v>312</v>
      </c>
      <c r="C73" t="s">
        <v>355</v>
      </c>
      <c r="D73" t="s">
        <v>2</v>
      </c>
      <c r="E73" t="s">
        <v>355</v>
      </c>
      <c r="F73" t="s">
        <v>13</v>
      </c>
      <c r="G73" t="s">
        <v>525</v>
      </c>
    </row>
    <row r="74" spans="1:7" x14ac:dyDescent="0.3">
      <c r="A74">
        <v>0</v>
      </c>
      <c r="B74" t="s">
        <v>312</v>
      </c>
      <c r="C74" t="s">
        <v>338</v>
      </c>
      <c r="D74" t="s">
        <v>2</v>
      </c>
      <c r="E74" t="s">
        <v>338</v>
      </c>
      <c r="F74" t="s">
        <v>13</v>
      </c>
      <c r="G74" t="s">
        <v>525</v>
      </c>
    </row>
    <row r="75" spans="1:7" x14ac:dyDescent="0.3">
      <c r="A75">
        <v>0</v>
      </c>
      <c r="B75" t="s">
        <v>312</v>
      </c>
      <c r="C75" t="s">
        <v>394</v>
      </c>
      <c r="D75" t="s">
        <v>2</v>
      </c>
      <c r="E75" t="s">
        <v>394</v>
      </c>
      <c r="F75" t="s">
        <v>13</v>
      </c>
      <c r="G75" t="s">
        <v>525</v>
      </c>
    </row>
    <row r="76" spans="1:7" x14ac:dyDescent="0.3">
      <c r="A76">
        <v>0</v>
      </c>
      <c r="B76" t="s">
        <v>312</v>
      </c>
      <c r="C76" t="s">
        <v>438</v>
      </c>
      <c r="D76" t="s">
        <v>2</v>
      </c>
      <c r="E76" t="s">
        <v>438</v>
      </c>
      <c r="F76" t="s">
        <v>13</v>
      </c>
      <c r="G76" t="s">
        <v>525</v>
      </c>
    </row>
    <row r="77" spans="1:7" x14ac:dyDescent="0.3">
      <c r="A77">
        <v>0</v>
      </c>
      <c r="B77" t="s">
        <v>312</v>
      </c>
      <c r="C77" t="s">
        <v>486</v>
      </c>
      <c r="D77" t="s">
        <v>2</v>
      </c>
      <c r="E77" t="s">
        <v>486</v>
      </c>
      <c r="F77" t="s">
        <v>13</v>
      </c>
      <c r="G77" t="s">
        <v>525</v>
      </c>
    </row>
    <row r="78" spans="1:7" x14ac:dyDescent="0.3">
      <c r="A78">
        <v>0</v>
      </c>
      <c r="B78" t="s">
        <v>319</v>
      </c>
      <c r="C78" t="s">
        <v>419</v>
      </c>
      <c r="D78" t="s">
        <v>2</v>
      </c>
      <c r="E78" t="s">
        <v>419</v>
      </c>
      <c r="F78" t="s">
        <v>13</v>
      </c>
      <c r="G78" t="s">
        <v>525</v>
      </c>
    </row>
    <row r="79" spans="1:7" x14ac:dyDescent="0.3">
      <c r="A79">
        <v>0</v>
      </c>
      <c r="B79" t="s">
        <v>57</v>
      </c>
      <c r="C79" t="s">
        <v>353</v>
      </c>
      <c r="D79" t="s">
        <v>2</v>
      </c>
      <c r="E79" t="s">
        <v>353</v>
      </c>
      <c r="F79" t="s">
        <v>13</v>
      </c>
      <c r="G79" t="s">
        <v>525</v>
      </c>
    </row>
    <row r="80" spans="1:7" x14ac:dyDescent="0.3">
      <c r="A80">
        <v>0</v>
      </c>
      <c r="B80" t="s">
        <v>319</v>
      </c>
      <c r="C80" t="s">
        <v>489</v>
      </c>
      <c r="D80" t="s">
        <v>2</v>
      </c>
      <c r="E80" t="s">
        <v>489</v>
      </c>
      <c r="F80" t="s">
        <v>13</v>
      </c>
      <c r="G80" t="s">
        <v>525</v>
      </c>
    </row>
    <row r="81" spans="1:7" x14ac:dyDescent="0.3">
      <c r="A81">
        <v>0</v>
      </c>
      <c r="B81" t="s">
        <v>312</v>
      </c>
      <c r="C81" t="s">
        <v>386</v>
      </c>
      <c r="D81" t="s">
        <v>2</v>
      </c>
      <c r="E81" t="s">
        <v>386</v>
      </c>
      <c r="F81" t="s">
        <v>13</v>
      </c>
      <c r="G81" t="s">
        <v>525</v>
      </c>
    </row>
    <row r="82" spans="1:7" x14ac:dyDescent="0.3">
      <c r="A82">
        <v>0</v>
      </c>
      <c r="B82" t="s">
        <v>319</v>
      </c>
      <c r="C82" t="s">
        <v>389</v>
      </c>
      <c r="D82" t="s">
        <v>2</v>
      </c>
      <c r="E82" t="s">
        <v>389</v>
      </c>
      <c r="F82" t="s">
        <v>13</v>
      </c>
      <c r="G82" t="s">
        <v>525</v>
      </c>
    </row>
    <row r="83" spans="1:7" x14ac:dyDescent="0.3">
      <c r="A83">
        <v>0</v>
      </c>
      <c r="B83" t="s">
        <v>312</v>
      </c>
      <c r="C83" t="s">
        <v>340</v>
      </c>
      <c r="D83" t="s">
        <v>2</v>
      </c>
      <c r="E83" t="s">
        <v>340</v>
      </c>
      <c r="F83" t="s">
        <v>13</v>
      </c>
      <c r="G83" t="s">
        <v>525</v>
      </c>
    </row>
    <row r="84" spans="1:7" x14ac:dyDescent="0.3">
      <c r="A84">
        <v>0</v>
      </c>
      <c r="B84" t="s">
        <v>312</v>
      </c>
      <c r="C84" t="s">
        <v>368</v>
      </c>
      <c r="D84" t="s">
        <v>2</v>
      </c>
      <c r="E84" t="s">
        <v>368</v>
      </c>
      <c r="F84" t="s">
        <v>13</v>
      </c>
      <c r="G84" t="s">
        <v>525</v>
      </c>
    </row>
    <row r="85" spans="1:7" x14ac:dyDescent="0.3">
      <c r="A85">
        <v>0</v>
      </c>
      <c r="B85" t="s">
        <v>312</v>
      </c>
      <c r="C85" t="s">
        <v>328</v>
      </c>
      <c r="D85" t="s">
        <v>2</v>
      </c>
      <c r="E85" t="s">
        <v>328</v>
      </c>
      <c r="F85" t="s">
        <v>13</v>
      </c>
      <c r="G85" t="s">
        <v>525</v>
      </c>
    </row>
    <row r="86" spans="1:7" x14ac:dyDescent="0.3">
      <c r="A86">
        <v>0</v>
      </c>
      <c r="B86" t="s">
        <v>312</v>
      </c>
      <c r="C86" t="s">
        <v>479</v>
      </c>
      <c r="D86" t="s">
        <v>2</v>
      </c>
      <c r="E86" t="s">
        <v>479</v>
      </c>
      <c r="F86" t="s">
        <v>13</v>
      </c>
      <c r="G86" t="s">
        <v>525</v>
      </c>
    </row>
    <row r="87" spans="1:7" x14ac:dyDescent="0.3">
      <c r="A87">
        <v>0</v>
      </c>
      <c r="B87" t="s">
        <v>57</v>
      </c>
      <c r="C87" t="s">
        <v>116</v>
      </c>
      <c r="D87" t="s">
        <v>2</v>
      </c>
      <c r="E87" t="s">
        <v>116</v>
      </c>
      <c r="F87" t="s">
        <v>13</v>
      </c>
      <c r="G87" t="s">
        <v>525</v>
      </c>
    </row>
    <row r="88" spans="1:7" x14ac:dyDescent="0.3">
      <c r="A88">
        <v>0</v>
      </c>
      <c r="B88" t="s">
        <v>312</v>
      </c>
      <c r="C88" t="s">
        <v>352</v>
      </c>
      <c r="D88" t="s">
        <v>2</v>
      </c>
      <c r="E88" t="s">
        <v>352</v>
      </c>
      <c r="F88" t="s">
        <v>13</v>
      </c>
      <c r="G88" t="s">
        <v>525</v>
      </c>
    </row>
    <row r="89" spans="1:7" x14ac:dyDescent="0.3">
      <c r="A89">
        <v>0</v>
      </c>
      <c r="B89" t="s">
        <v>312</v>
      </c>
      <c r="C89" t="s">
        <v>417</v>
      </c>
      <c r="D89" t="s">
        <v>2</v>
      </c>
      <c r="E89" t="s">
        <v>417</v>
      </c>
      <c r="F89" t="s">
        <v>13</v>
      </c>
      <c r="G89" t="s">
        <v>525</v>
      </c>
    </row>
    <row r="90" spans="1:7" x14ac:dyDescent="0.3">
      <c r="A90">
        <v>0</v>
      </c>
      <c r="B90" t="s">
        <v>312</v>
      </c>
      <c r="C90" t="s">
        <v>447</v>
      </c>
      <c r="D90" t="s">
        <v>2</v>
      </c>
      <c r="E90" t="s">
        <v>447</v>
      </c>
      <c r="F90" t="s">
        <v>13</v>
      </c>
      <c r="G90" t="s">
        <v>525</v>
      </c>
    </row>
    <row r="91" spans="1:7" x14ac:dyDescent="0.3">
      <c r="A91">
        <v>0</v>
      </c>
      <c r="B91" t="s">
        <v>319</v>
      </c>
      <c r="C91" t="s">
        <v>329</v>
      </c>
      <c r="D91" t="s">
        <v>2</v>
      </c>
      <c r="E91" t="s">
        <v>329</v>
      </c>
      <c r="F91" t="s">
        <v>13</v>
      </c>
      <c r="G91" t="s">
        <v>525</v>
      </c>
    </row>
    <row r="92" spans="1:7" x14ac:dyDescent="0.3">
      <c r="A92">
        <v>0</v>
      </c>
      <c r="B92" t="s">
        <v>312</v>
      </c>
      <c r="C92" t="s">
        <v>252</v>
      </c>
      <c r="D92" t="s">
        <v>2</v>
      </c>
      <c r="E92" t="s">
        <v>252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317</v>
      </c>
      <c r="D93" t="s">
        <v>2</v>
      </c>
      <c r="E93" t="s">
        <v>317</v>
      </c>
      <c r="F93" t="s">
        <v>13</v>
      </c>
      <c r="G93" t="s">
        <v>525</v>
      </c>
    </row>
    <row r="94" spans="1:7" x14ac:dyDescent="0.3">
      <c r="A94">
        <v>0</v>
      </c>
      <c r="B94" t="s">
        <v>312</v>
      </c>
      <c r="C94" t="s">
        <v>436</v>
      </c>
      <c r="D94" t="s">
        <v>2</v>
      </c>
      <c r="E94" t="s">
        <v>436</v>
      </c>
      <c r="F94" t="s">
        <v>13</v>
      </c>
      <c r="G94" t="s">
        <v>525</v>
      </c>
    </row>
    <row r="95" spans="1:7" x14ac:dyDescent="0.3">
      <c r="A95">
        <v>0</v>
      </c>
      <c r="B95" t="s">
        <v>319</v>
      </c>
      <c r="C95" t="s">
        <v>490</v>
      </c>
      <c r="D95" t="s">
        <v>2</v>
      </c>
      <c r="E95" t="s">
        <v>490</v>
      </c>
      <c r="F95" t="s">
        <v>13</v>
      </c>
      <c r="G95" t="s">
        <v>525</v>
      </c>
    </row>
    <row r="96" spans="1:7" x14ac:dyDescent="0.3">
      <c r="A96">
        <v>0</v>
      </c>
      <c r="B96" t="s">
        <v>312</v>
      </c>
      <c r="C96" t="s">
        <v>391</v>
      </c>
      <c r="D96" t="s">
        <v>2</v>
      </c>
      <c r="E96" t="s">
        <v>391</v>
      </c>
      <c r="F96" t="s">
        <v>13</v>
      </c>
      <c r="G96" t="s">
        <v>525</v>
      </c>
    </row>
    <row r="97" spans="1:7" x14ac:dyDescent="0.3">
      <c r="A97">
        <v>0</v>
      </c>
      <c r="B97" t="s">
        <v>312</v>
      </c>
      <c r="C97" t="s">
        <v>235</v>
      </c>
      <c r="D97" t="s">
        <v>2</v>
      </c>
      <c r="E97" t="s">
        <v>235</v>
      </c>
      <c r="F97" t="s">
        <v>13</v>
      </c>
      <c r="G97" t="s">
        <v>525</v>
      </c>
    </row>
    <row r="98" spans="1:7" x14ac:dyDescent="0.3">
      <c r="A98">
        <v>0</v>
      </c>
      <c r="B98" t="s">
        <v>312</v>
      </c>
      <c r="C98" t="s">
        <v>493</v>
      </c>
      <c r="D98" t="s">
        <v>2</v>
      </c>
      <c r="E98" t="s">
        <v>493</v>
      </c>
      <c r="F98" t="s">
        <v>13</v>
      </c>
      <c r="G98" t="s">
        <v>525</v>
      </c>
    </row>
    <row r="99" spans="1:7" x14ac:dyDescent="0.3">
      <c r="A99">
        <v>0</v>
      </c>
      <c r="B99" t="s">
        <v>312</v>
      </c>
      <c r="C99" t="s">
        <v>335</v>
      </c>
      <c r="D99" t="s">
        <v>2</v>
      </c>
      <c r="E99" t="s">
        <v>335</v>
      </c>
      <c r="F99" t="s">
        <v>13</v>
      </c>
      <c r="G99" t="s">
        <v>525</v>
      </c>
    </row>
    <row r="100" spans="1:7" x14ac:dyDescent="0.3">
      <c r="A100">
        <v>0</v>
      </c>
      <c r="B100" t="s">
        <v>312</v>
      </c>
      <c r="C100" t="s">
        <v>354</v>
      </c>
      <c r="D100" t="s">
        <v>2</v>
      </c>
      <c r="E100" t="s">
        <v>354</v>
      </c>
      <c r="F100" t="s">
        <v>13</v>
      </c>
      <c r="G100" t="s">
        <v>525</v>
      </c>
    </row>
    <row r="101" spans="1:7" x14ac:dyDescent="0.3">
      <c r="A101">
        <v>0</v>
      </c>
      <c r="B101" t="s">
        <v>319</v>
      </c>
      <c r="C101" t="s">
        <v>360</v>
      </c>
      <c r="D101" t="s">
        <v>2</v>
      </c>
      <c r="E101" t="s">
        <v>360</v>
      </c>
      <c r="F101" t="s">
        <v>13</v>
      </c>
      <c r="G101" t="s">
        <v>525</v>
      </c>
    </row>
    <row r="102" spans="1:7" x14ac:dyDescent="0.3">
      <c r="A102">
        <v>0</v>
      </c>
      <c r="B102" t="s">
        <v>314</v>
      </c>
      <c r="C102" t="s">
        <v>356</v>
      </c>
      <c r="D102" t="s">
        <v>2</v>
      </c>
      <c r="E102" t="s">
        <v>356</v>
      </c>
      <c r="F102" t="s">
        <v>13</v>
      </c>
      <c r="G102" t="s">
        <v>525</v>
      </c>
    </row>
    <row r="103" spans="1:7" x14ac:dyDescent="0.3">
      <c r="A103">
        <v>0</v>
      </c>
      <c r="B103" t="s">
        <v>312</v>
      </c>
      <c r="C103" t="s">
        <v>405</v>
      </c>
      <c r="D103" t="s">
        <v>2</v>
      </c>
      <c r="E103" t="s">
        <v>405</v>
      </c>
      <c r="F103" t="s">
        <v>13</v>
      </c>
      <c r="G103" t="s">
        <v>525</v>
      </c>
    </row>
    <row r="104" spans="1:7" x14ac:dyDescent="0.3">
      <c r="A104">
        <v>0</v>
      </c>
      <c r="B104" t="s">
        <v>312</v>
      </c>
      <c r="C104" t="s">
        <v>471</v>
      </c>
      <c r="D104" t="s">
        <v>2</v>
      </c>
      <c r="E104" t="s">
        <v>471</v>
      </c>
      <c r="F104" t="s">
        <v>13</v>
      </c>
      <c r="G104" t="s">
        <v>525</v>
      </c>
    </row>
    <row r="105" spans="1:7" x14ac:dyDescent="0.3">
      <c r="A105">
        <v>0</v>
      </c>
      <c r="B105" t="s">
        <v>319</v>
      </c>
      <c r="C105" t="s">
        <v>421</v>
      </c>
      <c r="D105" t="s">
        <v>2</v>
      </c>
      <c r="E105" t="s">
        <v>421</v>
      </c>
      <c r="F105" t="s">
        <v>13</v>
      </c>
      <c r="G105" t="s">
        <v>525</v>
      </c>
    </row>
    <row r="106" spans="1:7" x14ac:dyDescent="0.3">
      <c r="A106">
        <v>0</v>
      </c>
      <c r="B106" t="s">
        <v>312</v>
      </c>
      <c r="C106" t="s">
        <v>321</v>
      </c>
      <c r="D106" t="s">
        <v>2</v>
      </c>
      <c r="E106" t="s">
        <v>321</v>
      </c>
      <c r="F106" t="s">
        <v>13</v>
      </c>
      <c r="G106" t="s">
        <v>525</v>
      </c>
    </row>
    <row r="107" spans="1:7" x14ac:dyDescent="0.3">
      <c r="A107">
        <v>0</v>
      </c>
      <c r="B107" t="s">
        <v>105</v>
      </c>
      <c r="C107" t="s">
        <v>113</v>
      </c>
      <c r="D107" t="s">
        <v>2</v>
      </c>
      <c r="E107" t="s">
        <v>113</v>
      </c>
      <c r="F107" t="s">
        <v>13</v>
      </c>
      <c r="G107" t="s">
        <v>525</v>
      </c>
    </row>
    <row r="108" spans="1:7" x14ac:dyDescent="0.3">
      <c r="A108">
        <v>0</v>
      </c>
      <c r="B108" t="s">
        <v>312</v>
      </c>
      <c r="C108" t="s">
        <v>348</v>
      </c>
      <c r="D108" t="s">
        <v>2</v>
      </c>
      <c r="E108" t="s">
        <v>348</v>
      </c>
      <c r="F108" t="s">
        <v>13</v>
      </c>
      <c r="G108" t="s">
        <v>525</v>
      </c>
    </row>
    <row r="109" spans="1:7" x14ac:dyDescent="0.3">
      <c r="A109">
        <v>0</v>
      </c>
      <c r="B109" t="s">
        <v>105</v>
      </c>
      <c r="C109" t="s">
        <v>469</v>
      </c>
      <c r="D109" t="s">
        <v>2</v>
      </c>
      <c r="E109" t="s">
        <v>469</v>
      </c>
      <c r="F109" t="s">
        <v>13</v>
      </c>
      <c r="G109" t="s">
        <v>525</v>
      </c>
    </row>
    <row r="110" spans="1:7" x14ac:dyDescent="0.3">
      <c r="A110">
        <v>0</v>
      </c>
      <c r="B110" t="s">
        <v>314</v>
      </c>
      <c r="C110" t="s">
        <v>481</v>
      </c>
      <c r="D110" t="s">
        <v>2</v>
      </c>
      <c r="E110" t="s">
        <v>481</v>
      </c>
      <c r="F110" t="s">
        <v>13</v>
      </c>
      <c r="G110" t="s">
        <v>525</v>
      </c>
    </row>
    <row r="111" spans="1:7" x14ac:dyDescent="0.3">
      <c r="A111">
        <v>0</v>
      </c>
      <c r="B111" t="s">
        <v>312</v>
      </c>
      <c r="C111" t="s">
        <v>398</v>
      </c>
      <c r="D111" t="s">
        <v>2</v>
      </c>
      <c r="E111" t="s">
        <v>398</v>
      </c>
      <c r="F111" t="s">
        <v>13</v>
      </c>
      <c r="G111" t="s">
        <v>525</v>
      </c>
    </row>
    <row r="112" spans="1:7" x14ac:dyDescent="0.3">
      <c r="A112">
        <v>0</v>
      </c>
      <c r="B112" t="s">
        <v>314</v>
      </c>
      <c r="C112" t="s">
        <v>342</v>
      </c>
      <c r="D112" t="s">
        <v>2</v>
      </c>
      <c r="E112" t="s">
        <v>342</v>
      </c>
      <c r="F112" t="s">
        <v>13</v>
      </c>
      <c r="G112" t="s">
        <v>525</v>
      </c>
    </row>
    <row r="113" spans="1:7" x14ac:dyDescent="0.3">
      <c r="A113">
        <v>0</v>
      </c>
      <c r="B113" t="s">
        <v>312</v>
      </c>
      <c r="C113" t="s">
        <v>322</v>
      </c>
      <c r="D113" t="s">
        <v>2</v>
      </c>
      <c r="E113" t="s">
        <v>322</v>
      </c>
      <c r="F113" t="s">
        <v>13</v>
      </c>
      <c r="G113" t="s">
        <v>525</v>
      </c>
    </row>
    <row r="114" spans="1:7" x14ac:dyDescent="0.3">
      <c r="A114">
        <v>0</v>
      </c>
      <c r="B114" t="s">
        <v>314</v>
      </c>
      <c r="C114" t="s">
        <v>409</v>
      </c>
      <c r="D114" t="s">
        <v>2</v>
      </c>
      <c r="E114" t="s">
        <v>409</v>
      </c>
      <c r="F114" t="s">
        <v>13</v>
      </c>
      <c r="G114" t="s">
        <v>525</v>
      </c>
    </row>
    <row r="115" spans="1:7" x14ac:dyDescent="0.3">
      <c r="A115">
        <v>0</v>
      </c>
      <c r="B115" t="s">
        <v>314</v>
      </c>
      <c r="C115" t="s">
        <v>480</v>
      </c>
      <c r="D115" t="s">
        <v>2</v>
      </c>
      <c r="E115" t="s">
        <v>480</v>
      </c>
      <c r="F115" t="s">
        <v>13</v>
      </c>
      <c r="G115" t="s">
        <v>525</v>
      </c>
    </row>
    <row r="116" spans="1:7" x14ac:dyDescent="0.3">
      <c r="A116">
        <v>0</v>
      </c>
      <c r="B116" t="s">
        <v>105</v>
      </c>
      <c r="C116" t="s">
        <v>121</v>
      </c>
      <c r="D116" t="s">
        <v>2</v>
      </c>
      <c r="E116" t="s">
        <v>121</v>
      </c>
      <c r="F116" t="s">
        <v>13</v>
      </c>
      <c r="G116" t="s">
        <v>525</v>
      </c>
    </row>
    <row r="117" spans="1:7" x14ac:dyDescent="0.3">
      <c r="A117">
        <v>0</v>
      </c>
      <c r="B117" t="s">
        <v>312</v>
      </c>
      <c r="C117" t="s">
        <v>359</v>
      </c>
      <c r="D117" t="s">
        <v>2</v>
      </c>
      <c r="E117" t="s">
        <v>359</v>
      </c>
      <c r="F117" t="s">
        <v>13</v>
      </c>
      <c r="G117" t="s">
        <v>525</v>
      </c>
    </row>
    <row r="118" spans="1:7" x14ac:dyDescent="0.3">
      <c r="A118">
        <v>0</v>
      </c>
      <c r="B118" t="s">
        <v>319</v>
      </c>
      <c r="C118" t="s">
        <v>468</v>
      </c>
      <c r="D118" t="s">
        <v>2</v>
      </c>
      <c r="E118" t="s">
        <v>468</v>
      </c>
      <c r="F118" t="s">
        <v>13</v>
      </c>
      <c r="G118" t="s">
        <v>525</v>
      </c>
    </row>
    <row r="119" spans="1:7" x14ac:dyDescent="0.3">
      <c r="A119">
        <v>0</v>
      </c>
      <c r="B119" t="s">
        <v>319</v>
      </c>
      <c r="C119" t="s">
        <v>458</v>
      </c>
      <c r="D119" t="s">
        <v>2</v>
      </c>
      <c r="E119" t="s">
        <v>458</v>
      </c>
      <c r="F119" t="s">
        <v>13</v>
      </c>
      <c r="G119" t="s">
        <v>525</v>
      </c>
    </row>
    <row r="120" spans="1:7" x14ac:dyDescent="0.3">
      <c r="A120">
        <v>0</v>
      </c>
      <c r="B120" t="s">
        <v>312</v>
      </c>
      <c r="C120" t="s">
        <v>370</v>
      </c>
      <c r="D120" t="s">
        <v>2</v>
      </c>
      <c r="E120" t="s">
        <v>370</v>
      </c>
      <c r="F120" t="s">
        <v>13</v>
      </c>
      <c r="G120" t="s">
        <v>525</v>
      </c>
    </row>
    <row r="121" spans="1:7" x14ac:dyDescent="0.3">
      <c r="A121">
        <v>0</v>
      </c>
      <c r="B121" t="s">
        <v>57</v>
      </c>
      <c r="C121" t="s">
        <v>114</v>
      </c>
      <c r="D121" t="s">
        <v>2</v>
      </c>
      <c r="E121" t="s">
        <v>114</v>
      </c>
      <c r="F121" t="s">
        <v>13</v>
      </c>
      <c r="G121" t="s">
        <v>525</v>
      </c>
    </row>
    <row r="122" spans="1:7" x14ac:dyDescent="0.3">
      <c r="A122">
        <v>0</v>
      </c>
      <c r="B122" t="s">
        <v>319</v>
      </c>
      <c r="C122" t="s">
        <v>404</v>
      </c>
      <c r="D122" t="s">
        <v>2</v>
      </c>
      <c r="E122" t="s">
        <v>404</v>
      </c>
      <c r="F122" t="s">
        <v>13</v>
      </c>
      <c r="G122" t="s">
        <v>525</v>
      </c>
    </row>
    <row r="123" spans="1:7" x14ac:dyDescent="0.3">
      <c r="A123">
        <v>0</v>
      </c>
      <c r="B123" t="s">
        <v>312</v>
      </c>
      <c r="C123" t="s">
        <v>369</v>
      </c>
      <c r="D123" t="s">
        <v>2</v>
      </c>
      <c r="E123" t="s">
        <v>369</v>
      </c>
      <c r="F123" t="s">
        <v>13</v>
      </c>
      <c r="G123" t="s">
        <v>525</v>
      </c>
    </row>
    <row r="124" spans="1:7" x14ac:dyDescent="0.3">
      <c r="A124">
        <v>0</v>
      </c>
      <c r="B124" t="s">
        <v>57</v>
      </c>
      <c r="C124" t="s">
        <v>122</v>
      </c>
      <c r="D124" t="s">
        <v>2</v>
      </c>
      <c r="E124" t="s">
        <v>122</v>
      </c>
      <c r="F124" t="s">
        <v>13</v>
      </c>
      <c r="G124" t="s">
        <v>525</v>
      </c>
    </row>
    <row r="125" spans="1:7" x14ac:dyDescent="0.3">
      <c r="A125">
        <v>0</v>
      </c>
      <c r="B125" t="s">
        <v>319</v>
      </c>
      <c r="C125" t="s">
        <v>390</v>
      </c>
      <c r="D125" t="s">
        <v>2</v>
      </c>
      <c r="E125" t="s">
        <v>390</v>
      </c>
      <c r="F125" t="s">
        <v>13</v>
      </c>
      <c r="G125" t="s">
        <v>525</v>
      </c>
    </row>
    <row r="126" spans="1:7" x14ac:dyDescent="0.3">
      <c r="A126">
        <v>0</v>
      </c>
      <c r="B126" t="s">
        <v>312</v>
      </c>
      <c r="C126" t="s">
        <v>492</v>
      </c>
      <c r="D126" t="s">
        <v>2</v>
      </c>
      <c r="E126" t="s">
        <v>492</v>
      </c>
      <c r="F126" t="s">
        <v>13</v>
      </c>
      <c r="G126" t="s">
        <v>525</v>
      </c>
    </row>
    <row r="127" spans="1:7" x14ac:dyDescent="0.3">
      <c r="A127">
        <v>0</v>
      </c>
      <c r="B127" t="s">
        <v>312</v>
      </c>
      <c r="C127" t="s">
        <v>345</v>
      </c>
      <c r="D127" t="s">
        <v>2</v>
      </c>
      <c r="E127" t="s">
        <v>345</v>
      </c>
      <c r="F127" t="s">
        <v>13</v>
      </c>
      <c r="G127" t="s">
        <v>525</v>
      </c>
    </row>
    <row r="128" spans="1:7" x14ac:dyDescent="0.3">
      <c r="A128">
        <v>0</v>
      </c>
      <c r="B128" t="s">
        <v>314</v>
      </c>
      <c r="C128" t="s">
        <v>374</v>
      </c>
      <c r="D128" t="s">
        <v>2</v>
      </c>
      <c r="E128" t="s">
        <v>374</v>
      </c>
      <c r="F128" t="s">
        <v>13</v>
      </c>
      <c r="G128" t="s">
        <v>525</v>
      </c>
    </row>
    <row r="129" spans="1:7" x14ac:dyDescent="0.3">
      <c r="A129">
        <v>0</v>
      </c>
      <c r="B129" t="s">
        <v>105</v>
      </c>
      <c r="C129" t="s">
        <v>124</v>
      </c>
      <c r="D129" t="s">
        <v>2</v>
      </c>
      <c r="E129" t="s">
        <v>124</v>
      </c>
      <c r="F129" t="s">
        <v>13</v>
      </c>
      <c r="G129" t="s">
        <v>525</v>
      </c>
    </row>
    <row r="130" spans="1:7" x14ac:dyDescent="0.3">
      <c r="A130">
        <v>0</v>
      </c>
      <c r="B130" t="s">
        <v>312</v>
      </c>
      <c r="C130" t="s">
        <v>440</v>
      </c>
      <c r="D130" t="s">
        <v>2</v>
      </c>
      <c r="E130" t="s">
        <v>440</v>
      </c>
      <c r="F130" t="s">
        <v>13</v>
      </c>
      <c r="G130" t="s">
        <v>525</v>
      </c>
    </row>
    <row r="131" spans="1:7" x14ac:dyDescent="0.3">
      <c r="A131">
        <v>0</v>
      </c>
      <c r="B131" t="s">
        <v>312</v>
      </c>
      <c r="C131" t="s">
        <v>316</v>
      </c>
      <c r="D131" t="s">
        <v>2</v>
      </c>
      <c r="E131" t="s">
        <v>316</v>
      </c>
      <c r="F131" t="s">
        <v>13</v>
      </c>
      <c r="G131" t="s">
        <v>525</v>
      </c>
    </row>
    <row r="132" spans="1:7" x14ac:dyDescent="0.3">
      <c r="A132">
        <v>0</v>
      </c>
      <c r="B132" t="s">
        <v>312</v>
      </c>
      <c r="C132" t="s">
        <v>427</v>
      </c>
      <c r="D132" t="s">
        <v>2</v>
      </c>
      <c r="E132" t="s">
        <v>427</v>
      </c>
      <c r="F132" t="s">
        <v>13</v>
      </c>
      <c r="G132" t="s">
        <v>525</v>
      </c>
    </row>
    <row r="133" spans="1:7" x14ac:dyDescent="0.3">
      <c r="A133">
        <v>0</v>
      </c>
      <c r="B133" t="s">
        <v>312</v>
      </c>
      <c r="C133" t="s">
        <v>332</v>
      </c>
      <c r="D133" t="s">
        <v>2</v>
      </c>
      <c r="E133" t="s">
        <v>332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336</v>
      </c>
      <c r="D134" t="s">
        <v>2</v>
      </c>
      <c r="E134" t="s">
        <v>336</v>
      </c>
      <c r="F134" t="s">
        <v>13</v>
      </c>
      <c r="G134" t="s">
        <v>525</v>
      </c>
    </row>
    <row r="135" spans="1:7" x14ac:dyDescent="0.3">
      <c r="A135">
        <v>0</v>
      </c>
      <c r="B135" t="s">
        <v>314</v>
      </c>
      <c r="C135" t="s">
        <v>393</v>
      </c>
      <c r="D135" t="s">
        <v>2</v>
      </c>
      <c r="E135" t="s">
        <v>393</v>
      </c>
      <c r="F135" t="s">
        <v>13</v>
      </c>
      <c r="G135" t="s">
        <v>525</v>
      </c>
    </row>
    <row r="136" spans="1:7" x14ac:dyDescent="0.3">
      <c r="A136">
        <v>0</v>
      </c>
      <c r="B136" t="s">
        <v>312</v>
      </c>
      <c r="C136" t="s">
        <v>339</v>
      </c>
      <c r="D136" t="s">
        <v>2</v>
      </c>
      <c r="E136" t="s">
        <v>339</v>
      </c>
      <c r="F136" t="s">
        <v>13</v>
      </c>
      <c r="G136" t="s">
        <v>525</v>
      </c>
    </row>
    <row r="137" spans="1:7" x14ac:dyDescent="0.3">
      <c r="A137">
        <v>0</v>
      </c>
      <c r="B137" t="s">
        <v>312</v>
      </c>
      <c r="C137" t="s">
        <v>400</v>
      </c>
      <c r="D137" t="s">
        <v>2</v>
      </c>
      <c r="E137" t="s">
        <v>400</v>
      </c>
      <c r="F137" t="s">
        <v>13</v>
      </c>
      <c r="G137" t="s">
        <v>525</v>
      </c>
    </row>
    <row r="138" spans="1:7" x14ac:dyDescent="0.3">
      <c r="A138">
        <v>0</v>
      </c>
      <c r="B138" t="s">
        <v>312</v>
      </c>
      <c r="C138" t="s">
        <v>380</v>
      </c>
      <c r="D138" t="s">
        <v>2</v>
      </c>
      <c r="E138" t="s">
        <v>380</v>
      </c>
      <c r="F138" t="s">
        <v>13</v>
      </c>
      <c r="G138" t="s">
        <v>525</v>
      </c>
    </row>
    <row r="139" spans="1:7" x14ac:dyDescent="0.3">
      <c r="A139">
        <v>0</v>
      </c>
      <c r="B139" t="s">
        <v>312</v>
      </c>
      <c r="C139" t="s">
        <v>442</v>
      </c>
      <c r="D139" t="s">
        <v>2</v>
      </c>
      <c r="E139" t="s">
        <v>442</v>
      </c>
      <c r="F139" t="s">
        <v>13</v>
      </c>
      <c r="G139" t="s">
        <v>525</v>
      </c>
    </row>
    <row r="140" spans="1:7" x14ac:dyDescent="0.3">
      <c r="A140">
        <v>0</v>
      </c>
      <c r="B140" t="s">
        <v>314</v>
      </c>
      <c r="C140" t="s">
        <v>349</v>
      </c>
      <c r="D140" t="s">
        <v>2</v>
      </c>
      <c r="E140" t="s">
        <v>349</v>
      </c>
      <c r="F140" t="s">
        <v>13</v>
      </c>
      <c r="G140" t="s">
        <v>525</v>
      </c>
    </row>
    <row r="141" spans="1:7" x14ac:dyDescent="0.3">
      <c r="A141">
        <v>0</v>
      </c>
      <c r="B141" t="s">
        <v>57</v>
      </c>
      <c r="C141" t="s">
        <v>470</v>
      </c>
      <c r="D141" t="s">
        <v>2</v>
      </c>
      <c r="E141" t="s">
        <v>470</v>
      </c>
      <c r="F141" t="s">
        <v>13</v>
      </c>
      <c r="G141" t="s">
        <v>525</v>
      </c>
    </row>
    <row r="142" spans="1:7" x14ac:dyDescent="0.3">
      <c r="A142">
        <v>0</v>
      </c>
      <c r="B142" t="s">
        <v>319</v>
      </c>
      <c r="C142" t="s">
        <v>463</v>
      </c>
      <c r="D142" t="s">
        <v>2</v>
      </c>
      <c r="E142" t="s">
        <v>463</v>
      </c>
      <c r="F142" t="s">
        <v>13</v>
      </c>
      <c r="G142" t="s">
        <v>525</v>
      </c>
    </row>
    <row r="143" spans="1:7" x14ac:dyDescent="0.3">
      <c r="A143">
        <v>0</v>
      </c>
      <c r="B143" t="s">
        <v>314</v>
      </c>
      <c r="C143" t="s">
        <v>343</v>
      </c>
      <c r="D143" t="s">
        <v>2</v>
      </c>
      <c r="E143" t="s">
        <v>343</v>
      </c>
      <c r="F143" t="s">
        <v>13</v>
      </c>
      <c r="G143" t="s">
        <v>525</v>
      </c>
    </row>
    <row r="144" spans="1:7" x14ac:dyDescent="0.3">
      <c r="A144">
        <v>0</v>
      </c>
      <c r="B144" t="s">
        <v>312</v>
      </c>
      <c r="C144" t="s">
        <v>371</v>
      </c>
      <c r="D144" t="s">
        <v>2</v>
      </c>
      <c r="E144" t="s">
        <v>371</v>
      </c>
      <c r="F144" t="s">
        <v>13</v>
      </c>
      <c r="G144" t="s">
        <v>525</v>
      </c>
    </row>
    <row r="145" spans="1:7" x14ac:dyDescent="0.3">
      <c r="A145">
        <v>0</v>
      </c>
      <c r="B145" t="s">
        <v>312</v>
      </c>
      <c r="C145" t="s">
        <v>366</v>
      </c>
      <c r="D145" t="s">
        <v>2</v>
      </c>
      <c r="E145" t="s">
        <v>366</v>
      </c>
      <c r="F145" t="s">
        <v>13</v>
      </c>
      <c r="G145" t="s">
        <v>525</v>
      </c>
    </row>
    <row r="146" spans="1:7" x14ac:dyDescent="0.3">
      <c r="A146">
        <v>0</v>
      </c>
      <c r="B146" t="s">
        <v>312</v>
      </c>
      <c r="C146" t="s">
        <v>384</v>
      </c>
      <c r="D146" t="s">
        <v>2</v>
      </c>
      <c r="E146" t="s">
        <v>384</v>
      </c>
      <c r="F146" t="s">
        <v>13</v>
      </c>
      <c r="G146" t="s">
        <v>525</v>
      </c>
    </row>
    <row r="147" spans="1:7" x14ac:dyDescent="0.3">
      <c r="A147">
        <v>0</v>
      </c>
      <c r="B147" t="s">
        <v>319</v>
      </c>
      <c r="C147" t="s">
        <v>464</v>
      </c>
      <c r="D147" t="s">
        <v>2</v>
      </c>
      <c r="E147" t="s">
        <v>464</v>
      </c>
      <c r="F147" t="s">
        <v>13</v>
      </c>
      <c r="G147" t="s">
        <v>525</v>
      </c>
    </row>
    <row r="148" spans="1:7" x14ac:dyDescent="0.3">
      <c r="A148">
        <v>0</v>
      </c>
      <c r="B148" t="s">
        <v>312</v>
      </c>
      <c r="C148" t="s">
        <v>323</v>
      </c>
      <c r="D148" t="s">
        <v>2</v>
      </c>
      <c r="E148" t="s">
        <v>323</v>
      </c>
      <c r="F148" t="s">
        <v>13</v>
      </c>
      <c r="G148" t="s">
        <v>525</v>
      </c>
    </row>
    <row r="149" spans="1:7" x14ac:dyDescent="0.3">
      <c r="A149">
        <v>0</v>
      </c>
      <c r="B149" t="s">
        <v>314</v>
      </c>
      <c r="C149" t="s">
        <v>414</v>
      </c>
      <c r="D149" t="s">
        <v>2</v>
      </c>
      <c r="E149" t="s">
        <v>414</v>
      </c>
      <c r="F149" t="s">
        <v>13</v>
      </c>
      <c r="G149" t="s">
        <v>525</v>
      </c>
    </row>
    <row r="150" spans="1:7" x14ac:dyDescent="0.3">
      <c r="A150">
        <v>0</v>
      </c>
      <c r="B150" t="s">
        <v>312</v>
      </c>
      <c r="C150" t="s">
        <v>261</v>
      </c>
      <c r="D150" t="s">
        <v>2</v>
      </c>
      <c r="E150" t="s">
        <v>261</v>
      </c>
      <c r="F150" t="s">
        <v>13</v>
      </c>
      <c r="G150" t="s">
        <v>525</v>
      </c>
    </row>
    <row r="151" spans="1:7" x14ac:dyDescent="0.3">
      <c r="A151">
        <v>0</v>
      </c>
      <c r="B151" t="s">
        <v>319</v>
      </c>
      <c r="C151" t="s">
        <v>364</v>
      </c>
      <c r="D151" t="s">
        <v>2</v>
      </c>
      <c r="E151" t="s">
        <v>364</v>
      </c>
      <c r="F151" t="s">
        <v>13</v>
      </c>
      <c r="G151" t="s">
        <v>525</v>
      </c>
    </row>
    <row r="152" spans="1:7" x14ac:dyDescent="0.3">
      <c r="A152">
        <v>0</v>
      </c>
      <c r="B152" t="s">
        <v>312</v>
      </c>
      <c r="C152" t="s">
        <v>373</v>
      </c>
      <c r="D152" t="s">
        <v>2</v>
      </c>
      <c r="E152" t="s">
        <v>373</v>
      </c>
      <c r="F152" t="s">
        <v>13</v>
      </c>
      <c r="G152" t="s">
        <v>525</v>
      </c>
    </row>
    <row r="153" spans="1:7" x14ac:dyDescent="0.3">
      <c r="A153">
        <v>0</v>
      </c>
      <c r="B153" t="s">
        <v>312</v>
      </c>
      <c r="C153" t="s">
        <v>482</v>
      </c>
      <c r="D153" t="s">
        <v>2</v>
      </c>
      <c r="E153" t="s">
        <v>482</v>
      </c>
      <c r="F153" t="s">
        <v>13</v>
      </c>
      <c r="G153" t="s">
        <v>525</v>
      </c>
    </row>
    <row r="154" spans="1:7" x14ac:dyDescent="0.3">
      <c r="A154">
        <v>0</v>
      </c>
      <c r="B154" t="s">
        <v>312</v>
      </c>
      <c r="C154" t="s">
        <v>412</v>
      </c>
      <c r="D154" t="s">
        <v>2</v>
      </c>
      <c r="E154" t="s">
        <v>412</v>
      </c>
      <c r="F154" t="s">
        <v>13</v>
      </c>
      <c r="G154" t="s">
        <v>525</v>
      </c>
    </row>
    <row r="155" spans="1:7" x14ac:dyDescent="0.3">
      <c r="A155">
        <v>0</v>
      </c>
      <c r="B155" t="s">
        <v>312</v>
      </c>
      <c r="C155" t="s">
        <v>434</v>
      </c>
      <c r="D155" t="s">
        <v>2</v>
      </c>
      <c r="E155" t="s">
        <v>434</v>
      </c>
      <c r="F155" t="s">
        <v>13</v>
      </c>
      <c r="G155" t="s">
        <v>525</v>
      </c>
    </row>
    <row r="156" spans="1:7" x14ac:dyDescent="0.3">
      <c r="A156">
        <v>0</v>
      </c>
      <c r="B156" t="s">
        <v>314</v>
      </c>
      <c r="C156" t="s">
        <v>443</v>
      </c>
      <c r="D156" t="s">
        <v>2</v>
      </c>
      <c r="E156" t="s">
        <v>443</v>
      </c>
      <c r="F156" t="s">
        <v>13</v>
      </c>
      <c r="G156" t="s">
        <v>525</v>
      </c>
    </row>
    <row r="157" spans="1:7" x14ac:dyDescent="0.3">
      <c r="A157">
        <v>0</v>
      </c>
      <c r="B157" t="s">
        <v>319</v>
      </c>
      <c r="C157" t="s">
        <v>430</v>
      </c>
      <c r="D157" t="s">
        <v>2</v>
      </c>
      <c r="E157" t="s">
        <v>430</v>
      </c>
      <c r="F157" t="s">
        <v>13</v>
      </c>
      <c r="G157" t="s">
        <v>525</v>
      </c>
    </row>
    <row r="158" spans="1:7" x14ac:dyDescent="0.3">
      <c r="A158">
        <v>0</v>
      </c>
      <c r="B158" t="s">
        <v>314</v>
      </c>
      <c r="C158" t="s">
        <v>408</v>
      </c>
      <c r="D158" t="s">
        <v>2</v>
      </c>
      <c r="E158" t="s">
        <v>408</v>
      </c>
      <c r="F158" t="s">
        <v>13</v>
      </c>
      <c r="G158" t="s">
        <v>525</v>
      </c>
    </row>
    <row r="159" spans="1:7" x14ac:dyDescent="0.3">
      <c r="A159">
        <v>0</v>
      </c>
      <c r="B159" t="s">
        <v>312</v>
      </c>
      <c r="C159" t="s">
        <v>138</v>
      </c>
      <c r="D159" t="s">
        <v>2</v>
      </c>
      <c r="E159" t="s">
        <v>138</v>
      </c>
      <c r="F159" t="s">
        <v>13</v>
      </c>
      <c r="G159" t="s">
        <v>525</v>
      </c>
    </row>
    <row r="160" spans="1:7" x14ac:dyDescent="0.3">
      <c r="A160">
        <v>0</v>
      </c>
      <c r="B160" t="s">
        <v>312</v>
      </c>
      <c r="C160" t="s">
        <v>275</v>
      </c>
      <c r="D160" t="s">
        <v>2</v>
      </c>
      <c r="E160" t="s">
        <v>275</v>
      </c>
      <c r="F160" t="s">
        <v>13</v>
      </c>
      <c r="G160" t="s">
        <v>525</v>
      </c>
    </row>
    <row r="161" spans="1:7" x14ac:dyDescent="0.3">
      <c r="A161">
        <v>0</v>
      </c>
      <c r="B161" t="s">
        <v>312</v>
      </c>
      <c r="C161" t="s">
        <v>337</v>
      </c>
      <c r="D161" t="s">
        <v>2</v>
      </c>
      <c r="E161" t="s">
        <v>337</v>
      </c>
      <c r="F161" t="s">
        <v>13</v>
      </c>
      <c r="G161" t="s">
        <v>525</v>
      </c>
    </row>
    <row r="162" spans="1:7" x14ac:dyDescent="0.3">
      <c r="A162">
        <v>0</v>
      </c>
      <c r="B162" t="s">
        <v>312</v>
      </c>
      <c r="C162" t="s">
        <v>331</v>
      </c>
      <c r="D162" t="s">
        <v>2</v>
      </c>
      <c r="E162" t="s">
        <v>331</v>
      </c>
      <c r="F162" t="s">
        <v>13</v>
      </c>
      <c r="G162" t="s">
        <v>525</v>
      </c>
    </row>
    <row r="163" spans="1:7" x14ac:dyDescent="0.3">
      <c r="A163">
        <v>0</v>
      </c>
      <c r="B163" t="s">
        <v>312</v>
      </c>
      <c r="C163" t="s">
        <v>452</v>
      </c>
      <c r="D163" t="s">
        <v>2</v>
      </c>
      <c r="E163" t="s">
        <v>452</v>
      </c>
      <c r="F163" t="s">
        <v>13</v>
      </c>
      <c r="G163" t="s">
        <v>525</v>
      </c>
    </row>
    <row r="164" spans="1:7" x14ac:dyDescent="0.3">
      <c r="A164">
        <v>0</v>
      </c>
      <c r="B164" t="s">
        <v>319</v>
      </c>
      <c r="C164" t="s">
        <v>477</v>
      </c>
      <c r="D164" t="s">
        <v>2</v>
      </c>
      <c r="E164" t="s">
        <v>477</v>
      </c>
      <c r="F164" t="s">
        <v>13</v>
      </c>
      <c r="G164" t="s">
        <v>525</v>
      </c>
    </row>
    <row r="165" spans="1:7" x14ac:dyDescent="0.3">
      <c r="A165">
        <v>0</v>
      </c>
      <c r="B165" t="s">
        <v>312</v>
      </c>
      <c r="C165" t="s">
        <v>446</v>
      </c>
      <c r="D165" t="s">
        <v>2</v>
      </c>
      <c r="E165" t="s">
        <v>446</v>
      </c>
      <c r="F165" t="s">
        <v>13</v>
      </c>
      <c r="G165" t="s">
        <v>525</v>
      </c>
    </row>
    <row r="166" spans="1:7" x14ac:dyDescent="0.3">
      <c r="A166">
        <v>0</v>
      </c>
      <c r="B166" t="s">
        <v>319</v>
      </c>
      <c r="C166" t="s">
        <v>491</v>
      </c>
      <c r="D166" t="s">
        <v>2</v>
      </c>
      <c r="E166" t="s">
        <v>491</v>
      </c>
      <c r="F166" t="s">
        <v>13</v>
      </c>
      <c r="G166" t="s">
        <v>525</v>
      </c>
    </row>
    <row r="167" spans="1:7" x14ac:dyDescent="0.3">
      <c r="A167">
        <v>0</v>
      </c>
      <c r="B167" t="s">
        <v>312</v>
      </c>
      <c r="C167" t="s">
        <v>326</v>
      </c>
      <c r="D167" t="s">
        <v>2</v>
      </c>
      <c r="E167" t="s">
        <v>326</v>
      </c>
      <c r="F167" t="s">
        <v>13</v>
      </c>
      <c r="G167" t="s">
        <v>525</v>
      </c>
    </row>
    <row r="168" spans="1:7" x14ac:dyDescent="0.3">
      <c r="A168">
        <v>0</v>
      </c>
      <c r="B168" t="s">
        <v>319</v>
      </c>
      <c r="C168" t="s">
        <v>415</v>
      </c>
      <c r="D168" t="s">
        <v>2</v>
      </c>
      <c r="E168" t="s">
        <v>415</v>
      </c>
      <c r="F168" t="s">
        <v>13</v>
      </c>
      <c r="G168" t="s">
        <v>525</v>
      </c>
    </row>
    <row r="169" spans="1:7" x14ac:dyDescent="0.3">
      <c r="A169">
        <v>0</v>
      </c>
      <c r="B169" t="s">
        <v>314</v>
      </c>
      <c r="C169" t="s">
        <v>451</v>
      </c>
      <c r="D169" t="s">
        <v>2</v>
      </c>
      <c r="E169" t="s">
        <v>451</v>
      </c>
      <c r="F169" t="s">
        <v>13</v>
      </c>
      <c r="G169" t="s">
        <v>525</v>
      </c>
    </row>
    <row r="170" spans="1:7" x14ac:dyDescent="0.3">
      <c r="A170">
        <v>0</v>
      </c>
      <c r="B170" t="s">
        <v>314</v>
      </c>
      <c r="C170" t="s">
        <v>448</v>
      </c>
      <c r="D170" t="s">
        <v>2</v>
      </c>
      <c r="E170" t="s">
        <v>448</v>
      </c>
      <c r="F170" t="s">
        <v>13</v>
      </c>
      <c r="G170" t="s">
        <v>525</v>
      </c>
    </row>
    <row r="171" spans="1:7" x14ac:dyDescent="0.3">
      <c r="A171">
        <v>0</v>
      </c>
      <c r="B171" t="s">
        <v>312</v>
      </c>
      <c r="C171" t="s">
        <v>423</v>
      </c>
      <c r="D171" t="s">
        <v>2</v>
      </c>
      <c r="E171" t="s">
        <v>423</v>
      </c>
      <c r="F171" t="s">
        <v>13</v>
      </c>
      <c r="G171" t="s">
        <v>525</v>
      </c>
    </row>
    <row r="172" spans="1:7" x14ac:dyDescent="0.3">
      <c r="A172">
        <v>0</v>
      </c>
      <c r="B172" t="s">
        <v>319</v>
      </c>
      <c r="C172" t="s">
        <v>361</v>
      </c>
      <c r="D172" t="s">
        <v>2</v>
      </c>
      <c r="E172" t="s">
        <v>361</v>
      </c>
      <c r="F172" t="s">
        <v>13</v>
      </c>
      <c r="G172" t="s">
        <v>525</v>
      </c>
    </row>
    <row r="173" spans="1:7" x14ac:dyDescent="0.3">
      <c r="A173">
        <v>0</v>
      </c>
      <c r="B173" t="s">
        <v>314</v>
      </c>
      <c r="C173" t="s">
        <v>467</v>
      </c>
      <c r="D173" t="s">
        <v>2</v>
      </c>
      <c r="E173" t="s">
        <v>467</v>
      </c>
      <c r="F173" t="s">
        <v>13</v>
      </c>
      <c r="G173" t="s">
        <v>525</v>
      </c>
    </row>
    <row r="174" spans="1:7" x14ac:dyDescent="0.3">
      <c r="A174">
        <v>0</v>
      </c>
      <c r="B174" t="s">
        <v>319</v>
      </c>
      <c r="C174" t="s">
        <v>420</v>
      </c>
      <c r="D174" t="s">
        <v>2</v>
      </c>
      <c r="E174" t="s">
        <v>420</v>
      </c>
      <c r="F174" t="s">
        <v>13</v>
      </c>
      <c r="G174" t="s">
        <v>525</v>
      </c>
    </row>
    <row r="175" spans="1:7" x14ac:dyDescent="0.3">
      <c r="A175">
        <v>0</v>
      </c>
      <c r="B175" t="s">
        <v>314</v>
      </c>
      <c r="C175" t="s">
        <v>487</v>
      </c>
      <c r="D175" t="s">
        <v>2</v>
      </c>
      <c r="E175" t="s">
        <v>487</v>
      </c>
      <c r="F175" t="s">
        <v>13</v>
      </c>
      <c r="G175" t="s">
        <v>525</v>
      </c>
    </row>
    <row r="176" spans="1:7" x14ac:dyDescent="0.3">
      <c r="A176">
        <v>0</v>
      </c>
      <c r="B176" t="s">
        <v>312</v>
      </c>
      <c r="C176" t="s">
        <v>149</v>
      </c>
      <c r="D176" t="s">
        <v>2</v>
      </c>
      <c r="E176" t="s">
        <v>149</v>
      </c>
      <c r="F176" t="s">
        <v>13</v>
      </c>
      <c r="G176" t="s">
        <v>525</v>
      </c>
    </row>
    <row r="177" spans="1:7" x14ac:dyDescent="0.3">
      <c r="A177">
        <v>0</v>
      </c>
      <c r="B177" t="s">
        <v>314</v>
      </c>
      <c r="C177" t="s">
        <v>377</v>
      </c>
      <c r="D177" t="s">
        <v>2</v>
      </c>
      <c r="E177" t="s">
        <v>377</v>
      </c>
      <c r="F177" t="s">
        <v>13</v>
      </c>
      <c r="G177" t="s">
        <v>525</v>
      </c>
    </row>
    <row r="178" spans="1:7" x14ac:dyDescent="0.3">
      <c r="A178">
        <v>0</v>
      </c>
      <c r="B178" t="s">
        <v>312</v>
      </c>
      <c r="C178" t="s">
        <v>403</v>
      </c>
      <c r="D178" t="s">
        <v>2</v>
      </c>
      <c r="E178" t="s">
        <v>403</v>
      </c>
      <c r="F178" t="s">
        <v>13</v>
      </c>
      <c r="G178" t="s">
        <v>525</v>
      </c>
    </row>
    <row r="179" spans="1:7" x14ac:dyDescent="0.3">
      <c r="A179">
        <v>0</v>
      </c>
      <c r="B179" t="s">
        <v>312</v>
      </c>
      <c r="C179" t="s">
        <v>387</v>
      </c>
      <c r="D179" t="s">
        <v>2</v>
      </c>
      <c r="E179" t="s">
        <v>387</v>
      </c>
      <c r="F179" t="s">
        <v>13</v>
      </c>
      <c r="G179" t="s">
        <v>525</v>
      </c>
    </row>
    <row r="180" spans="1:7" x14ac:dyDescent="0.3">
      <c r="A180">
        <v>0</v>
      </c>
      <c r="B180" t="s">
        <v>312</v>
      </c>
      <c r="C180" t="s">
        <v>431</v>
      </c>
      <c r="D180" t="s">
        <v>2</v>
      </c>
      <c r="E180" t="s">
        <v>431</v>
      </c>
      <c r="F180" t="s">
        <v>13</v>
      </c>
      <c r="G180" t="s">
        <v>525</v>
      </c>
    </row>
    <row r="181" spans="1:7" x14ac:dyDescent="0.3">
      <c r="A181">
        <v>0</v>
      </c>
      <c r="B181" t="s">
        <v>319</v>
      </c>
      <c r="C181" t="s">
        <v>459</v>
      </c>
      <c r="D181" t="s">
        <v>2</v>
      </c>
      <c r="E181" t="s">
        <v>459</v>
      </c>
      <c r="F181" t="s">
        <v>13</v>
      </c>
      <c r="G181" t="s">
        <v>525</v>
      </c>
    </row>
    <row r="182" spans="1:7" x14ac:dyDescent="0.3">
      <c r="A182">
        <v>0</v>
      </c>
      <c r="B182" t="s">
        <v>314</v>
      </c>
      <c r="C182" t="s">
        <v>376</v>
      </c>
      <c r="D182" t="s">
        <v>2</v>
      </c>
      <c r="E182" t="s">
        <v>376</v>
      </c>
      <c r="F182" t="s">
        <v>13</v>
      </c>
      <c r="G182" t="s">
        <v>525</v>
      </c>
    </row>
    <row r="183" spans="1:7" x14ac:dyDescent="0.3">
      <c r="A183">
        <v>0</v>
      </c>
      <c r="B183" t="s">
        <v>312</v>
      </c>
      <c r="C183" t="s">
        <v>379</v>
      </c>
      <c r="D183" t="s">
        <v>2</v>
      </c>
      <c r="E183" t="s">
        <v>379</v>
      </c>
      <c r="F183" t="s">
        <v>13</v>
      </c>
      <c r="G183" t="s">
        <v>525</v>
      </c>
    </row>
    <row r="184" spans="1:7" x14ac:dyDescent="0.3">
      <c r="A184">
        <v>0</v>
      </c>
      <c r="B184" t="s">
        <v>314</v>
      </c>
      <c r="C184" t="s">
        <v>445</v>
      </c>
      <c r="D184" t="s">
        <v>2</v>
      </c>
      <c r="E184" t="s">
        <v>445</v>
      </c>
      <c r="F184" t="s">
        <v>13</v>
      </c>
      <c r="G184" t="s">
        <v>525</v>
      </c>
    </row>
    <row r="185" spans="1:7" x14ac:dyDescent="0.3">
      <c r="A185">
        <v>0</v>
      </c>
      <c r="B185" t="s">
        <v>319</v>
      </c>
      <c r="C185" t="s">
        <v>460</v>
      </c>
      <c r="D185" t="s">
        <v>2</v>
      </c>
      <c r="E185" t="s">
        <v>460</v>
      </c>
      <c r="F185" t="s">
        <v>13</v>
      </c>
      <c r="G185" t="s">
        <v>525</v>
      </c>
    </row>
    <row r="186" spans="1:7" x14ac:dyDescent="0.3">
      <c r="A186">
        <v>0</v>
      </c>
      <c r="B186" t="s">
        <v>314</v>
      </c>
      <c r="C186" t="s">
        <v>450</v>
      </c>
      <c r="D186" t="s">
        <v>2</v>
      </c>
      <c r="E186" t="s">
        <v>450</v>
      </c>
      <c r="F186" t="s">
        <v>13</v>
      </c>
      <c r="G186" t="s">
        <v>525</v>
      </c>
    </row>
    <row r="187" spans="1:7" x14ac:dyDescent="0.3">
      <c r="A187">
        <v>0</v>
      </c>
      <c r="B187" t="s">
        <v>312</v>
      </c>
      <c r="C187" t="s">
        <v>473</v>
      </c>
      <c r="D187" t="s">
        <v>2</v>
      </c>
      <c r="E187" t="s">
        <v>473</v>
      </c>
      <c r="F187" t="s">
        <v>13</v>
      </c>
      <c r="G187" t="s">
        <v>525</v>
      </c>
    </row>
    <row r="188" spans="1:7" x14ac:dyDescent="0.3">
      <c r="A188">
        <v>0</v>
      </c>
      <c r="B188" t="s">
        <v>314</v>
      </c>
      <c r="C188" t="s">
        <v>313</v>
      </c>
      <c r="D188" t="s">
        <v>2</v>
      </c>
      <c r="E188" t="s">
        <v>313</v>
      </c>
      <c r="F188" t="s">
        <v>13</v>
      </c>
      <c r="G188" t="s">
        <v>525</v>
      </c>
    </row>
    <row r="189" spans="1:7" x14ac:dyDescent="0.3">
      <c r="A189">
        <v>0</v>
      </c>
      <c r="B189" t="s">
        <v>312</v>
      </c>
      <c r="C189" t="s">
        <v>472</v>
      </c>
      <c r="D189" t="s">
        <v>2</v>
      </c>
      <c r="E189" t="s">
        <v>472</v>
      </c>
      <c r="F189" t="s">
        <v>13</v>
      </c>
      <c r="G189" t="s">
        <v>525</v>
      </c>
    </row>
    <row r="190" spans="1:7" x14ac:dyDescent="0.3">
      <c r="A190">
        <v>0</v>
      </c>
      <c r="B190" t="s">
        <v>312</v>
      </c>
      <c r="C190" t="s">
        <v>402</v>
      </c>
      <c r="D190" t="s">
        <v>2</v>
      </c>
      <c r="E190" t="s">
        <v>402</v>
      </c>
      <c r="F190" t="s">
        <v>13</v>
      </c>
      <c r="G190" t="s">
        <v>525</v>
      </c>
    </row>
    <row r="191" spans="1:7" x14ac:dyDescent="0.3">
      <c r="A191">
        <v>0</v>
      </c>
      <c r="B191" t="s">
        <v>314</v>
      </c>
      <c r="C191" t="s">
        <v>455</v>
      </c>
      <c r="D191" t="s">
        <v>2</v>
      </c>
      <c r="E191" t="s">
        <v>455</v>
      </c>
      <c r="F191" t="s">
        <v>13</v>
      </c>
      <c r="G191" t="s">
        <v>525</v>
      </c>
    </row>
    <row r="192" spans="1:7" x14ac:dyDescent="0.3">
      <c r="A192">
        <v>0</v>
      </c>
      <c r="B192" t="s">
        <v>312</v>
      </c>
      <c r="C192" t="s">
        <v>411</v>
      </c>
      <c r="D192" t="s">
        <v>2</v>
      </c>
      <c r="E192" t="s">
        <v>411</v>
      </c>
      <c r="F192" t="s">
        <v>13</v>
      </c>
      <c r="G192" t="s">
        <v>525</v>
      </c>
    </row>
    <row r="193" spans="1:7" x14ac:dyDescent="0.3">
      <c r="A193">
        <v>0</v>
      </c>
      <c r="B193" t="s">
        <v>312</v>
      </c>
      <c r="C193" t="s">
        <v>488</v>
      </c>
      <c r="D193" t="s">
        <v>2</v>
      </c>
      <c r="E193" t="s">
        <v>488</v>
      </c>
      <c r="F193" t="s">
        <v>13</v>
      </c>
      <c r="G193" t="s">
        <v>525</v>
      </c>
    </row>
    <row r="194" spans="1:7" x14ac:dyDescent="0.3">
      <c r="A194">
        <v>0</v>
      </c>
      <c r="B194" t="s">
        <v>319</v>
      </c>
      <c r="C194" t="s">
        <v>462</v>
      </c>
      <c r="D194" t="s">
        <v>2</v>
      </c>
      <c r="E194" t="s">
        <v>462</v>
      </c>
      <c r="F194" t="s">
        <v>13</v>
      </c>
      <c r="G194" t="s">
        <v>525</v>
      </c>
    </row>
    <row r="195" spans="1:7" x14ac:dyDescent="0.3">
      <c r="A195">
        <v>0</v>
      </c>
      <c r="B195" t="s">
        <v>312</v>
      </c>
      <c r="C195" t="s">
        <v>246</v>
      </c>
      <c r="D195" t="s">
        <v>2</v>
      </c>
      <c r="E195" t="s">
        <v>246</v>
      </c>
      <c r="F195" t="s">
        <v>13</v>
      </c>
      <c r="G195" t="s">
        <v>525</v>
      </c>
    </row>
    <row r="196" spans="1:7" x14ac:dyDescent="0.3">
      <c r="A196">
        <v>0</v>
      </c>
      <c r="B196" t="s">
        <v>312</v>
      </c>
      <c r="C196" t="s">
        <v>357</v>
      </c>
      <c r="D196" t="s">
        <v>2</v>
      </c>
      <c r="E196" t="s">
        <v>357</v>
      </c>
      <c r="F196" t="s">
        <v>13</v>
      </c>
      <c r="G196" t="s">
        <v>525</v>
      </c>
    </row>
    <row r="197" spans="1:7" x14ac:dyDescent="0.3">
      <c r="A197">
        <v>0</v>
      </c>
      <c r="B197" t="s">
        <v>314</v>
      </c>
      <c r="C197" t="s">
        <v>341</v>
      </c>
      <c r="D197" t="s">
        <v>2</v>
      </c>
      <c r="E197" t="s">
        <v>341</v>
      </c>
      <c r="F197" t="s">
        <v>13</v>
      </c>
      <c r="G197" t="s">
        <v>525</v>
      </c>
    </row>
    <row r="198" spans="1:7" x14ac:dyDescent="0.3">
      <c r="A198">
        <v>0</v>
      </c>
      <c r="B198" t="s">
        <v>319</v>
      </c>
      <c r="C198" t="s">
        <v>466</v>
      </c>
      <c r="D198" t="s">
        <v>2</v>
      </c>
      <c r="E198" t="s">
        <v>466</v>
      </c>
      <c r="F198" t="s">
        <v>13</v>
      </c>
      <c r="G198" t="s">
        <v>525</v>
      </c>
    </row>
    <row r="199" spans="1:7" x14ac:dyDescent="0.3">
      <c r="A199">
        <v>0</v>
      </c>
      <c r="B199" t="s">
        <v>319</v>
      </c>
      <c r="C199" t="s">
        <v>362</v>
      </c>
      <c r="D199" t="s">
        <v>2</v>
      </c>
      <c r="E199" t="s">
        <v>362</v>
      </c>
      <c r="F199" t="s">
        <v>13</v>
      </c>
      <c r="G199" t="s">
        <v>525</v>
      </c>
    </row>
    <row r="200" spans="1:7" x14ac:dyDescent="0.3">
      <c r="A200">
        <v>0</v>
      </c>
      <c r="B200" t="s">
        <v>312</v>
      </c>
      <c r="C200" t="s">
        <v>433</v>
      </c>
      <c r="D200" t="s">
        <v>2</v>
      </c>
      <c r="E200" t="s">
        <v>433</v>
      </c>
      <c r="F200" t="s">
        <v>13</v>
      </c>
      <c r="G200" t="s">
        <v>525</v>
      </c>
    </row>
    <row r="201" spans="1:7" x14ac:dyDescent="0.3">
      <c r="A201">
        <v>0</v>
      </c>
      <c r="B201" t="s">
        <v>312</v>
      </c>
      <c r="C201" t="s">
        <v>397</v>
      </c>
      <c r="D201" t="s">
        <v>2</v>
      </c>
      <c r="E201" t="s">
        <v>397</v>
      </c>
      <c r="F201" t="s">
        <v>13</v>
      </c>
      <c r="G201" t="s">
        <v>525</v>
      </c>
    </row>
    <row r="202" spans="1:7" x14ac:dyDescent="0.3">
      <c r="A202">
        <v>0</v>
      </c>
      <c r="B202" t="s">
        <v>319</v>
      </c>
      <c r="C202" t="s">
        <v>378</v>
      </c>
      <c r="D202" t="s">
        <v>2</v>
      </c>
      <c r="E202" t="s">
        <v>378</v>
      </c>
      <c r="F202" t="s">
        <v>13</v>
      </c>
      <c r="G202" t="s">
        <v>525</v>
      </c>
    </row>
    <row r="203" spans="1:7" x14ac:dyDescent="0.3">
      <c r="A203">
        <v>0</v>
      </c>
      <c r="B203" t="s">
        <v>105</v>
      </c>
      <c r="C203" t="s">
        <v>117</v>
      </c>
      <c r="D203" t="s">
        <v>2</v>
      </c>
      <c r="E203" t="s">
        <v>117</v>
      </c>
      <c r="F203" t="s">
        <v>13</v>
      </c>
      <c r="G203" t="s">
        <v>525</v>
      </c>
    </row>
    <row r="204" spans="1:7" x14ac:dyDescent="0.3">
      <c r="A204">
        <v>0</v>
      </c>
      <c r="B204" t="s">
        <v>312</v>
      </c>
      <c r="C204" t="s">
        <v>476</v>
      </c>
      <c r="D204" t="s">
        <v>2</v>
      </c>
      <c r="E204" t="s">
        <v>476</v>
      </c>
      <c r="F204" t="s">
        <v>13</v>
      </c>
      <c r="G204" t="s">
        <v>525</v>
      </c>
    </row>
    <row r="205" spans="1:7" x14ac:dyDescent="0.3">
      <c r="A205">
        <v>0</v>
      </c>
      <c r="B205" t="s">
        <v>319</v>
      </c>
      <c r="C205" t="s">
        <v>478</v>
      </c>
      <c r="D205" t="s">
        <v>2</v>
      </c>
      <c r="E205" t="s">
        <v>478</v>
      </c>
      <c r="F205" t="s">
        <v>13</v>
      </c>
      <c r="G205" t="s">
        <v>525</v>
      </c>
    </row>
    <row r="206" spans="1:7" x14ac:dyDescent="0.3">
      <c r="A206">
        <v>0</v>
      </c>
      <c r="B206" t="s">
        <v>312</v>
      </c>
      <c r="C206" t="s">
        <v>367</v>
      </c>
      <c r="D206" t="s">
        <v>2</v>
      </c>
      <c r="E206" t="s">
        <v>367</v>
      </c>
      <c r="F206" t="s">
        <v>13</v>
      </c>
      <c r="G206" t="s">
        <v>525</v>
      </c>
    </row>
    <row r="207" spans="1:7" x14ac:dyDescent="0.3">
      <c r="A207">
        <v>0</v>
      </c>
      <c r="B207" t="s">
        <v>312</v>
      </c>
      <c r="C207" t="s">
        <v>346</v>
      </c>
      <c r="D207" t="s">
        <v>2</v>
      </c>
      <c r="E207" t="s">
        <v>346</v>
      </c>
      <c r="F207" t="s">
        <v>13</v>
      </c>
      <c r="G207" t="s">
        <v>525</v>
      </c>
    </row>
    <row r="208" spans="1:7" x14ac:dyDescent="0.3">
      <c r="A208">
        <v>0</v>
      </c>
      <c r="B208" t="s">
        <v>105</v>
      </c>
      <c r="C208" t="s">
        <v>119</v>
      </c>
      <c r="D208" t="s">
        <v>2</v>
      </c>
      <c r="E208" t="s">
        <v>119</v>
      </c>
      <c r="F208" t="s">
        <v>13</v>
      </c>
      <c r="G208" t="s">
        <v>525</v>
      </c>
    </row>
    <row r="209" spans="1:7" x14ac:dyDescent="0.3">
      <c r="A209">
        <v>0</v>
      </c>
      <c r="B209" t="s">
        <v>312</v>
      </c>
      <c r="C209" t="s">
        <v>385</v>
      </c>
      <c r="D209" t="s">
        <v>2</v>
      </c>
      <c r="E209" t="s">
        <v>385</v>
      </c>
      <c r="F209" t="s">
        <v>13</v>
      </c>
      <c r="G209" t="s">
        <v>525</v>
      </c>
    </row>
    <row r="210" spans="1:7" x14ac:dyDescent="0.3">
      <c r="A210">
        <v>0</v>
      </c>
      <c r="B210" t="s">
        <v>57</v>
      </c>
      <c r="C210" t="s">
        <v>120</v>
      </c>
      <c r="D210" t="s">
        <v>2</v>
      </c>
      <c r="E210" t="s">
        <v>120</v>
      </c>
      <c r="F210" t="s">
        <v>13</v>
      </c>
      <c r="G210" t="s">
        <v>525</v>
      </c>
    </row>
    <row r="211" spans="1:7" x14ac:dyDescent="0.3">
      <c r="A211">
        <v>0</v>
      </c>
      <c r="B211" t="s">
        <v>312</v>
      </c>
      <c r="C211" t="s">
        <v>324</v>
      </c>
      <c r="D211" t="s">
        <v>2</v>
      </c>
      <c r="E211" t="s">
        <v>324</v>
      </c>
      <c r="F211" t="s">
        <v>13</v>
      </c>
      <c r="G211" t="s">
        <v>525</v>
      </c>
    </row>
    <row r="212" spans="1:7" x14ac:dyDescent="0.3">
      <c r="A212">
        <v>0</v>
      </c>
      <c r="B212" t="s">
        <v>312</v>
      </c>
      <c r="C212" t="s">
        <v>327</v>
      </c>
      <c r="D212" t="s">
        <v>2</v>
      </c>
      <c r="E212" t="s">
        <v>327</v>
      </c>
      <c r="F212" t="s">
        <v>13</v>
      </c>
      <c r="G212" t="s">
        <v>525</v>
      </c>
    </row>
    <row r="213" spans="1:7" x14ac:dyDescent="0.3">
      <c r="A213">
        <v>0</v>
      </c>
      <c r="B213" t="s">
        <v>314</v>
      </c>
      <c r="C213" t="s">
        <v>441</v>
      </c>
      <c r="D213" t="s">
        <v>2</v>
      </c>
      <c r="E213" t="s">
        <v>441</v>
      </c>
      <c r="F213" t="s">
        <v>13</v>
      </c>
      <c r="G213" t="s">
        <v>525</v>
      </c>
    </row>
    <row r="214" spans="1:7" x14ac:dyDescent="0.3">
      <c r="A214">
        <v>0</v>
      </c>
      <c r="B214" t="s">
        <v>105</v>
      </c>
      <c r="C214" t="s">
        <v>115</v>
      </c>
      <c r="D214" t="s">
        <v>2</v>
      </c>
      <c r="E214" t="s">
        <v>115</v>
      </c>
      <c r="F214" t="s">
        <v>13</v>
      </c>
      <c r="G214" t="s">
        <v>525</v>
      </c>
    </row>
    <row r="215" spans="1:7" x14ac:dyDescent="0.3">
      <c r="A215">
        <v>0</v>
      </c>
      <c r="B215" t="s">
        <v>312</v>
      </c>
      <c r="C215" t="s">
        <v>484</v>
      </c>
      <c r="D215" t="s">
        <v>2</v>
      </c>
      <c r="E215" t="s">
        <v>484</v>
      </c>
      <c r="F215" t="s">
        <v>13</v>
      </c>
      <c r="G215" t="s">
        <v>525</v>
      </c>
    </row>
    <row r="216" spans="1:7" x14ac:dyDescent="0.3">
      <c r="A216">
        <v>0</v>
      </c>
      <c r="B216" t="s">
        <v>312</v>
      </c>
      <c r="C216" t="s">
        <v>311</v>
      </c>
      <c r="D216" t="s">
        <v>2</v>
      </c>
      <c r="E216" t="s">
        <v>311</v>
      </c>
      <c r="F216" t="s">
        <v>13</v>
      </c>
      <c r="G216" t="s">
        <v>525</v>
      </c>
    </row>
    <row r="217" spans="1:7" x14ac:dyDescent="0.3">
      <c r="A217">
        <v>0</v>
      </c>
      <c r="B217" t="s">
        <v>312</v>
      </c>
      <c r="C217" t="s">
        <v>365</v>
      </c>
      <c r="D217" t="s">
        <v>2</v>
      </c>
      <c r="E217" t="s">
        <v>365</v>
      </c>
      <c r="F217" t="s">
        <v>13</v>
      </c>
      <c r="G217" t="s">
        <v>525</v>
      </c>
    </row>
    <row r="218" spans="1:7" x14ac:dyDescent="0.3">
      <c r="A218">
        <v>0</v>
      </c>
      <c r="B218" t="s">
        <v>314</v>
      </c>
      <c r="C218" t="s">
        <v>350</v>
      </c>
      <c r="D218" t="s">
        <v>2</v>
      </c>
      <c r="E218" t="s">
        <v>350</v>
      </c>
      <c r="F218" t="s">
        <v>13</v>
      </c>
      <c r="G218" t="s">
        <v>525</v>
      </c>
    </row>
    <row r="219" spans="1:7" x14ac:dyDescent="0.3">
      <c r="A219">
        <v>0</v>
      </c>
      <c r="B219" t="s">
        <v>105</v>
      </c>
      <c r="C219" t="s">
        <v>123</v>
      </c>
      <c r="D219" t="s">
        <v>2</v>
      </c>
      <c r="E219" t="s">
        <v>123</v>
      </c>
      <c r="F219" t="s">
        <v>13</v>
      </c>
      <c r="G219" t="s">
        <v>525</v>
      </c>
    </row>
    <row r="220" spans="1:7" x14ac:dyDescent="0.3">
      <c r="A220">
        <v>0</v>
      </c>
      <c r="B220" t="s">
        <v>312</v>
      </c>
      <c r="C220" t="s">
        <v>396</v>
      </c>
      <c r="D220" t="s">
        <v>2</v>
      </c>
      <c r="E220" t="s">
        <v>396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428</v>
      </c>
      <c r="D221" t="s">
        <v>2</v>
      </c>
      <c r="E221" t="s">
        <v>428</v>
      </c>
      <c r="F221" t="s">
        <v>13</v>
      </c>
      <c r="G221" t="s">
        <v>525</v>
      </c>
    </row>
    <row r="222" spans="1:7" x14ac:dyDescent="0.3">
      <c r="A222">
        <v>0</v>
      </c>
      <c r="B222" t="s">
        <v>312</v>
      </c>
      <c r="C222" t="s">
        <v>383</v>
      </c>
      <c r="D222" t="s">
        <v>2</v>
      </c>
      <c r="E222" t="s">
        <v>383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426</v>
      </c>
      <c r="D223" t="s">
        <v>2</v>
      </c>
      <c r="E223" t="s">
        <v>426</v>
      </c>
      <c r="F223" t="s">
        <v>13</v>
      </c>
      <c r="G223" t="s">
        <v>525</v>
      </c>
    </row>
    <row r="224" spans="1:7" x14ac:dyDescent="0.3">
      <c r="A224">
        <v>0</v>
      </c>
      <c r="B224" t="s">
        <v>312</v>
      </c>
      <c r="C224" t="s">
        <v>437</v>
      </c>
      <c r="D224" t="s">
        <v>2</v>
      </c>
      <c r="E224" t="s">
        <v>437</v>
      </c>
      <c r="F224" t="s">
        <v>13</v>
      </c>
      <c r="G224" t="s">
        <v>525</v>
      </c>
    </row>
    <row r="225" spans="1:7" x14ac:dyDescent="0.3">
      <c r="A225">
        <v>0</v>
      </c>
      <c r="B225" t="s">
        <v>312</v>
      </c>
      <c r="C225" t="s">
        <v>454</v>
      </c>
      <c r="D225" t="s">
        <v>2</v>
      </c>
      <c r="E225" t="s">
        <v>454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425</v>
      </c>
      <c r="D226" t="s">
        <v>2</v>
      </c>
      <c r="E226" t="s">
        <v>425</v>
      </c>
      <c r="F226" t="s">
        <v>13</v>
      </c>
      <c r="G226" t="s">
        <v>525</v>
      </c>
    </row>
    <row r="227" spans="1:7" x14ac:dyDescent="0.3">
      <c r="A227">
        <v>0</v>
      </c>
      <c r="B227" t="s">
        <v>312</v>
      </c>
      <c r="C227" t="s">
        <v>344</v>
      </c>
      <c r="D227" t="s">
        <v>2</v>
      </c>
      <c r="E227" t="s">
        <v>344</v>
      </c>
      <c r="F227" t="s">
        <v>13</v>
      </c>
      <c r="G227" t="s">
        <v>525</v>
      </c>
    </row>
    <row r="228" spans="1:7" x14ac:dyDescent="0.3">
      <c r="A228">
        <v>0</v>
      </c>
      <c r="B228" t="s">
        <v>312</v>
      </c>
      <c r="C228" t="s">
        <v>407</v>
      </c>
      <c r="D228" t="s">
        <v>2</v>
      </c>
      <c r="E228" t="s">
        <v>407</v>
      </c>
      <c r="F228" t="s">
        <v>13</v>
      </c>
      <c r="G228" t="s">
        <v>525</v>
      </c>
    </row>
    <row r="229" spans="1:7" x14ac:dyDescent="0.3">
      <c r="A229">
        <v>0</v>
      </c>
      <c r="B229" t="s">
        <v>314</v>
      </c>
      <c r="C229" t="s">
        <v>413</v>
      </c>
      <c r="D229" t="s">
        <v>2</v>
      </c>
      <c r="E229" t="s">
        <v>413</v>
      </c>
      <c r="F229" t="s">
        <v>13</v>
      </c>
      <c r="G229" t="s">
        <v>525</v>
      </c>
    </row>
    <row r="230" spans="1:7" x14ac:dyDescent="0.3">
      <c r="A230">
        <v>0</v>
      </c>
      <c r="B230" t="s">
        <v>312</v>
      </c>
      <c r="C230" t="s">
        <v>392</v>
      </c>
      <c r="D230" t="s">
        <v>2</v>
      </c>
      <c r="E230" t="s">
        <v>392</v>
      </c>
      <c r="F230" t="s">
        <v>13</v>
      </c>
      <c r="G230" t="s">
        <v>525</v>
      </c>
    </row>
    <row r="231" spans="1:7" x14ac:dyDescent="0.3">
      <c r="A231">
        <v>0</v>
      </c>
      <c r="B231" t="s">
        <v>319</v>
      </c>
      <c r="C231" t="s">
        <v>422</v>
      </c>
      <c r="D231" t="s">
        <v>2</v>
      </c>
      <c r="E231" t="s">
        <v>422</v>
      </c>
      <c r="F231" t="s">
        <v>13</v>
      </c>
      <c r="G231" t="s">
        <v>525</v>
      </c>
    </row>
    <row r="232" spans="1:7" x14ac:dyDescent="0.3">
      <c r="A232">
        <v>0</v>
      </c>
      <c r="B232" t="s">
        <v>314</v>
      </c>
      <c r="C232" t="s">
        <v>495</v>
      </c>
      <c r="D232" t="s">
        <v>494</v>
      </c>
      <c r="E232" t="s">
        <v>495</v>
      </c>
      <c r="F232" t="s">
        <v>13</v>
      </c>
      <c r="G232" t="s">
        <v>525</v>
      </c>
    </row>
    <row r="233" spans="1:7" x14ac:dyDescent="0.3">
      <c r="A233">
        <v>0</v>
      </c>
      <c r="B233" t="s">
        <v>314</v>
      </c>
      <c r="C233" t="s">
        <v>497</v>
      </c>
      <c r="D233" t="s">
        <v>494</v>
      </c>
      <c r="E233" t="s">
        <v>497</v>
      </c>
      <c r="F233" t="s">
        <v>13</v>
      </c>
      <c r="G233" t="s">
        <v>525</v>
      </c>
    </row>
    <row r="234" spans="1:7" x14ac:dyDescent="0.3">
      <c r="A234">
        <v>0</v>
      </c>
      <c r="B234" t="s">
        <v>314</v>
      </c>
      <c r="C234" t="s">
        <v>496</v>
      </c>
      <c r="D234" t="s">
        <v>494</v>
      </c>
      <c r="E234" t="s">
        <v>496</v>
      </c>
      <c r="F234" t="s">
        <v>13</v>
      </c>
      <c r="G234" t="s">
        <v>525</v>
      </c>
    </row>
    <row r="235" spans="1:7" x14ac:dyDescent="0.3">
      <c r="A235">
        <v>0</v>
      </c>
      <c r="B235" t="s">
        <v>312</v>
      </c>
      <c r="C235" t="s">
        <v>513</v>
      </c>
      <c r="D235" t="s">
        <v>498</v>
      </c>
      <c r="E235" t="s">
        <v>513</v>
      </c>
      <c r="F235" t="s">
        <v>13</v>
      </c>
      <c r="G235" t="s">
        <v>525</v>
      </c>
    </row>
    <row r="236" spans="1:7" x14ac:dyDescent="0.3">
      <c r="A236">
        <v>0</v>
      </c>
      <c r="B236" t="s">
        <v>312</v>
      </c>
      <c r="C236" t="s">
        <v>515</v>
      </c>
      <c r="D236" t="s">
        <v>498</v>
      </c>
      <c r="E236" t="s">
        <v>515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509</v>
      </c>
      <c r="D237" t="s">
        <v>498</v>
      </c>
      <c r="E237" t="s">
        <v>509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502</v>
      </c>
      <c r="D238" t="s">
        <v>498</v>
      </c>
      <c r="E238" t="s">
        <v>502</v>
      </c>
      <c r="F238" t="s">
        <v>13</v>
      </c>
      <c r="G238" t="s">
        <v>525</v>
      </c>
    </row>
    <row r="239" spans="1:7" x14ac:dyDescent="0.3">
      <c r="A239">
        <v>0</v>
      </c>
      <c r="B239" t="s">
        <v>312</v>
      </c>
      <c r="C239" t="s">
        <v>500</v>
      </c>
      <c r="D239" t="s">
        <v>498</v>
      </c>
      <c r="E239" t="s">
        <v>500</v>
      </c>
      <c r="F239" t="s">
        <v>13</v>
      </c>
      <c r="G239" t="s">
        <v>525</v>
      </c>
    </row>
    <row r="240" spans="1:7" x14ac:dyDescent="0.3">
      <c r="A240">
        <v>0</v>
      </c>
      <c r="B240" t="s">
        <v>507</v>
      </c>
      <c r="C240" t="s">
        <v>506</v>
      </c>
      <c r="D240" t="s">
        <v>498</v>
      </c>
      <c r="E240" t="s">
        <v>506</v>
      </c>
      <c r="F240" t="s">
        <v>13</v>
      </c>
      <c r="G240" t="s">
        <v>525</v>
      </c>
    </row>
    <row r="241" spans="1:7" x14ac:dyDescent="0.3">
      <c r="A241">
        <v>0</v>
      </c>
      <c r="B241" t="s">
        <v>312</v>
      </c>
      <c r="C241" t="s">
        <v>514</v>
      </c>
      <c r="D241" t="s">
        <v>498</v>
      </c>
      <c r="E241" t="s">
        <v>514</v>
      </c>
      <c r="F241" t="s">
        <v>13</v>
      </c>
      <c r="G241" t="s">
        <v>525</v>
      </c>
    </row>
    <row r="242" spans="1:7" x14ac:dyDescent="0.3">
      <c r="A242">
        <v>0</v>
      </c>
      <c r="B242" t="s">
        <v>312</v>
      </c>
      <c r="C242" t="s">
        <v>499</v>
      </c>
      <c r="D242" t="s">
        <v>498</v>
      </c>
      <c r="E242" t="s">
        <v>499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508</v>
      </c>
      <c r="D243" t="s">
        <v>498</v>
      </c>
      <c r="E243" t="s">
        <v>508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519</v>
      </c>
      <c r="D244" t="s">
        <v>498</v>
      </c>
      <c r="E244" t="s">
        <v>519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t="s">
        <v>510</v>
      </c>
      <c r="D245" t="s">
        <v>498</v>
      </c>
      <c r="E245" t="s">
        <v>510</v>
      </c>
      <c r="F245" t="s">
        <v>13</v>
      </c>
      <c r="G245" t="s">
        <v>525</v>
      </c>
    </row>
    <row r="246" spans="1:7" x14ac:dyDescent="0.3">
      <c r="A246">
        <v>0</v>
      </c>
      <c r="B246" t="s">
        <v>312</v>
      </c>
      <c r="C246" t="s">
        <v>521</v>
      </c>
      <c r="D246" t="s">
        <v>498</v>
      </c>
      <c r="E246" t="s">
        <v>521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501</v>
      </c>
      <c r="D247" t="s">
        <v>498</v>
      </c>
      <c r="E247" t="s">
        <v>501</v>
      </c>
      <c r="F247" t="s">
        <v>13</v>
      </c>
      <c r="G247" t="s">
        <v>525</v>
      </c>
    </row>
    <row r="248" spans="1:7" x14ac:dyDescent="0.3">
      <c r="A248">
        <v>0</v>
      </c>
      <c r="B248" t="s">
        <v>312</v>
      </c>
      <c r="C248" t="s">
        <v>504</v>
      </c>
      <c r="D248" t="s">
        <v>498</v>
      </c>
      <c r="E248" t="s">
        <v>504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520</v>
      </c>
      <c r="D249" t="s">
        <v>498</v>
      </c>
      <c r="E249" t="s">
        <v>520</v>
      </c>
      <c r="F249" t="s">
        <v>13</v>
      </c>
      <c r="G249" t="s">
        <v>525</v>
      </c>
    </row>
    <row r="250" spans="1:7" x14ac:dyDescent="0.3">
      <c r="A250">
        <v>0</v>
      </c>
      <c r="B250" t="s">
        <v>312</v>
      </c>
      <c r="C250" t="s">
        <v>523</v>
      </c>
      <c r="D250" t="s">
        <v>498</v>
      </c>
      <c r="E250" t="s">
        <v>523</v>
      </c>
      <c r="F250" t="s">
        <v>13</v>
      </c>
      <c r="G250" t="s">
        <v>525</v>
      </c>
    </row>
    <row r="251" spans="1:7" x14ac:dyDescent="0.3">
      <c r="A251">
        <v>0</v>
      </c>
      <c r="B251" t="s">
        <v>312</v>
      </c>
      <c r="C251" t="s">
        <v>503</v>
      </c>
      <c r="D251" t="s">
        <v>498</v>
      </c>
      <c r="E251" t="s">
        <v>503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512</v>
      </c>
      <c r="D252" t="s">
        <v>498</v>
      </c>
      <c r="E252" t="s">
        <v>512</v>
      </c>
      <c r="F252" t="s">
        <v>13</v>
      </c>
      <c r="G252" t="s">
        <v>525</v>
      </c>
    </row>
    <row r="253" spans="1:7" x14ac:dyDescent="0.3">
      <c r="A253">
        <v>0</v>
      </c>
      <c r="B253" t="s">
        <v>312</v>
      </c>
      <c r="C253" t="s">
        <v>505</v>
      </c>
      <c r="D253" t="s">
        <v>498</v>
      </c>
      <c r="E253" t="s">
        <v>505</v>
      </c>
      <c r="F253" t="s">
        <v>13</v>
      </c>
      <c r="G253" t="s">
        <v>525</v>
      </c>
    </row>
    <row r="254" spans="1:7" x14ac:dyDescent="0.3">
      <c r="A254">
        <v>0</v>
      </c>
      <c r="B254" t="s">
        <v>312</v>
      </c>
      <c r="C254" t="s">
        <v>518</v>
      </c>
      <c r="D254" t="s">
        <v>498</v>
      </c>
      <c r="E254" t="s">
        <v>518</v>
      </c>
      <c r="F254" t="s">
        <v>13</v>
      </c>
      <c r="G254" t="s">
        <v>525</v>
      </c>
    </row>
    <row r="255" spans="1:7" x14ac:dyDescent="0.3">
      <c r="A255">
        <v>0</v>
      </c>
      <c r="B255" t="s">
        <v>312</v>
      </c>
      <c r="C255" t="s">
        <v>522</v>
      </c>
      <c r="D255" t="s">
        <v>498</v>
      </c>
      <c r="E255" t="s">
        <v>522</v>
      </c>
      <c r="F255" t="s">
        <v>13</v>
      </c>
      <c r="G255" t="s">
        <v>525</v>
      </c>
    </row>
    <row r="256" spans="1:7" x14ac:dyDescent="0.3">
      <c r="A256">
        <v>0</v>
      </c>
      <c r="B256" t="s">
        <v>312</v>
      </c>
      <c r="C256" t="s">
        <v>516</v>
      </c>
      <c r="D256" t="s">
        <v>498</v>
      </c>
      <c r="E256" t="s">
        <v>516</v>
      </c>
      <c r="F256" t="s">
        <v>13</v>
      </c>
      <c r="G256" t="s">
        <v>525</v>
      </c>
    </row>
    <row r="257" spans="1:7" x14ac:dyDescent="0.3">
      <c r="A257">
        <v>0</v>
      </c>
      <c r="B257" t="s">
        <v>312</v>
      </c>
      <c r="C257" t="s">
        <v>517</v>
      </c>
      <c r="D257" t="s">
        <v>498</v>
      </c>
      <c r="E257" t="s">
        <v>517</v>
      </c>
      <c r="F257" t="s">
        <v>13</v>
      </c>
      <c r="G257" t="s">
        <v>525</v>
      </c>
    </row>
    <row r="258" spans="1:7" x14ac:dyDescent="0.3">
      <c r="A258">
        <v>0</v>
      </c>
      <c r="B258" t="s">
        <v>16</v>
      </c>
      <c r="C258" s="2" t="s">
        <v>22</v>
      </c>
      <c r="D258" t="s">
        <v>2</v>
      </c>
      <c r="E258" s="2" t="s">
        <v>22</v>
      </c>
      <c r="F258" t="s">
        <v>13</v>
      </c>
      <c r="G258" t="s">
        <v>525</v>
      </c>
    </row>
    <row r="259" spans="1:7" x14ac:dyDescent="0.3">
      <c r="A259">
        <v>0</v>
      </c>
      <c r="B259" t="s">
        <v>16</v>
      </c>
      <c r="C259" s="2" t="s">
        <v>49</v>
      </c>
      <c r="D259" t="s">
        <v>2</v>
      </c>
      <c r="E259" s="2" t="s">
        <v>49</v>
      </c>
      <c r="F259" t="s">
        <v>13</v>
      </c>
      <c r="G259" t="s">
        <v>525</v>
      </c>
    </row>
    <row r="260" spans="1:7" x14ac:dyDescent="0.3">
      <c r="A260">
        <v>0</v>
      </c>
      <c r="B260" t="s">
        <v>312</v>
      </c>
      <c r="C260" s="2" t="s">
        <v>55</v>
      </c>
      <c r="D260" t="s">
        <v>2</v>
      </c>
      <c r="E260" s="2" t="s">
        <v>55</v>
      </c>
      <c r="F260" t="s">
        <v>13</v>
      </c>
      <c r="G260" t="s">
        <v>525</v>
      </c>
    </row>
    <row r="261" spans="1:7" x14ac:dyDescent="0.3">
      <c r="A261">
        <v>0</v>
      </c>
      <c r="B261" t="s">
        <v>312</v>
      </c>
      <c r="C261" t="s">
        <v>59</v>
      </c>
      <c r="D261" t="s">
        <v>2</v>
      </c>
      <c r="E261" t="s">
        <v>59</v>
      </c>
      <c r="F261" t="s">
        <v>13</v>
      </c>
      <c r="G261" t="s">
        <v>525</v>
      </c>
    </row>
    <row r="262" spans="1:7" x14ac:dyDescent="0.3">
      <c r="A262">
        <v>0</v>
      </c>
      <c r="B262" t="s">
        <v>16</v>
      </c>
      <c r="C262" s="2" t="s">
        <v>61</v>
      </c>
      <c r="D262" t="s">
        <v>2</v>
      </c>
      <c r="E262" s="2" t="s">
        <v>61</v>
      </c>
      <c r="F262" t="s">
        <v>13</v>
      </c>
      <c r="G262" t="s">
        <v>525</v>
      </c>
    </row>
    <row r="263" spans="1:7" x14ac:dyDescent="0.3">
      <c r="A263">
        <v>0</v>
      </c>
      <c r="B263" t="s">
        <v>312</v>
      </c>
      <c r="C263" s="2" t="s">
        <v>67</v>
      </c>
      <c r="D263" t="s">
        <v>2</v>
      </c>
      <c r="E263" s="2" t="s">
        <v>67</v>
      </c>
      <c r="F263" t="s">
        <v>13</v>
      </c>
      <c r="G263" t="s">
        <v>525</v>
      </c>
    </row>
    <row r="264" spans="1:7" x14ac:dyDescent="0.3">
      <c r="A264">
        <v>0</v>
      </c>
      <c r="B264" t="s">
        <v>312</v>
      </c>
      <c r="C264" t="s">
        <v>73</v>
      </c>
      <c r="D264" t="s">
        <v>2</v>
      </c>
      <c r="E264" t="s">
        <v>73</v>
      </c>
      <c r="F264" t="s">
        <v>13</v>
      </c>
      <c r="G264" t="s">
        <v>525</v>
      </c>
    </row>
    <row r="265" spans="1:7" x14ac:dyDescent="0.3">
      <c r="A265">
        <v>0</v>
      </c>
      <c r="B265" t="s">
        <v>312</v>
      </c>
      <c r="C265" t="s">
        <v>79</v>
      </c>
      <c r="D265" t="s">
        <v>2</v>
      </c>
      <c r="E265" t="s">
        <v>79</v>
      </c>
      <c r="F265" t="s">
        <v>13</v>
      </c>
      <c r="G265" t="s">
        <v>525</v>
      </c>
    </row>
    <row r="266" spans="1:7" x14ac:dyDescent="0.3">
      <c r="A266">
        <v>0</v>
      </c>
      <c r="B266" t="s">
        <v>312</v>
      </c>
      <c r="C266" t="s">
        <v>82</v>
      </c>
      <c r="D266" t="s">
        <v>2</v>
      </c>
      <c r="E266" t="s">
        <v>82</v>
      </c>
      <c r="F266" t="s">
        <v>13</v>
      </c>
      <c r="G266" t="s">
        <v>525</v>
      </c>
    </row>
    <row r="267" spans="1:7" x14ac:dyDescent="0.3">
      <c r="A267">
        <v>0</v>
      </c>
      <c r="B267" t="s">
        <v>312</v>
      </c>
      <c r="C267" t="s">
        <v>85</v>
      </c>
      <c r="D267" t="s">
        <v>2</v>
      </c>
      <c r="E267" t="s">
        <v>85</v>
      </c>
      <c r="F267" t="s">
        <v>13</v>
      </c>
      <c r="G267" t="s">
        <v>525</v>
      </c>
    </row>
    <row r="268" spans="1:7" x14ac:dyDescent="0.3">
      <c r="A268">
        <v>0</v>
      </c>
      <c r="B268" t="s">
        <v>312</v>
      </c>
      <c r="C268" t="s">
        <v>88</v>
      </c>
      <c r="D268" t="s">
        <v>2</v>
      </c>
      <c r="E268" t="s">
        <v>88</v>
      </c>
      <c r="F268" t="s">
        <v>13</v>
      </c>
      <c r="G268" t="s">
        <v>525</v>
      </c>
    </row>
    <row r="269" spans="1:7" x14ac:dyDescent="0.3">
      <c r="A269">
        <v>0</v>
      </c>
      <c r="B269" t="s">
        <v>312</v>
      </c>
      <c r="C269" t="s">
        <v>91</v>
      </c>
      <c r="D269" t="s">
        <v>2</v>
      </c>
      <c r="E269" t="s">
        <v>91</v>
      </c>
      <c r="F269" t="s">
        <v>13</v>
      </c>
      <c r="G269" t="s">
        <v>525</v>
      </c>
    </row>
    <row r="270" spans="1:7" x14ac:dyDescent="0.3">
      <c r="A270">
        <v>0</v>
      </c>
      <c r="B270" t="s">
        <v>312</v>
      </c>
      <c r="C270" t="s">
        <v>94</v>
      </c>
      <c r="D270" t="s">
        <v>2</v>
      </c>
      <c r="E270" t="s">
        <v>94</v>
      </c>
      <c r="F270" t="s">
        <v>13</v>
      </c>
      <c r="G270" t="s">
        <v>525</v>
      </c>
    </row>
    <row r="271" spans="1:7" x14ac:dyDescent="0.3">
      <c r="A271">
        <v>0</v>
      </c>
      <c r="B271" t="s">
        <v>312</v>
      </c>
      <c r="C271" t="s">
        <v>97</v>
      </c>
      <c r="D271" t="s">
        <v>2</v>
      </c>
      <c r="E271" t="s">
        <v>97</v>
      </c>
      <c r="F271" t="s">
        <v>13</v>
      </c>
      <c r="G271" t="s">
        <v>525</v>
      </c>
    </row>
    <row r="272" spans="1:7" x14ac:dyDescent="0.3">
      <c r="A272">
        <v>0</v>
      </c>
      <c r="B272" t="s">
        <v>312</v>
      </c>
      <c r="C272" t="s">
        <v>100</v>
      </c>
      <c r="D272" t="s">
        <v>2</v>
      </c>
      <c r="E272" t="s">
        <v>100</v>
      </c>
      <c r="F272" t="s">
        <v>13</v>
      </c>
      <c r="G272" t="s">
        <v>525</v>
      </c>
    </row>
  </sheetData>
  <pageMargins left="0.75" right="0.75" top="1" bottom="1" header="0.5" footer="0.5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2"/>
  <sheetViews>
    <sheetView workbookViewId="0">
      <selection activeCell="E27" sqref="E27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1</v>
      </c>
      <c r="B2" t="s">
        <v>57</v>
      </c>
      <c r="C2" t="s">
        <v>718</v>
      </c>
      <c r="D2" t="s">
        <v>2</v>
      </c>
      <c r="E2" t="s">
        <v>73</v>
      </c>
      <c r="F2" s="4" t="s">
        <v>13</v>
      </c>
      <c r="G2" t="s">
        <v>525</v>
      </c>
      <c r="H2" t="s">
        <v>626</v>
      </c>
    </row>
    <row r="3" spans="1:9" x14ac:dyDescent="0.3">
      <c r="A3">
        <v>1</v>
      </c>
      <c r="B3" t="s">
        <v>57</v>
      </c>
      <c r="C3" t="s">
        <v>719</v>
      </c>
      <c r="D3" t="s">
        <v>2</v>
      </c>
      <c r="E3" t="s">
        <v>149</v>
      </c>
      <c r="F3" t="s">
        <v>13</v>
      </c>
      <c r="G3" t="s">
        <v>525</v>
      </c>
      <c r="H3" t="s">
        <v>626</v>
      </c>
    </row>
    <row r="4" spans="1:9" x14ac:dyDescent="0.3">
      <c r="A4">
        <v>0.01</v>
      </c>
      <c r="B4" t="s">
        <v>57</v>
      </c>
      <c r="C4" t="s">
        <v>641</v>
      </c>
      <c r="D4" t="s">
        <v>2</v>
      </c>
      <c r="E4" t="s">
        <v>85</v>
      </c>
      <c r="F4" t="s">
        <v>13</v>
      </c>
      <c r="G4" t="s">
        <v>525</v>
      </c>
      <c r="H4" t="s">
        <v>626</v>
      </c>
    </row>
    <row r="5" spans="1:9" x14ac:dyDescent="0.3">
      <c r="A5">
        <v>6.6799999999999998E-2</v>
      </c>
      <c r="B5" t="s">
        <v>57</v>
      </c>
      <c r="C5" t="s">
        <v>720</v>
      </c>
      <c r="D5" t="s">
        <v>2</v>
      </c>
      <c r="E5" t="s">
        <v>149</v>
      </c>
      <c r="F5" t="s">
        <v>13</v>
      </c>
      <c r="G5" t="s">
        <v>525</v>
      </c>
      <c r="H5" t="s">
        <v>626</v>
      </c>
    </row>
    <row r="6" spans="1:9" x14ac:dyDescent="0.3">
      <c r="A6">
        <v>4.1500000000000002E-2</v>
      </c>
      <c r="B6" t="s">
        <v>57</v>
      </c>
      <c r="C6" t="s">
        <v>666</v>
      </c>
      <c r="D6" t="s">
        <v>2</v>
      </c>
      <c r="E6" t="s">
        <v>149</v>
      </c>
      <c r="F6" t="s">
        <v>13</v>
      </c>
      <c r="G6" t="s">
        <v>525</v>
      </c>
      <c r="H6" t="s">
        <v>626</v>
      </c>
    </row>
    <row r="7" spans="1:9" x14ac:dyDescent="0.3">
      <c r="A7">
        <v>0.16700000000000001</v>
      </c>
      <c r="B7" t="s">
        <v>57</v>
      </c>
      <c r="C7" t="s">
        <v>721</v>
      </c>
      <c r="D7" t="s">
        <v>2</v>
      </c>
      <c r="E7" s="2" t="s">
        <v>330</v>
      </c>
      <c r="F7" t="s">
        <v>13</v>
      </c>
      <c r="G7" t="s">
        <v>525</v>
      </c>
      <c r="H7" t="s">
        <v>626</v>
      </c>
    </row>
    <row r="8" spans="1:9" x14ac:dyDescent="0.3">
      <c r="A8">
        <v>2.2200000000000001E-2</v>
      </c>
      <c r="B8" t="s">
        <v>57</v>
      </c>
      <c r="C8" t="s">
        <v>667</v>
      </c>
      <c r="D8" t="s">
        <v>2</v>
      </c>
      <c r="E8" s="2" t="s">
        <v>332</v>
      </c>
      <c r="F8" t="s">
        <v>13</v>
      </c>
      <c r="G8" t="s">
        <v>525</v>
      </c>
      <c r="H8" t="s">
        <v>626</v>
      </c>
    </row>
    <row r="9" spans="1:9" x14ac:dyDescent="0.3">
      <c r="A9">
        <v>32</v>
      </c>
      <c r="B9" t="s">
        <v>542</v>
      </c>
      <c r="C9" t="s">
        <v>648</v>
      </c>
      <c r="D9" t="s">
        <v>2</v>
      </c>
      <c r="E9" t="s">
        <v>111</v>
      </c>
      <c r="F9" t="s">
        <v>13</v>
      </c>
      <c r="G9" t="s">
        <v>525</v>
      </c>
      <c r="H9" t="s">
        <v>626</v>
      </c>
    </row>
    <row r="10" spans="1:9" x14ac:dyDescent="0.3">
      <c r="A10">
        <f>68.2242990654206/48</f>
        <v>1.4213395638629291</v>
      </c>
      <c r="B10" t="s">
        <v>57</v>
      </c>
      <c r="C10" t="s">
        <v>671</v>
      </c>
      <c r="D10" t="s">
        <v>2</v>
      </c>
      <c r="E10" t="s">
        <v>398</v>
      </c>
      <c r="F10" t="s">
        <v>13</v>
      </c>
      <c r="G10" t="s">
        <v>525</v>
      </c>
      <c r="H10" t="s">
        <v>626</v>
      </c>
    </row>
    <row r="11" spans="1:9" x14ac:dyDescent="0.3">
      <c r="A11">
        <f>4.01*2.31803430690774E-09</f>
        <v>9.295317570700037E-9</v>
      </c>
      <c r="B11" t="s">
        <v>314</v>
      </c>
      <c r="C11" t="s">
        <v>717</v>
      </c>
      <c r="D11" t="s">
        <v>2</v>
      </c>
      <c r="E11" t="s">
        <v>341</v>
      </c>
      <c r="F11" t="s">
        <v>13</v>
      </c>
      <c r="G11" t="s">
        <v>525</v>
      </c>
      <c r="H11" t="s">
        <v>626</v>
      </c>
    </row>
    <row r="12" spans="1:9" x14ac:dyDescent="0.3">
      <c r="A12">
        <f>$A$2*'[1]SGS prod EU'!I6</f>
        <v>0</v>
      </c>
      <c r="B12" t="s">
        <v>314</v>
      </c>
      <c r="C12" t="s">
        <v>620</v>
      </c>
      <c r="D12" t="s">
        <v>2</v>
      </c>
      <c r="E12" s="2" t="s">
        <v>455</v>
      </c>
      <c r="F12" t="s">
        <v>13</v>
      </c>
      <c r="G12" t="s">
        <v>525</v>
      </c>
      <c r="H12" t="s">
        <v>621</v>
      </c>
    </row>
    <row r="13" spans="1:9" x14ac:dyDescent="0.3">
      <c r="A13">
        <f>$A$2*'[1]SGS prod EU'!I7</f>
        <v>1.2229254135450123E-7</v>
      </c>
      <c r="B13" t="s">
        <v>314</v>
      </c>
      <c r="C13" t="s">
        <v>622</v>
      </c>
      <c r="D13" t="s">
        <v>2</v>
      </c>
      <c r="E13" s="2" t="s">
        <v>409</v>
      </c>
      <c r="F13" t="s">
        <v>13</v>
      </c>
      <c r="G13" t="s">
        <v>525</v>
      </c>
      <c r="H13" t="s">
        <v>621</v>
      </c>
    </row>
    <row r="14" spans="1:9" x14ac:dyDescent="0.3">
      <c r="A14">
        <f>$A$2*'[1]SGS prod EU'!I8</f>
        <v>1.640606341579916E-7</v>
      </c>
      <c r="B14" t="s">
        <v>314</v>
      </c>
      <c r="C14" t="s">
        <v>623</v>
      </c>
      <c r="D14" t="s">
        <v>2</v>
      </c>
      <c r="E14" s="2" t="s">
        <v>443</v>
      </c>
      <c r="F14" t="s">
        <v>13</v>
      </c>
      <c r="G14" t="s">
        <v>525</v>
      </c>
      <c r="H14" t="s">
        <v>621</v>
      </c>
    </row>
    <row r="15" spans="1:9" x14ac:dyDescent="0.3">
      <c r="A15">
        <v>1.6699999999999999E-4</v>
      </c>
      <c r="B15" s="2" t="s">
        <v>319</v>
      </c>
      <c r="C15" t="s">
        <v>672</v>
      </c>
      <c r="D15" t="s">
        <v>2</v>
      </c>
      <c r="E15" s="18" t="s">
        <v>375</v>
      </c>
      <c r="F15" t="s">
        <v>13</v>
      </c>
      <c r="G15" t="s">
        <v>525</v>
      </c>
      <c r="H15" t="s">
        <v>626</v>
      </c>
    </row>
    <row r="16" spans="1:9" x14ac:dyDescent="0.3">
      <c r="A16">
        <v>2.1116620218286924E-7</v>
      </c>
      <c r="B16" t="s">
        <v>314</v>
      </c>
      <c r="C16" t="s">
        <v>654</v>
      </c>
      <c r="D16" t="s">
        <v>2</v>
      </c>
      <c r="E16" s="2" t="s">
        <v>449</v>
      </c>
      <c r="F16" t="s">
        <v>13</v>
      </c>
      <c r="G16" t="s">
        <v>525</v>
      </c>
      <c r="H16" t="s">
        <v>655</v>
      </c>
    </row>
    <row r="17" spans="1:8" x14ac:dyDescent="0.3">
      <c r="A17">
        <v>1.1614141120057812E-6</v>
      </c>
      <c r="B17" t="s">
        <v>314</v>
      </c>
      <c r="C17" t="s">
        <v>656</v>
      </c>
      <c r="D17" t="s">
        <v>2</v>
      </c>
      <c r="E17" s="2" t="s">
        <v>487</v>
      </c>
      <c r="F17" t="s">
        <v>13</v>
      </c>
      <c r="G17" t="s">
        <v>525</v>
      </c>
      <c r="H17" t="s">
        <v>655</v>
      </c>
    </row>
    <row r="18" spans="1:8" x14ac:dyDescent="0.3">
      <c r="A18">
        <v>1.2129779520736912E-6</v>
      </c>
      <c r="B18" t="s">
        <v>314</v>
      </c>
      <c r="C18" t="s">
        <v>495</v>
      </c>
      <c r="D18" t="s">
        <v>494</v>
      </c>
      <c r="E18" t="s">
        <v>495</v>
      </c>
      <c r="F18" t="s">
        <v>13</v>
      </c>
      <c r="G18" t="s">
        <v>525</v>
      </c>
      <c r="H18" t="s">
        <v>655</v>
      </c>
    </row>
    <row r="19" spans="1:8" x14ac:dyDescent="0.3">
      <c r="A19">
        <v>1.7875464556875446E-6</v>
      </c>
      <c r="B19" t="s">
        <v>314</v>
      </c>
      <c r="C19" t="s">
        <v>496</v>
      </c>
      <c r="D19" t="s">
        <v>494</v>
      </c>
      <c r="E19" s="2" t="s">
        <v>496</v>
      </c>
      <c r="F19" t="s">
        <v>13</v>
      </c>
      <c r="G19" t="s">
        <v>525</v>
      </c>
      <c r="H19" t="s">
        <v>655</v>
      </c>
    </row>
    <row r="20" spans="1:8" x14ac:dyDescent="0.3">
      <c r="A20">
        <v>1.2768188969196751E-6</v>
      </c>
      <c r="B20" t="s">
        <v>314</v>
      </c>
      <c r="C20" t="s">
        <v>497</v>
      </c>
      <c r="D20" t="s">
        <v>494</v>
      </c>
      <c r="E20" s="2" t="s">
        <v>497</v>
      </c>
      <c r="F20" t="s">
        <v>13</v>
      </c>
      <c r="G20" t="s">
        <v>525</v>
      </c>
      <c r="H20" t="s">
        <v>655</v>
      </c>
    </row>
    <row r="21" spans="1:8" x14ac:dyDescent="0.3">
      <c r="A21">
        <v>1.8744600613122816E-7</v>
      </c>
      <c r="B21" t="s">
        <v>507</v>
      </c>
      <c r="C21" t="s">
        <v>506</v>
      </c>
      <c r="D21" t="s">
        <v>498</v>
      </c>
      <c r="E21" s="2" t="s">
        <v>506</v>
      </c>
      <c r="F21" t="s">
        <v>13</v>
      </c>
      <c r="G21" t="s">
        <v>525</v>
      </c>
      <c r="H21" t="s">
        <v>655</v>
      </c>
    </row>
    <row r="22" spans="1:8" x14ac:dyDescent="0.3">
      <c r="A22">
        <v>3.3849999999999998E-2</v>
      </c>
      <c r="B22" t="s">
        <v>57</v>
      </c>
      <c r="C22" t="s">
        <v>722</v>
      </c>
      <c r="D22" t="s">
        <v>498</v>
      </c>
      <c r="E22" t="s">
        <v>514</v>
      </c>
      <c r="F22" t="s">
        <v>13</v>
      </c>
      <c r="G22" t="s">
        <v>525</v>
      </c>
      <c r="H22" t="s">
        <v>626</v>
      </c>
    </row>
    <row r="23" spans="1:8" x14ac:dyDescent="0.3">
      <c r="A23">
        <v>4.4149999999999997E-3</v>
      </c>
      <c r="B23" t="s">
        <v>57</v>
      </c>
      <c r="C23" t="s">
        <v>723</v>
      </c>
      <c r="D23" t="s">
        <v>498</v>
      </c>
      <c r="E23" t="s">
        <v>516</v>
      </c>
      <c r="F23" t="s">
        <v>13</v>
      </c>
      <c r="G23" t="s">
        <v>525</v>
      </c>
      <c r="H23" t="s">
        <v>626</v>
      </c>
    </row>
    <row r="24" spans="1:8" x14ac:dyDescent="0.3">
      <c r="A24">
        <v>8.3500000000000005E-2</v>
      </c>
      <c r="B24" t="s">
        <v>57</v>
      </c>
      <c r="C24" t="s">
        <v>724</v>
      </c>
      <c r="D24" t="s">
        <v>498</v>
      </c>
      <c r="E24" t="s">
        <v>514</v>
      </c>
      <c r="F24" t="s">
        <v>13</v>
      </c>
      <c r="G24" t="s">
        <v>525</v>
      </c>
      <c r="H24" t="s">
        <v>626</v>
      </c>
    </row>
    <row r="25" spans="1:8" x14ac:dyDescent="0.3">
      <c r="A25">
        <v>3.8273831775700931</v>
      </c>
      <c r="B25" t="s">
        <v>57</v>
      </c>
      <c r="C25" t="s">
        <v>535</v>
      </c>
      <c r="D25" t="s">
        <v>498</v>
      </c>
      <c r="E25" t="s">
        <v>502</v>
      </c>
      <c r="F25" t="s">
        <v>13</v>
      </c>
      <c r="G25" t="s">
        <v>525</v>
      </c>
      <c r="H25" t="s">
        <v>658</v>
      </c>
    </row>
    <row r="26" spans="1:8" x14ac:dyDescent="0.3">
      <c r="A26">
        <v>3.411214953271028E-4</v>
      </c>
      <c r="B26" t="s">
        <v>57</v>
      </c>
      <c r="C26" t="s">
        <v>500</v>
      </c>
      <c r="D26" t="s">
        <v>498</v>
      </c>
      <c r="E26" t="s">
        <v>500</v>
      </c>
      <c r="F26" t="s">
        <v>13</v>
      </c>
      <c r="G26" t="s">
        <v>525</v>
      </c>
      <c r="H26" t="s">
        <v>658</v>
      </c>
    </row>
    <row r="27" spans="1:8" x14ac:dyDescent="0.3">
      <c r="A27">
        <v>6.8224299065420561E-6</v>
      </c>
      <c r="B27" t="s">
        <v>57</v>
      </c>
      <c r="C27" t="s">
        <v>511</v>
      </c>
      <c r="D27" t="s">
        <v>498</v>
      </c>
      <c r="E27" t="s">
        <v>511</v>
      </c>
      <c r="F27" t="s">
        <v>13</v>
      </c>
      <c r="G27" t="s">
        <v>525</v>
      </c>
      <c r="H27" t="s">
        <v>658</v>
      </c>
    </row>
    <row r="28" spans="1:8" x14ac:dyDescent="0.3">
      <c r="A28">
        <v>0</v>
      </c>
      <c r="B28" t="s">
        <v>312</v>
      </c>
      <c r="C28" t="s">
        <v>483</v>
      </c>
      <c r="D28" t="s">
        <v>2</v>
      </c>
      <c r="E28" t="s">
        <v>483</v>
      </c>
      <c r="F28" t="s">
        <v>13</v>
      </c>
      <c r="G28" t="s">
        <v>525</v>
      </c>
    </row>
    <row r="29" spans="1:8" x14ac:dyDescent="0.3">
      <c r="A29">
        <v>0</v>
      </c>
      <c r="B29" t="s">
        <v>105</v>
      </c>
      <c r="C29" t="s">
        <v>125</v>
      </c>
      <c r="D29" t="s">
        <v>2</v>
      </c>
      <c r="E29" t="s">
        <v>125</v>
      </c>
      <c r="F29" t="s">
        <v>13</v>
      </c>
      <c r="G29" t="s">
        <v>525</v>
      </c>
    </row>
    <row r="30" spans="1:8" x14ac:dyDescent="0.3">
      <c r="A30">
        <v>0</v>
      </c>
      <c r="B30" t="s">
        <v>319</v>
      </c>
      <c r="C30" t="s">
        <v>461</v>
      </c>
      <c r="D30" t="s">
        <v>2</v>
      </c>
      <c r="E30" t="s">
        <v>461</v>
      </c>
      <c r="F30" t="s">
        <v>13</v>
      </c>
      <c r="G30" t="s">
        <v>525</v>
      </c>
    </row>
    <row r="31" spans="1:8" x14ac:dyDescent="0.3">
      <c r="A31">
        <v>0</v>
      </c>
      <c r="B31" t="s">
        <v>314</v>
      </c>
      <c r="C31" t="s">
        <v>395</v>
      </c>
      <c r="D31" t="s">
        <v>2</v>
      </c>
      <c r="E31" t="s">
        <v>395</v>
      </c>
      <c r="F31" t="s">
        <v>13</v>
      </c>
      <c r="G31" t="s">
        <v>525</v>
      </c>
    </row>
    <row r="32" spans="1:8" x14ac:dyDescent="0.3">
      <c r="A32">
        <v>0</v>
      </c>
      <c r="B32" t="s">
        <v>312</v>
      </c>
      <c r="C32" t="s">
        <v>399</v>
      </c>
      <c r="D32" t="s">
        <v>2</v>
      </c>
      <c r="E32" t="s">
        <v>399</v>
      </c>
      <c r="F32" t="s">
        <v>13</v>
      </c>
      <c r="G32" t="s">
        <v>525</v>
      </c>
    </row>
    <row r="33" spans="1:7" x14ac:dyDescent="0.3">
      <c r="A33">
        <v>0</v>
      </c>
      <c r="B33" t="s">
        <v>314</v>
      </c>
      <c r="C33" t="s">
        <v>432</v>
      </c>
      <c r="D33" t="s">
        <v>2</v>
      </c>
      <c r="E33" t="s">
        <v>432</v>
      </c>
      <c r="F33" t="s">
        <v>13</v>
      </c>
      <c r="G33" t="s">
        <v>525</v>
      </c>
    </row>
    <row r="34" spans="1:7" x14ac:dyDescent="0.3">
      <c r="A34">
        <v>0</v>
      </c>
      <c r="B34" t="s">
        <v>312</v>
      </c>
      <c r="C34" t="s">
        <v>325</v>
      </c>
      <c r="D34" t="s">
        <v>2</v>
      </c>
      <c r="E34" t="s">
        <v>325</v>
      </c>
      <c r="F34" t="s">
        <v>13</v>
      </c>
      <c r="G34" t="s">
        <v>525</v>
      </c>
    </row>
    <row r="35" spans="1:7" x14ac:dyDescent="0.3">
      <c r="A35">
        <v>0</v>
      </c>
      <c r="B35" t="s">
        <v>314</v>
      </c>
      <c r="C35" t="s">
        <v>372</v>
      </c>
      <c r="D35" t="s">
        <v>2</v>
      </c>
      <c r="E35" t="s">
        <v>372</v>
      </c>
      <c r="F35" t="s">
        <v>13</v>
      </c>
      <c r="G35" t="s">
        <v>525</v>
      </c>
    </row>
    <row r="36" spans="1:7" x14ac:dyDescent="0.3">
      <c r="A36">
        <v>0</v>
      </c>
      <c r="B36" t="s">
        <v>314</v>
      </c>
      <c r="C36" t="s">
        <v>260</v>
      </c>
      <c r="D36" t="s">
        <v>2</v>
      </c>
      <c r="E36" t="s">
        <v>260</v>
      </c>
      <c r="F36" t="s">
        <v>13</v>
      </c>
      <c r="G36" t="s">
        <v>525</v>
      </c>
    </row>
    <row r="37" spans="1:7" x14ac:dyDescent="0.3">
      <c r="A37">
        <v>0</v>
      </c>
      <c r="B37" t="s">
        <v>312</v>
      </c>
      <c r="C37" t="s">
        <v>330</v>
      </c>
      <c r="D37" t="s">
        <v>2</v>
      </c>
      <c r="E37" t="s">
        <v>330</v>
      </c>
      <c r="F37" t="s">
        <v>13</v>
      </c>
      <c r="G37" t="s">
        <v>525</v>
      </c>
    </row>
    <row r="38" spans="1:7" x14ac:dyDescent="0.3">
      <c r="A38">
        <v>0</v>
      </c>
      <c r="B38" t="s">
        <v>105</v>
      </c>
      <c r="C38" t="s">
        <v>401</v>
      </c>
      <c r="D38" t="s">
        <v>2</v>
      </c>
      <c r="E38" t="s">
        <v>401</v>
      </c>
      <c r="F38" t="s">
        <v>13</v>
      </c>
      <c r="G38" t="s">
        <v>525</v>
      </c>
    </row>
    <row r="39" spans="1:7" x14ac:dyDescent="0.3">
      <c r="A39">
        <v>0</v>
      </c>
      <c r="B39" t="s">
        <v>312</v>
      </c>
      <c r="C39" t="s">
        <v>416</v>
      </c>
      <c r="D39" t="s">
        <v>2</v>
      </c>
      <c r="E39" t="s">
        <v>416</v>
      </c>
      <c r="F39" t="s">
        <v>13</v>
      </c>
      <c r="G39" t="s">
        <v>525</v>
      </c>
    </row>
    <row r="40" spans="1:7" x14ac:dyDescent="0.3">
      <c r="A40">
        <v>0</v>
      </c>
      <c r="B40" t="s">
        <v>319</v>
      </c>
      <c r="C40" t="s">
        <v>375</v>
      </c>
      <c r="D40" t="s">
        <v>2</v>
      </c>
      <c r="E40" t="s">
        <v>375</v>
      </c>
      <c r="F40" t="s">
        <v>13</v>
      </c>
      <c r="G40" t="s">
        <v>525</v>
      </c>
    </row>
    <row r="41" spans="1:7" x14ac:dyDescent="0.3">
      <c r="A41">
        <v>0</v>
      </c>
      <c r="B41" t="s">
        <v>312</v>
      </c>
      <c r="C41" t="s">
        <v>333</v>
      </c>
      <c r="D41" t="s">
        <v>2</v>
      </c>
      <c r="E41" t="s">
        <v>333</v>
      </c>
      <c r="F41" t="s">
        <v>13</v>
      </c>
      <c r="G41" t="s">
        <v>525</v>
      </c>
    </row>
    <row r="42" spans="1:7" x14ac:dyDescent="0.3">
      <c r="A42">
        <v>0</v>
      </c>
      <c r="B42" t="s">
        <v>57</v>
      </c>
      <c r="C42" t="s">
        <v>118</v>
      </c>
      <c r="D42" t="s">
        <v>2</v>
      </c>
      <c r="E42" t="s">
        <v>118</v>
      </c>
      <c r="F42" t="s">
        <v>13</v>
      </c>
      <c r="G42" t="s">
        <v>525</v>
      </c>
    </row>
    <row r="43" spans="1:7" x14ac:dyDescent="0.3">
      <c r="A43">
        <v>0</v>
      </c>
      <c r="B43" t="s">
        <v>312</v>
      </c>
      <c r="C43" t="s">
        <v>406</v>
      </c>
      <c r="D43" t="s">
        <v>2</v>
      </c>
      <c r="E43" t="s">
        <v>406</v>
      </c>
      <c r="F43" t="s">
        <v>13</v>
      </c>
      <c r="G43" t="s">
        <v>525</v>
      </c>
    </row>
    <row r="44" spans="1:7" x14ac:dyDescent="0.3">
      <c r="A44">
        <v>0</v>
      </c>
      <c r="B44" t="s">
        <v>312</v>
      </c>
      <c r="C44" t="s">
        <v>315</v>
      </c>
      <c r="D44" t="s">
        <v>2</v>
      </c>
      <c r="E44" t="s">
        <v>315</v>
      </c>
      <c r="F44" t="s">
        <v>13</v>
      </c>
      <c r="G44" t="s">
        <v>525</v>
      </c>
    </row>
    <row r="45" spans="1:7" x14ac:dyDescent="0.3">
      <c r="A45">
        <v>0</v>
      </c>
      <c r="B45" t="s">
        <v>312</v>
      </c>
      <c r="C45" t="s">
        <v>358</v>
      </c>
      <c r="D45" t="s">
        <v>2</v>
      </c>
      <c r="E45" t="s">
        <v>358</v>
      </c>
      <c r="F45" t="s">
        <v>13</v>
      </c>
      <c r="G45" t="s">
        <v>525</v>
      </c>
    </row>
    <row r="46" spans="1:7" x14ac:dyDescent="0.3">
      <c r="A46">
        <v>0</v>
      </c>
      <c r="B46" t="s">
        <v>314</v>
      </c>
      <c r="C46" t="s">
        <v>444</v>
      </c>
      <c r="D46" t="s">
        <v>2</v>
      </c>
      <c r="E46" t="s">
        <v>444</v>
      </c>
      <c r="F46" t="s">
        <v>13</v>
      </c>
      <c r="G46" t="s">
        <v>525</v>
      </c>
    </row>
    <row r="47" spans="1:7" x14ac:dyDescent="0.3">
      <c r="A47">
        <v>0</v>
      </c>
      <c r="B47" t="s">
        <v>312</v>
      </c>
      <c r="C47" t="s">
        <v>439</v>
      </c>
      <c r="D47" t="s">
        <v>2</v>
      </c>
      <c r="E47" t="s">
        <v>439</v>
      </c>
      <c r="F47" t="s">
        <v>13</v>
      </c>
      <c r="G47" t="s">
        <v>525</v>
      </c>
    </row>
    <row r="48" spans="1:7" x14ac:dyDescent="0.3">
      <c r="A48">
        <v>0</v>
      </c>
      <c r="B48" t="s">
        <v>312</v>
      </c>
      <c r="C48" t="s">
        <v>381</v>
      </c>
      <c r="D48" t="s">
        <v>2</v>
      </c>
      <c r="E48" t="s">
        <v>381</v>
      </c>
      <c r="F48" t="s">
        <v>13</v>
      </c>
      <c r="G48" t="s">
        <v>525</v>
      </c>
    </row>
    <row r="49" spans="1:7" x14ac:dyDescent="0.3">
      <c r="A49">
        <v>0</v>
      </c>
      <c r="B49" t="s">
        <v>312</v>
      </c>
      <c r="C49" t="s">
        <v>418</v>
      </c>
      <c r="D49" t="s">
        <v>2</v>
      </c>
      <c r="E49" t="s">
        <v>418</v>
      </c>
      <c r="F49" t="s">
        <v>13</v>
      </c>
      <c r="G49" t="s">
        <v>525</v>
      </c>
    </row>
    <row r="50" spans="1:7" x14ac:dyDescent="0.3">
      <c r="A50">
        <v>0</v>
      </c>
      <c r="B50" t="s">
        <v>314</v>
      </c>
      <c r="C50" t="s">
        <v>465</v>
      </c>
      <c r="D50" t="s">
        <v>2</v>
      </c>
      <c r="E50" t="s">
        <v>465</v>
      </c>
      <c r="F50" t="s">
        <v>13</v>
      </c>
      <c r="G50" t="s">
        <v>525</v>
      </c>
    </row>
    <row r="51" spans="1:7" x14ac:dyDescent="0.3">
      <c r="A51">
        <v>0</v>
      </c>
      <c r="B51" t="s">
        <v>105</v>
      </c>
      <c r="C51" t="s">
        <v>103</v>
      </c>
      <c r="D51" t="s">
        <v>2</v>
      </c>
      <c r="E51" t="s">
        <v>103</v>
      </c>
      <c r="F51" t="s">
        <v>13</v>
      </c>
      <c r="G51" t="s">
        <v>525</v>
      </c>
    </row>
    <row r="52" spans="1:7" x14ac:dyDescent="0.3">
      <c r="A52">
        <v>0</v>
      </c>
      <c r="B52" t="s">
        <v>312</v>
      </c>
      <c r="C52" t="s">
        <v>320</v>
      </c>
      <c r="D52" t="s">
        <v>2</v>
      </c>
      <c r="E52" t="s">
        <v>320</v>
      </c>
      <c r="F52" t="s">
        <v>13</v>
      </c>
      <c r="G52" t="s">
        <v>525</v>
      </c>
    </row>
    <row r="53" spans="1:7" x14ac:dyDescent="0.3">
      <c r="A53">
        <v>0</v>
      </c>
      <c r="B53" t="s">
        <v>312</v>
      </c>
      <c r="C53" t="s">
        <v>334</v>
      </c>
      <c r="D53" t="s">
        <v>2</v>
      </c>
      <c r="E53" t="s">
        <v>334</v>
      </c>
      <c r="F53" t="s">
        <v>13</v>
      </c>
      <c r="G53" t="s">
        <v>525</v>
      </c>
    </row>
    <row r="54" spans="1:7" x14ac:dyDescent="0.3">
      <c r="A54">
        <v>0</v>
      </c>
      <c r="B54" t="s">
        <v>312</v>
      </c>
      <c r="C54" t="s">
        <v>435</v>
      </c>
      <c r="D54" t="s">
        <v>2</v>
      </c>
      <c r="E54" t="s">
        <v>435</v>
      </c>
      <c r="F54" t="s">
        <v>13</v>
      </c>
      <c r="G54" t="s">
        <v>525</v>
      </c>
    </row>
    <row r="55" spans="1:7" x14ac:dyDescent="0.3">
      <c r="A55">
        <v>0</v>
      </c>
      <c r="B55" t="s">
        <v>319</v>
      </c>
      <c r="C55" t="s">
        <v>456</v>
      </c>
      <c r="D55" t="s">
        <v>2</v>
      </c>
      <c r="E55" t="s">
        <v>456</v>
      </c>
      <c r="F55" t="s">
        <v>13</v>
      </c>
      <c r="G55" t="s">
        <v>525</v>
      </c>
    </row>
    <row r="56" spans="1:7" x14ac:dyDescent="0.3">
      <c r="A56">
        <v>0</v>
      </c>
      <c r="B56" t="s">
        <v>312</v>
      </c>
      <c r="C56" t="s">
        <v>474</v>
      </c>
      <c r="D56" t="s">
        <v>2</v>
      </c>
      <c r="E56" t="s">
        <v>474</v>
      </c>
      <c r="F56" t="s">
        <v>13</v>
      </c>
      <c r="G56" t="s">
        <v>525</v>
      </c>
    </row>
    <row r="57" spans="1:7" x14ac:dyDescent="0.3">
      <c r="A57">
        <v>0</v>
      </c>
      <c r="B57" t="s">
        <v>319</v>
      </c>
      <c r="C57" t="s">
        <v>318</v>
      </c>
      <c r="D57" t="s">
        <v>2</v>
      </c>
      <c r="E57" t="s">
        <v>318</v>
      </c>
      <c r="F57" t="s">
        <v>13</v>
      </c>
      <c r="G57" t="s">
        <v>525</v>
      </c>
    </row>
    <row r="58" spans="1:7" x14ac:dyDescent="0.3">
      <c r="A58">
        <v>0</v>
      </c>
      <c r="B58" t="s">
        <v>314</v>
      </c>
      <c r="C58" t="s">
        <v>475</v>
      </c>
      <c r="D58" t="s">
        <v>2</v>
      </c>
      <c r="E58" t="s">
        <v>475</v>
      </c>
      <c r="F58" t="s">
        <v>13</v>
      </c>
      <c r="G58" t="s">
        <v>525</v>
      </c>
    </row>
    <row r="59" spans="1:7" x14ac:dyDescent="0.3">
      <c r="A59">
        <v>0</v>
      </c>
      <c r="B59" t="s">
        <v>314</v>
      </c>
      <c r="C59" t="s">
        <v>449</v>
      </c>
      <c r="D59" t="s">
        <v>2</v>
      </c>
      <c r="E59" t="s">
        <v>449</v>
      </c>
      <c r="F59" t="s">
        <v>13</v>
      </c>
      <c r="G59" t="s">
        <v>525</v>
      </c>
    </row>
    <row r="60" spans="1:7" x14ac:dyDescent="0.3">
      <c r="A60">
        <v>0</v>
      </c>
      <c r="B60" t="s">
        <v>314</v>
      </c>
      <c r="C60" t="s">
        <v>176</v>
      </c>
      <c r="D60" t="s">
        <v>2</v>
      </c>
      <c r="E60" t="s">
        <v>176</v>
      </c>
      <c r="F60" t="s">
        <v>13</v>
      </c>
      <c r="G60" t="s">
        <v>525</v>
      </c>
    </row>
    <row r="61" spans="1:7" x14ac:dyDescent="0.3">
      <c r="A61">
        <v>0</v>
      </c>
      <c r="B61" t="s">
        <v>312</v>
      </c>
      <c r="C61" t="s">
        <v>388</v>
      </c>
      <c r="D61" t="s">
        <v>2</v>
      </c>
      <c r="E61" t="s">
        <v>388</v>
      </c>
      <c r="F61" t="s">
        <v>13</v>
      </c>
      <c r="G61" t="s">
        <v>525</v>
      </c>
    </row>
    <row r="62" spans="1:7" x14ac:dyDescent="0.3">
      <c r="A62">
        <v>0</v>
      </c>
      <c r="B62" t="s">
        <v>319</v>
      </c>
      <c r="C62" t="s">
        <v>429</v>
      </c>
      <c r="D62" t="s">
        <v>2</v>
      </c>
      <c r="E62" t="s">
        <v>429</v>
      </c>
      <c r="F62" t="s">
        <v>13</v>
      </c>
      <c r="G62" t="s">
        <v>525</v>
      </c>
    </row>
    <row r="63" spans="1:7" x14ac:dyDescent="0.3">
      <c r="A63">
        <v>0</v>
      </c>
      <c r="B63" t="s">
        <v>312</v>
      </c>
      <c r="C63" t="s">
        <v>272</v>
      </c>
      <c r="D63" t="s">
        <v>2</v>
      </c>
      <c r="E63" t="s">
        <v>272</v>
      </c>
      <c r="F63" t="s">
        <v>13</v>
      </c>
      <c r="G63" t="s">
        <v>525</v>
      </c>
    </row>
    <row r="64" spans="1:7" x14ac:dyDescent="0.3">
      <c r="A64">
        <v>0</v>
      </c>
      <c r="B64" t="s">
        <v>312</v>
      </c>
      <c r="C64" t="s">
        <v>410</v>
      </c>
      <c r="D64" t="s">
        <v>2</v>
      </c>
      <c r="E64" t="s">
        <v>410</v>
      </c>
      <c r="F64" t="s">
        <v>13</v>
      </c>
      <c r="G64" t="s">
        <v>525</v>
      </c>
    </row>
    <row r="65" spans="1:7" x14ac:dyDescent="0.3">
      <c r="A65">
        <v>0</v>
      </c>
      <c r="B65" t="s">
        <v>319</v>
      </c>
      <c r="C65" t="s">
        <v>363</v>
      </c>
      <c r="D65" t="s">
        <v>2</v>
      </c>
      <c r="E65" t="s">
        <v>363</v>
      </c>
      <c r="F65" t="s">
        <v>13</v>
      </c>
      <c r="G65" t="s">
        <v>525</v>
      </c>
    </row>
    <row r="66" spans="1:7" x14ac:dyDescent="0.3">
      <c r="A66">
        <v>0</v>
      </c>
      <c r="B66" t="s">
        <v>312</v>
      </c>
      <c r="C66" t="s">
        <v>382</v>
      </c>
      <c r="D66" t="s">
        <v>2</v>
      </c>
      <c r="E66" t="s">
        <v>382</v>
      </c>
      <c r="F66" t="s">
        <v>13</v>
      </c>
      <c r="G66" t="s">
        <v>525</v>
      </c>
    </row>
    <row r="67" spans="1:7" x14ac:dyDescent="0.3">
      <c r="A67">
        <v>0</v>
      </c>
      <c r="B67" t="s">
        <v>312</v>
      </c>
      <c r="C67" t="s">
        <v>424</v>
      </c>
      <c r="D67" t="s">
        <v>2</v>
      </c>
      <c r="E67" t="s">
        <v>424</v>
      </c>
      <c r="F67" t="s">
        <v>13</v>
      </c>
      <c r="G67" t="s">
        <v>525</v>
      </c>
    </row>
    <row r="68" spans="1:7" x14ac:dyDescent="0.3">
      <c r="A68">
        <v>0</v>
      </c>
      <c r="B68" t="s">
        <v>314</v>
      </c>
      <c r="C68" t="s">
        <v>351</v>
      </c>
      <c r="D68" t="s">
        <v>2</v>
      </c>
      <c r="E68" t="s">
        <v>351</v>
      </c>
      <c r="F68" t="s">
        <v>13</v>
      </c>
      <c r="G68" t="s">
        <v>525</v>
      </c>
    </row>
    <row r="69" spans="1:7" x14ac:dyDescent="0.3">
      <c r="A69">
        <v>0</v>
      </c>
      <c r="B69" t="s">
        <v>312</v>
      </c>
      <c r="C69" t="s">
        <v>347</v>
      </c>
      <c r="D69" t="s">
        <v>2</v>
      </c>
      <c r="E69" t="s">
        <v>347</v>
      </c>
      <c r="F69" t="s">
        <v>13</v>
      </c>
      <c r="G69" t="s">
        <v>525</v>
      </c>
    </row>
    <row r="70" spans="1:7" x14ac:dyDescent="0.3">
      <c r="A70">
        <v>0</v>
      </c>
      <c r="B70" t="s">
        <v>314</v>
      </c>
      <c r="C70" t="s">
        <v>453</v>
      </c>
      <c r="D70" t="s">
        <v>2</v>
      </c>
      <c r="E70" t="s">
        <v>453</v>
      </c>
      <c r="F70" t="s">
        <v>13</v>
      </c>
      <c r="G70" t="s">
        <v>525</v>
      </c>
    </row>
    <row r="71" spans="1:7" x14ac:dyDescent="0.3">
      <c r="A71">
        <v>0</v>
      </c>
      <c r="B71" t="s">
        <v>319</v>
      </c>
      <c r="C71" t="s">
        <v>457</v>
      </c>
      <c r="D71" t="s">
        <v>2</v>
      </c>
      <c r="E71" t="s">
        <v>457</v>
      </c>
      <c r="F71" t="s">
        <v>13</v>
      </c>
      <c r="G71" t="s">
        <v>525</v>
      </c>
    </row>
    <row r="72" spans="1:7" x14ac:dyDescent="0.3">
      <c r="A72">
        <v>0</v>
      </c>
      <c r="B72" t="s">
        <v>312</v>
      </c>
      <c r="C72" t="s">
        <v>485</v>
      </c>
      <c r="D72" t="s">
        <v>2</v>
      </c>
      <c r="E72" t="s">
        <v>485</v>
      </c>
      <c r="F72" t="s">
        <v>13</v>
      </c>
      <c r="G72" t="s">
        <v>525</v>
      </c>
    </row>
    <row r="73" spans="1:7" x14ac:dyDescent="0.3">
      <c r="A73">
        <v>0</v>
      </c>
      <c r="B73" t="s">
        <v>312</v>
      </c>
      <c r="C73" t="s">
        <v>355</v>
      </c>
      <c r="D73" t="s">
        <v>2</v>
      </c>
      <c r="E73" t="s">
        <v>355</v>
      </c>
      <c r="F73" t="s">
        <v>13</v>
      </c>
      <c r="G73" t="s">
        <v>525</v>
      </c>
    </row>
    <row r="74" spans="1:7" x14ac:dyDescent="0.3">
      <c r="A74">
        <v>0</v>
      </c>
      <c r="B74" t="s">
        <v>312</v>
      </c>
      <c r="C74" t="s">
        <v>338</v>
      </c>
      <c r="D74" t="s">
        <v>2</v>
      </c>
      <c r="E74" t="s">
        <v>338</v>
      </c>
      <c r="F74" t="s">
        <v>13</v>
      </c>
      <c r="G74" t="s">
        <v>525</v>
      </c>
    </row>
    <row r="75" spans="1:7" x14ac:dyDescent="0.3">
      <c r="A75">
        <v>0</v>
      </c>
      <c r="B75" t="s">
        <v>312</v>
      </c>
      <c r="C75" t="s">
        <v>394</v>
      </c>
      <c r="D75" t="s">
        <v>2</v>
      </c>
      <c r="E75" t="s">
        <v>394</v>
      </c>
      <c r="F75" t="s">
        <v>13</v>
      </c>
      <c r="G75" t="s">
        <v>525</v>
      </c>
    </row>
    <row r="76" spans="1:7" x14ac:dyDescent="0.3">
      <c r="A76">
        <v>0</v>
      </c>
      <c r="B76" t="s">
        <v>312</v>
      </c>
      <c r="C76" t="s">
        <v>438</v>
      </c>
      <c r="D76" t="s">
        <v>2</v>
      </c>
      <c r="E76" t="s">
        <v>438</v>
      </c>
      <c r="F76" t="s">
        <v>13</v>
      </c>
      <c r="G76" t="s">
        <v>525</v>
      </c>
    </row>
    <row r="77" spans="1:7" x14ac:dyDescent="0.3">
      <c r="A77">
        <v>0</v>
      </c>
      <c r="B77" t="s">
        <v>312</v>
      </c>
      <c r="C77" t="s">
        <v>486</v>
      </c>
      <c r="D77" t="s">
        <v>2</v>
      </c>
      <c r="E77" t="s">
        <v>486</v>
      </c>
      <c r="F77" t="s">
        <v>13</v>
      </c>
      <c r="G77" t="s">
        <v>525</v>
      </c>
    </row>
    <row r="78" spans="1:7" x14ac:dyDescent="0.3">
      <c r="A78">
        <v>0</v>
      </c>
      <c r="B78" t="s">
        <v>319</v>
      </c>
      <c r="C78" t="s">
        <v>419</v>
      </c>
      <c r="D78" t="s">
        <v>2</v>
      </c>
      <c r="E78" t="s">
        <v>419</v>
      </c>
      <c r="F78" t="s">
        <v>13</v>
      </c>
      <c r="G78" t="s">
        <v>525</v>
      </c>
    </row>
    <row r="79" spans="1:7" x14ac:dyDescent="0.3">
      <c r="A79">
        <v>0</v>
      </c>
      <c r="B79" t="s">
        <v>57</v>
      </c>
      <c r="C79" t="s">
        <v>353</v>
      </c>
      <c r="D79" t="s">
        <v>2</v>
      </c>
      <c r="E79" t="s">
        <v>353</v>
      </c>
      <c r="F79" t="s">
        <v>13</v>
      </c>
      <c r="G79" t="s">
        <v>525</v>
      </c>
    </row>
    <row r="80" spans="1:7" x14ac:dyDescent="0.3">
      <c r="A80">
        <v>0</v>
      </c>
      <c r="B80" t="s">
        <v>319</v>
      </c>
      <c r="C80" t="s">
        <v>489</v>
      </c>
      <c r="D80" t="s">
        <v>2</v>
      </c>
      <c r="E80" t="s">
        <v>489</v>
      </c>
      <c r="F80" t="s">
        <v>13</v>
      </c>
      <c r="G80" t="s">
        <v>525</v>
      </c>
    </row>
    <row r="81" spans="1:7" x14ac:dyDescent="0.3">
      <c r="A81">
        <v>0</v>
      </c>
      <c r="B81" t="s">
        <v>312</v>
      </c>
      <c r="C81" t="s">
        <v>386</v>
      </c>
      <c r="D81" t="s">
        <v>2</v>
      </c>
      <c r="E81" t="s">
        <v>386</v>
      </c>
      <c r="F81" t="s">
        <v>13</v>
      </c>
      <c r="G81" t="s">
        <v>525</v>
      </c>
    </row>
    <row r="82" spans="1:7" x14ac:dyDescent="0.3">
      <c r="A82">
        <v>0</v>
      </c>
      <c r="B82" t="s">
        <v>319</v>
      </c>
      <c r="C82" t="s">
        <v>389</v>
      </c>
      <c r="D82" t="s">
        <v>2</v>
      </c>
      <c r="E82" t="s">
        <v>389</v>
      </c>
      <c r="F82" t="s">
        <v>13</v>
      </c>
      <c r="G82" t="s">
        <v>525</v>
      </c>
    </row>
    <row r="83" spans="1:7" x14ac:dyDescent="0.3">
      <c r="A83">
        <v>0</v>
      </c>
      <c r="B83" t="s">
        <v>312</v>
      </c>
      <c r="C83" t="s">
        <v>340</v>
      </c>
      <c r="D83" t="s">
        <v>2</v>
      </c>
      <c r="E83" t="s">
        <v>340</v>
      </c>
      <c r="F83" t="s">
        <v>13</v>
      </c>
      <c r="G83" t="s">
        <v>525</v>
      </c>
    </row>
    <row r="84" spans="1:7" x14ac:dyDescent="0.3">
      <c r="A84">
        <v>0</v>
      </c>
      <c r="B84" t="s">
        <v>312</v>
      </c>
      <c r="C84" t="s">
        <v>368</v>
      </c>
      <c r="D84" t="s">
        <v>2</v>
      </c>
      <c r="E84" t="s">
        <v>368</v>
      </c>
      <c r="F84" t="s">
        <v>13</v>
      </c>
      <c r="G84" t="s">
        <v>525</v>
      </c>
    </row>
    <row r="85" spans="1:7" x14ac:dyDescent="0.3">
      <c r="A85">
        <v>0</v>
      </c>
      <c r="B85" t="s">
        <v>312</v>
      </c>
      <c r="C85" t="s">
        <v>328</v>
      </c>
      <c r="D85" t="s">
        <v>2</v>
      </c>
      <c r="E85" t="s">
        <v>328</v>
      </c>
      <c r="F85" t="s">
        <v>13</v>
      </c>
      <c r="G85" t="s">
        <v>525</v>
      </c>
    </row>
    <row r="86" spans="1:7" x14ac:dyDescent="0.3">
      <c r="A86">
        <v>0</v>
      </c>
      <c r="B86" t="s">
        <v>312</v>
      </c>
      <c r="C86" t="s">
        <v>479</v>
      </c>
      <c r="D86" t="s">
        <v>2</v>
      </c>
      <c r="E86" t="s">
        <v>479</v>
      </c>
      <c r="F86" t="s">
        <v>13</v>
      </c>
      <c r="G86" t="s">
        <v>525</v>
      </c>
    </row>
    <row r="87" spans="1:7" x14ac:dyDescent="0.3">
      <c r="A87">
        <v>0</v>
      </c>
      <c r="B87" t="s">
        <v>57</v>
      </c>
      <c r="C87" t="s">
        <v>116</v>
      </c>
      <c r="D87" t="s">
        <v>2</v>
      </c>
      <c r="E87" t="s">
        <v>116</v>
      </c>
      <c r="F87" t="s">
        <v>13</v>
      </c>
      <c r="G87" t="s">
        <v>525</v>
      </c>
    </row>
    <row r="88" spans="1:7" x14ac:dyDescent="0.3">
      <c r="A88">
        <v>0</v>
      </c>
      <c r="B88" t="s">
        <v>312</v>
      </c>
      <c r="C88" t="s">
        <v>352</v>
      </c>
      <c r="D88" t="s">
        <v>2</v>
      </c>
      <c r="E88" t="s">
        <v>352</v>
      </c>
      <c r="F88" t="s">
        <v>13</v>
      </c>
      <c r="G88" t="s">
        <v>525</v>
      </c>
    </row>
    <row r="89" spans="1:7" x14ac:dyDescent="0.3">
      <c r="A89">
        <v>0</v>
      </c>
      <c r="B89" t="s">
        <v>312</v>
      </c>
      <c r="C89" t="s">
        <v>417</v>
      </c>
      <c r="D89" t="s">
        <v>2</v>
      </c>
      <c r="E89" t="s">
        <v>417</v>
      </c>
      <c r="F89" t="s">
        <v>13</v>
      </c>
      <c r="G89" t="s">
        <v>525</v>
      </c>
    </row>
    <row r="90" spans="1:7" x14ac:dyDescent="0.3">
      <c r="A90">
        <v>0</v>
      </c>
      <c r="B90" t="s">
        <v>312</v>
      </c>
      <c r="C90" t="s">
        <v>447</v>
      </c>
      <c r="D90" t="s">
        <v>2</v>
      </c>
      <c r="E90" t="s">
        <v>447</v>
      </c>
      <c r="F90" t="s">
        <v>13</v>
      </c>
      <c r="G90" t="s">
        <v>525</v>
      </c>
    </row>
    <row r="91" spans="1:7" x14ac:dyDescent="0.3">
      <c r="A91">
        <v>0</v>
      </c>
      <c r="B91" t="s">
        <v>319</v>
      </c>
      <c r="C91" t="s">
        <v>329</v>
      </c>
      <c r="D91" t="s">
        <v>2</v>
      </c>
      <c r="E91" t="s">
        <v>329</v>
      </c>
      <c r="F91" t="s">
        <v>13</v>
      </c>
      <c r="G91" t="s">
        <v>525</v>
      </c>
    </row>
    <row r="92" spans="1:7" x14ac:dyDescent="0.3">
      <c r="A92">
        <v>0</v>
      </c>
      <c r="B92" t="s">
        <v>312</v>
      </c>
      <c r="C92" t="s">
        <v>252</v>
      </c>
      <c r="D92" t="s">
        <v>2</v>
      </c>
      <c r="E92" t="s">
        <v>252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317</v>
      </c>
      <c r="D93" t="s">
        <v>2</v>
      </c>
      <c r="E93" t="s">
        <v>317</v>
      </c>
      <c r="F93" t="s">
        <v>13</v>
      </c>
      <c r="G93" t="s">
        <v>525</v>
      </c>
    </row>
    <row r="94" spans="1:7" x14ac:dyDescent="0.3">
      <c r="A94">
        <v>0</v>
      </c>
      <c r="B94" t="s">
        <v>312</v>
      </c>
      <c r="C94" t="s">
        <v>436</v>
      </c>
      <c r="D94" t="s">
        <v>2</v>
      </c>
      <c r="E94" t="s">
        <v>436</v>
      </c>
      <c r="F94" t="s">
        <v>13</v>
      </c>
      <c r="G94" t="s">
        <v>525</v>
      </c>
    </row>
    <row r="95" spans="1:7" x14ac:dyDescent="0.3">
      <c r="A95">
        <v>0</v>
      </c>
      <c r="B95" t="s">
        <v>319</v>
      </c>
      <c r="C95" t="s">
        <v>490</v>
      </c>
      <c r="D95" t="s">
        <v>2</v>
      </c>
      <c r="E95" t="s">
        <v>490</v>
      </c>
      <c r="F95" t="s">
        <v>13</v>
      </c>
      <c r="G95" t="s">
        <v>525</v>
      </c>
    </row>
    <row r="96" spans="1:7" x14ac:dyDescent="0.3">
      <c r="A96">
        <v>0</v>
      </c>
      <c r="B96" t="s">
        <v>312</v>
      </c>
      <c r="C96" t="s">
        <v>391</v>
      </c>
      <c r="D96" t="s">
        <v>2</v>
      </c>
      <c r="E96" t="s">
        <v>391</v>
      </c>
      <c r="F96" t="s">
        <v>13</v>
      </c>
      <c r="G96" t="s">
        <v>525</v>
      </c>
    </row>
    <row r="97" spans="1:7" x14ac:dyDescent="0.3">
      <c r="A97">
        <v>0</v>
      </c>
      <c r="B97" t="s">
        <v>312</v>
      </c>
      <c r="C97" t="s">
        <v>235</v>
      </c>
      <c r="D97" t="s">
        <v>2</v>
      </c>
      <c r="E97" t="s">
        <v>235</v>
      </c>
      <c r="F97" t="s">
        <v>13</v>
      </c>
      <c r="G97" t="s">
        <v>525</v>
      </c>
    </row>
    <row r="98" spans="1:7" x14ac:dyDescent="0.3">
      <c r="A98">
        <v>0</v>
      </c>
      <c r="B98" t="s">
        <v>312</v>
      </c>
      <c r="C98" t="s">
        <v>493</v>
      </c>
      <c r="D98" t="s">
        <v>2</v>
      </c>
      <c r="E98" t="s">
        <v>493</v>
      </c>
      <c r="F98" t="s">
        <v>13</v>
      </c>
      <c r="G98" t="s">
        <v>525</v>
      </c>
    </row>
    <row r="99" spans="1:7" x14ac:dyDescent="0.3">
      <c r="A99">
        <v>0</v>
      </c>
      <c r="B99" t="s">
        <v>312</v>
      </c>
      <c r="C99" t="s">
        <v>335</v>
      </c>
      <c r="D99" t="s">
        <v>2</v>
      </c>
      <c r="E99" t="s">
        <v>335</v>
      </c>
      <c r="F99" t="s">
        <v>13</v>
      </c>
      <c r="G99" t="s">
        <v>525</v>
      </c>
    </row>
    <row r="100" spans="1:7" x14ac:dyDescent="0.3">
      <c r="A100">
        <v>0</v>
      </c>
      <c r="B100" t="s">
        <v>312</v>
      </c>
      <c r="C100" t="s">
        <v>354</v>
      </c>
      <c r="D100" t="s">
        <v>2</v>
      </c>
      <c r="E100" t="s">
        <v>354</v>
      </c>
      <c r="F100" t="s">
        <v>13</v>
      </c>
      <c r="G100" t="s">
        <v>525</v>
      </c>
    </row>
    <row r="101" spans="1:7" x14ac:dyDescent="0.3">
      <c r="A101">
        <v>0</v>
      </c>
      <c r="B101" t="s">
        <v>319</v>
      </c>
      <c r="C101" t="s">
        <v>360</v>
      </c>
      <c r="D101" t="s">
        <v>2</v>
      </c>
      <c r="E101" t="s">
        <v>360</v>
      </c>
      <c r="F101" t="s">
        <v>13</v>
      </c>
      <c r="G101" t="s">
        <v>525</v>
      </c>
    </row>
    <row r="102" spans="1:7" x14ac:dyDescent="0.3">
      <c r="A102">
        <v>0</v>
      </c>
      <c r="B102" t="s">
        <v>314</v>
      </c>
      <c r="C102" t="s">
        <v>356</v>
      </c>
      <c r="D102" t="s">
        <v>2</v>
      </c>
      <c r="E102" t="s">
        <v>356</v>
      </c>
      <c r="F102" t="s">
        <v>13</v>
      </c>
      <c r="G102" t="s">
        <v>525</v>
      </c>
    </row>
    <row r="103" spans="1:7" x14ac:dyDescent="0.3">
      <c r="A103">
        <v>0</v>
      </c>
      <c r="B103" t="s">
        <v>312</v>
      </c>
      <c r="C103" t="s">
        <v>405</v>
      </c>
      <c r="D103" t="s">
        <v>2</v>
      </c>
      <c r="E103" t="s">
        <v>405</v>
      </c>
      <c r="F103" t="s">
        <v>13</v>
      </c>
      <c r="G103" t="s">
        <v>525</v>
      </c>
    </row>
    <row r="104" spans="1:7" x14ac:dyDescent="0.3">
      <c r="A104">
        <v>0</v>
      </c>
      <c r="B104" t="s">
        <v>312</v>
      </c>
      <c r="C104" t="s">
        <v>471</v>
      </c>
      <c r="D104" t="s">
        <v>2</v>
      </c>
      <c r="E104" t="s">
        <v>471</v>
      </c>
      <c r="F104" t="s">
        <v>13</v>
      </c>
      <c r="G104" t="s">
        <v>525</v>
      </c>
    </row>
    <row r="105" spans="1:7" x14ac:dyDescent="0.3">
      <c r="A105">
        <v>0</v>
      </c>
      <c r="B105" t="s">
        <v>319</v>
      </c>
      <c r="C105" t="s">
        <v>421</v>
      </c>
      <c r="D105" t="s">
        <v>2</v>
      </c>
      <c r="E105" t="s">
        <v>421</v>
      </c>
      <c r="F105" t="s">
        <v>13</v>
      </c>
      <c r="G105" t="s">
        <v>525</v>
      </c>
    </row>
    <row r="106" spans="1:7" x14ac:dyDescent="0.3">
      <c r="A106">
        <v>0</v>
      </c>
      <c r="B106" t="s">
        <v>312</v>
      </c>
      <c r="C106" t="s">
        <v>321</v>
      </c>
      <c r="D106" t="s">
        <v>2</v>
      </c>
      <c r="E106" t="s">
        <v>321</v>
      </c>
      <c r="F106" t="s">
        <v>13</v>
      </c>
      <c r="G106" t="s">
        <v>525</v>
      </c>
    </row>
    <row r="107" spans="1:7" x14ac:dyDescent="0.3">
      <c r="A107">
        <v>0</v>
      </c>
      <c r="B107" t="s">
        <v>105</v>
      </c>
      <c r="C107" t="s">
        <v>113</v>
      </c>
      <c r="D107" t="s">
        <v>2</v>
      </c>
      <c r="E107" t="s">
        <v>113</v>
      </c>
      <c r="F107" t="s">
        <v>13</v>
      </c>
      <c r="G107" t="s">
        <v>525</v>
      </c>
    </row>
    <row r="108" spans="1:7" x14ac:dyDescent="0.3">
      <c r="A108">
        <v>0</v>
      </c>
      <c r="B108" t="s">
        <v>312</v>
      </c>
      <c r="C108" t="s">
        <v>348</v>
      </c>
      <c r="D108" t="s">
        <v>2</v>
      </c>
      <c r="E108" t="s">
        <v>348</v>
      </c>
      <c r="F108" t="s">
        <v>13</v>
      </c>
      <c r="G108" t="s">
        <v>525</v>
      </c>
    </row>
    <row r="109" spans="1:7" x14ac:dyDescent="0.3">
      <c r="A109">
        <v>0</v>
      </c>
      <c r="B109" t="s">
        <v>105</v>
      </c>
      <c r="C109" t="s">
        <v>469</v>
      </c>
      <c r="D109" t="s">
        <v>2</v>
      </c>
      <c r="E109" t="s">
        <v>469</v>
      </c>
      <c r="F109" t="s">
        <v>13</v>
      </c>
      <c r="G109" t="s">
        <v>525</v>
      </c>
    </row>
    <row r="110" spans="1:7" x14ac:dyDescent="0.3">
      <c r="A110">
        <v>0</v>
      </c>
      <c r="B110" t="s">
        <v>314</v>
      </c>
      <c r="C110" t="s">
        <v>481</v>
      </c>
      <c r="D110" t="s">
        <v>2</v>
      </c>
      <c r="E110" t="s">
        <v>481</v>
      </c>
      <c r="F110" t="s">
        <v>13</v>
      </c>
      <c r="G110" t="s">
        <v>525</v>
      </c>
    </row>
    <row r="111" spans="1:7" x14ac:dyDescent="0.3">
      <c r="A111">
        <v>0</v>
      </c>
      <c r="B111" t="s">
        <v>312</v>
      </c>
      <c r="C111" t="s">
        <v>398</v>
      </c>
      <c r="D111" t="s">
        <v>2</v>
      </c>
      <c r="E111" t="s">
        <v>398</v>
      </c>
      <c r="F111" t="s">
        <v>13</v>
      </c>
      <c r="G111" t="s">
        <v>525</v>
      </c>
    </row>
    <row r="112" spans="1:7" x14ac:dyDescent="0.3">
      <c r="A112">
        <v>0</v>
      </c>
      <c r="B112" t="s">
        <v>314</v>
      </c>
      <c r="C112" t="s">
        <v>342</v>
      </c>
      <c r="D112" t="s">
        <v>2</v>
      </c>
      <c r="E112" t="s">
        <v>342</v>
      </c>
      <c r="F112" t="s">
        <v>13</v>
      </c>
      <c r="G112" t="s">
        <v>525</v>
      </c>
    </row>
    <row r="113" spans="1:7" x14ac:dyDescent="0.3">
      <c r="A113">
        <v>0</v>
      </c>
      <c r="B113" t="s">
        <v>312</v>
      </c>
      <c r="C113" t="s">
        <v>322</v>
      </c>
      <c r="D113" t="s">
        <v>2</v>
      </c>
      <c r="E113" t="s">
        <v>322</v>
      </c>
      <c r="F113" t="s">
        <v>13</v>
      </c>
      <c r="G113" t="s">
        <v>525</v>
      </c>
    </row>
    <row r="114" spans="1:7" x14ac:dyDescent="0.3">
      <c r="A114">
        <v>0</v>
      </c>
      <c r="B114" t="s">
        <v>314</v>
      </c>
      <c r="C114" t="s">
        <v>409</v>
      </c>
      <c r="D114" t="s">
        <v>2</v>
      </c>
      <c r="E114" t="s">
        <v>409</v>
      </c>
      <c r="F114" t="s">
        <v>13</v>
      </c>
      <c r="G114" t="s">
        <v>525</v>
      </c>
    </row>
    <row r="115" spans="1:7" x14ac:dyDescent="0.3">
      <c r="A115">
        <v>0</v>
      </c>
      <c r="B115" t="s">
        <v>314</v>
      </c>
      <c r="C115" t="s">
        <v>480</v>
      </c>
      <c r="D115" t="s">
        <v>2</v>
      </c>
      <c r="E115" t="s">
        <v>480</v>
      </c>
      <c r="F115" t="s">
        <v>13</v>
      </c>
      <c r="G115" t="s">
        <v>525</v>
      </c>
    </row>
    <row r="116" spans="1:7" x14ac:dyDescent="0.3">
      <c r="A116">
        <v>0</v>
      </c>
      <c r="B116" t="s">
        <v>105</v>
      </c>
      <c r="C116" t="s">
        <v>121</v>
      </c>
      <c r="D116" t="s">
        <v>2</v>
      </c>
      <c r="E116" t="s">
        <v>121</v>
      </c>
      <c r="F116" t="s">
        <v>13</v>
      </c>
      <c r="G116" t="s">
        <v>525</v>
      </c>
    </row>
    <row r="117" spans="1:7" x14ac:dyDescent="0.3">
      <c r="A117">
        <v>0</v>
      </c>
      <c r="B117" t="s">
        <v>312</v>
      </c>
      <c r="C117" t="s">
        <v>359</v>
      </c>
      <c r="D117" t="s">
        <v>2</v>
      </c>
      <c r="E117" t="s">
        <v>359</v>
      </c>
      <c r="F117" t="s">
        <v>13</v>
      </c>
      <c r="G117" t="s">
        <v>525</v>
      </c>
    </row>
    <row r="118" spans="1:7" x14ac:dyDescent="0.3">
      <c r="A118">
        <v>0</v>
      </c>
      <c r="B118" t="s">
        <v>319</v>
      </c>
      <c r="C118" t="s">
        <v>468</v>
      </c>
      <c r="D118" t="s">
        <v>2</v>
      </c>
      <c r="E118" t="s">
        <v>468</v>
      </c>
      <c r="F118" t="s">
        <v>13</v>
      </c>
      <c r="G118" t="s">
        <v>525</v>
      </c>
    </row>
    <row r="119" spans="1:7" x14ac:dyDescent="0.3">
      <c r="A119">
        <v>0</v>
      </c>
      <c r="B119" t="s">
        <v>319</v>
      </c>
      <c r="C119" t="s">
        <v>458</v>
      </c>
      <c r="D119" t="s">
        <v>2</v>
      </c>
      <c r="E119" t="s">
        <v>458</v>
      </c>
      <c r="F119" t="s">
        <v>13</v>
      </c>
      <c r="G119" t="s">
        <v>525</v>
      </c>
    </row>
    <row r="120" spans="1:7" x14ac:dyDescent="0.3">
      <c r="A120">
        <v>0</v>
      </c>
      <c r="B120" t="s">
        <v>312</v>
      </c>
      <c r="C120" t="s">
        <v>370</v>
      </c>
      <c r="D120" t="s">
        <v>2</v>
      </c>
      <c r="E120" t="s">
        <v>370</v>
      </c>
      <c r="F120" t="s">
        <v>13</v>
      </c>
      <c r="G120" t="s">
        <v>525</v>
      </c>
    </row>
    <row r="121" spans="1:7" x14ac:dyDescent="0.3">
      <c r="A121">
        <v>0</v>
      </c>
      <c r="B121" t="s">
        <v>57</v>
      </c>
      <c r="C121" t="s">
        <v>114</v>
      </c>
      <c r="D121" t="s">
        <v>2</v>
      </c>
      <c r="E121" t="s">
        <v>114</v>
      </c>
      <c r="F121" t="s">
        <v>13</v>
      </c>
      <c r="G121" t="s">
        <v>525</v>
      </c>
    </row>
    <row r="122" spans="1:7" x14ac:dyDescent="0.3">
      <c r="A122">
        <v>0</v>
      </c>
      <c r="B122" t="s">
        <v>319</v>
      </c>
      <c r="C122" t="s">
        <v>404</v>
      </c>
      <c r="D122" t="s">
        <v>2</v>
      </c>
      <c r="E122" t="s">
        <v>404</v>
      </c>
      <c r="F122" t="s">
        <v>13</v>
      </c>
      <c r="G122" t="s">
        <v>525</v>
      </c>
    </row>
    <row r="123" spans="1:7" x14ac:dyDescent="0.3">
      <c r="A123">
        <v>0</v>
      </c>
      <c r="B123" t="s">
        <v>312</v>
      </c>
      <c r="C123" t="s">
        <v>369</v>
      </c>
      <c r="D123" t="s">
        <v>2</v>
      </c>
      <c r="E123" t="s">
        <v>369</v>
      </c>
      <c r="F123" t="s">
        <v>13</v>
      </c>
      <c r="G123" t="s">
        <v>525</v>
      </c>
    </row>
    <row r="124" spans="1:7" x14ac:dyDescent="0.3">
      <c r="A124">
        <v>0</v>
      </c>
      <c r="B124" t="s">
        <v>57</v>
      </c>
      <c r="C124" t="s">
        <v>122</v>
      </c>
      <c r="D124" t="s">
        <v>2</v>
      </c>
      <c r="E124" t="s">
        <v>122</v>
      </c>
      <c r="F124" t="s">
        <v>13</v>
      </c>
      <c r="G124" t="s">
        <v>525</v>
      </c>
    </row>
    <row r="125" spans="1:7" x14ac:dyDescent="0.3">
      <c r="A125">
        <v>0</v>
      </c>
      <c r="B125" t="s">
        <v>319</v>
      </c>
      <c r="C125" t="s">
        <v>390</v>
      </c>
      <c r="D125" t="s">
        <v>2</v>
      </c>
      <c r="E125" t="s">
        <v>390</v>
      </c>
      <c r="F125" t="s">
        <v>13</v>
      </c>
      <c r="G125" t="s">
        <v>525</v>
      </c>
    </row>
    <row r="126" spans="1:7" x14ac:dyDescent="0.3">
      <c r="A126">
        <v>0</v>
      </c>
      <c r="B126" t="s">
        <v>312</v>
      </c>
      <c r="C126" t="s">
        <v>492</v>
      </c>
      <c r="D126" t="s">
        <v>2</v>
      </c>
      <c r="E126" t="s">
        <v>492</v>
      </c>
      <c r="F126" t="s">
        <v>13</v>
      </c>
      <c r="G126" t="s">
        <v>525</v>
      </c>
    </row>
    <row r="127" spans="1:7" x14ac:dyDescent="0.3">
      <c r="A127">
        <v>0</v>
      </c>
      <c r="B127" t="s">
        <v>312</v>
      </c>
      <c r="C127" t="s">
        <v>345</v>
      </c>
      <c r="D127" t="s">
        <v>2</v>
      </c>
      <c r="E127" t="s">
        <v>345</v>
      </c>
      <c r="F127" t="s">
        <v>13</v>
      </c>
      <c r="G127" t="s">
        <v>525</v>
      </c>
    </row>
    <row r="128" spans="1:7" x14ac:dyDescent="0.3">
      <c r="A128">
        <v>0</v>
      </c>
      <c r="B128" t="s">
        <v>314</v>
      </c>
      <c r="C128" t="s">
        <v>374</v>
      </c>
      <c r="D128" t="s">
        <v>2</v>
      </c>
      <c r="E128" t="s">
        <v>374</v>
      </c>
      <c r="F128" t="s">
        <v>13</v>
      </c>
      <c r="G128" t="s">
        <v>525</v>
      </c>
    </row>
    <row r="129" spans="1:7" x14ac:dyDescent="0.3">
      <c r="A129">
        <v>0</v>
      </c>
      <c r="B129" t="s">
        <v>105</v>
      </c>
      <c r="C129" t="s">
        <v>124</v>
      </c>
      <c r="D129" t="s">
        <v>2</v>
      </c>
      <c r="E129" t="s">
        <v>124</v>
      </c>
      <c r="F129" t="s">
        <v>13</v>
      </c>
      <c r="G129" t="s">
        <v>525</v>
      </c>
    </row>
    <row r="130" spans="1:7" x14ac:dyDescent="0.3">
      <c r="A130">
        <v>0</v>
      </c>
      <c r="B130" t="s">
        <v>312</v>
      </c>
      <c r="C130" t="s">
        <v>440</v>
      </c>
      <c r="D130" t="s">
        <v>2</v>
      </c>
      <c r="E130" t="s">
        <v>440</v>
      </c>
      <c r="F130" t="s">
        <v>13</v>
      </c>
      <c r="G130" t="s">
        <v>525</v>
      </c>
    </row>
    <row r="131" spans="1:7" x14ac:dyDescent="0.3">
      <c r="A131">
        <v>0</v>
      </c>
      <c r="B131" t="s">
        <v>312</v>
      </c>
      <c r="C131" t="s">
        <v>316</v>
      </c>
      <c r="D131" t="s">
        <v>2</v>
      </c>
      <c r="E131" t="s">
        <v>316</v>
      </c>
      <c r="F131" t="s">
        <v>13</v>
      </c>
      <c r="G131" t="s">
        <v>525</v>
      </c>
    </row>
    <row r="132" spans="1:7" x14ac:dyDescent="0.3">
      <c r="A132">
        <v>0</v>
      </c>
      <c r="B132" t="s">
        <v>312</v>
      </c>
      <c r="C132" t="s">
        <v>427</v>
      </c>
      <c r="D132" t="s">
        <v>2</v>
      </c>
      <c r="E132" t="s">
        <v>427</v>
      </c>
      <c r="F132" t="s">
        <v>13</v>
      </c>
      <c r="G132" t="s">
        <v>525</v>
      </c>
    </row>
    <row r="133" spans="1:7" x14ac:dyDescent="0.3">
      <c r="A133">
        <v>0</v>
      </c>
      <c r="B133" t="s">
        <v>312</v>
      </c>
      <c r="C133" t="s">
        <v>332</v>
      </c>
      <c r="D133" t="s">
        <v>2</v>
      </c>
      <c r="E133" t="s">
        <v>332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336</v>
      </c>
      <c r="D134" t="s">
        <v>2</v>
      </c>
      <c r="E134" t="s">
        <v>336</v>
      </c>
      <c r="F134" t="s">
        <v>13</v>
      </c>
      <c r="G134" t="s">
        <v>525</v>
      </c>
    </row>
    <row r="135" spans="1:7" x14ac:dyDescent="0.3">
      <c r="A135">
        <v>0</v>
      </c>
      <c r="B135" t="s">
        <v>314</v>
      </c>
      <c r="C135" t="s">
        <v>393</v>
      </c>
      <c r="D135" t="s">
        <v>2</v>
      </c>
      <c r="E135" t="s">
        <v>393</v>
      </c>
      <c r="F135" t="s">
        <v>13</v>
      </c>
      <c r="G135" t="s">
        <v>525</v>
      </c>
    </row>
    <row r="136" spans="1:7" x14ac:dyDescent="0.3">
      <c r="A136">
        <v>0</v>
      </c>
      <c r="B136" t="s">
        <v>312</v>
      </c>
      <c r="C136" t="s">
        <v>339</v>
      </c>
      <c r="D136" t="s">
        <v>2</v>
      </c>
      <c r="E136" t="s">
        <v>339</v>
      </c>
      <c r="F136" t="s">
        <v>13</v>
      </c>
      <c r="G136" t="s">
        <v>525</v>
      </c>
    </row>
    <row r="137" spans="1:7" x14ac:dyDescent="0.3">
      <c r="A137">
        <v>0</v>
      </c>
      <c r="B137" t="s">
        <v>312</v>
      </c>
      <c r="C137" t="s">
        <v>400</v>
      </c>
      <c r="D137" t="s">
        <v>2</v>
      </c>
      <c r="E137" t="s">
        <v>400</v>
      </c>
      <c r="F137" t="s">
        <v>13</v>
      </c>
      <c r="G137" t="s">
        <v>525</v>
      </c>
    </row>
    <row r="138" spans="1:7" x14ac:dyDescent="0.3">
      <c r="A138">
        <v>0</v>
      </c>
      <c r="B138" t="s">
        <v>312</v>
      </c>
      <c r="C138" t="s">
        <v>380</v>
      </c>
      <c r="D138" t="s">
        <v>2</v>
      </c>
      <c r="E138" t="s">
        <v>380</v>
      </c>
      <c r="F138" t="s">
        <v>13</v>
      </c>
      <c r="G138" t="s">
        <v>525</v>
      </c>
    </row>
    <row r="139" spans="1:7" x14ac:dyDescent="0.3">
      <c r="A139">
        <v>0</v>
      </c>
      <c r="B139" t="s">
        <v>312</v>
      </c>
      <c r="C139" t="s">
        <v>442</v>
      </c>
      <c r="D139" t="s">
        <v>2</v>
      </c>
      <c r="E139" t="s">
        <v>442</v>
      </c>
      <c r="F139" t="s">
        <v>13</v>
      </c>
      <c r="G139" t="s">
        <v>525</v>
      </c>
    </row>
    <row r="140" spans="1:7" x14ac:dyDescent="0.3">
      <c r="A140">
        <v>0</v>
      </c>
      <c r="B140" t="s">
        <v>314</v>
      </c>
      <c r="C140" t="s">
        <v>349</v>
      </c>
      <c r="D140" t="s">
        <v>2</v>
      </c>
      <c r="E140" t="s">
        <v>349</v>
      </c>
      <c r="F140" t="s">
        <v>13</v>
      </c>
      <c r="G140" t="s">
        <v>525</v>
      </c>
    </row>
    <row r="141" spans="1:7" x14ac:dyDescent="0.3">
      <c r="A141">
        <v>0</v>
      </c>
      <c r="B141" t="s">
        <v>57</v>
      </c>
      <c r="C141" t="s">
        <v>470</v>
      </c>
      <c r="D141" t="s">
        <v>2</v>
      </c>
      <c r="E141" t="s">
        <v>470</v>
      </c>
      <c r="F141" t="s">
        <v>13</v>
      </c>
      <c r="G141" t="s">
        <v>525</v>
      </c>
    </row>
    <row r="142" spans="1:7" x14ac:dyDescent="0.3">
      <c r="A142">
        <v>0</v>
      </c>
      <c r="B142" t="s">
        <v>319</v>
      </c>
      <c r="C142" t="s">
        <v>463</v>
      </c>
      <c r="D142" t="s">
        <v>2</v>
      </c>
      <c r="E142" t="s">
        <v>463</v>
      </c>
      <c r="F142" t="s">
        <v>13</v>
      </c>
      <c r="G142" t="s">
        <v>525</v>
      </c>
    </row>
    <row r="143" spans="1:7" x14ac:dyDescent="0.3">
      <c r="A143">
        <v>0</v>
      </c>
      <c r="B143" t="s">
        <v>314</v>
      </c>
      <c r="C143" t="s">
        <v>343</v>
      </c>
      <c r="D143" t="s">
        <v>2</v>
      </c>
      <c r="E143" t="s">
        <v>343</v>
      </c>
      <c r="F143" t="s">
        <v>13</v>
      </c>
      <c r="G143" t="s">
        <v>525</v>
      </c>
    </row>
    <row r="144" spans="1:7" x14ac:dyDescent="0.3">
      <c r="A144">
        <v>0</v>
      </c>
      <c r="B144" t="s">
        <v>312</v>
      </c>
      <c r="C144" t="s">
        <v>371</v>
      </c>
      <c r="D144" t="s">
        <v>2</v>
      </c>
      <c r="E144" t="s">
        <v>371</v>
      </c>
      <c r="F144" t="s">
        <v>13</v>
      </c>
      <c r="G144" t="s">
        <v>525</v>
      </c>
    </row>
    <row r="145" spans="1:7" x14ac:dyDescent="0.3">
      <c r="A145">
        <v>0</v>
      </c>
      <c r="B145" t="s">
        <v>312</v>
      </c>
      <c r="C145" t="s">
        <v>366</v>
      </c>
      <c r="D145" t="s">
        <v>2</v>
      </c>
      <c r="E145" t="s">
        <v>366</v>
      </c>
      <c r="F145" t="s">
        <v>13</v>
      </c>
      <c r="G145" t="s">
        <v>525</v>
      </c>
    </row>
    <row r="146" spans="1:7" x14ac:dyDescent="0.3">
      <c r="A146">
        <v>0</v>
      </c>
      <c r="B146" t="s">
        <v>312</v>
      </c>
      <c r="C146" t="s">
        <v>384</v>
      </c>
      <c r="D146" t="s">
        <v>2</v>
      </c>
      <c r="E146" t="s">
        <v>384</v>
      </c>
      <c r="F146" t="s">
        <v>13</v>
      </c>
      <c r="G146" t="s">
        <v>525</v>
      </c>
    </row>
    <row r="147" spans="1:7" x14ac:dyDescent="0.3">
      <c r="A147">
        <v>0</v>
      </c>
      <c r="B147" t="s">
        <v>319</v>
      </c>
      <c r="C147" t="s">
        <v>464</v>
      </c>
      <c r="D147" t="s">
        <v>2</v>
      </c>
      <c r="E147" t="s">
        <v>464</v>
      </c>
      <c r="F147" t="s">
        <v>13</v>
      </c>
      <c r="G147" t="s">
        <v>525</v>
      </c>
    </row>
    <row r="148" spans="1:7" x14ac:dyDescent="0.3">
      <c r="A148">
        <v>0</v>
      </c>
      <c r="B148" t="s">
        <v>312</v>
      </c>
      <c r="C148" t="s">
        <v>323</v>
      </c>
      <c r="D148" t="s">
        <v>2</v>
      </c>
      <c r="E148" t="s">
        <v>323</v>
      </c>
      <c r="F148" t="s">
        <v>13</v>
      </c>
      <c r="G148" t="s">
        <v>525</v>
      </c>
    </row>
    <row r="149" spans="1:7" x14ac:dyDescent="0.3">
      <c r="A149">
        <v>0</v>
      </c>
      <c r="B149" t="s">
        <v>314</v>
      </c>
      <c r="C149" t="s">
        <v>414</v>
      </c>
      <c r="D149" t="s">
        <v>2</v>
      </c>
      <c r="E149" t="s">
        <v>414</v>
      </c>
      <c r="F149" t="s">
        <v>13</v>
      </c>
      <c r="G149" t="s">
        <v>525</v>
      </c>
    </row>
    <row r="150" spans="1:7" x14ac:dyDescent="0.3">
      <c r="A150">
        <v>0</v>
      </c>
      <c r="B150" t="s">
        <v>312</v>
      </c>
      <c r="C150" t="s">
        <v>261</v>
      </c>
      <c r="D150" t="s">
        <v>2</v>
      </c>
      <c r="E150" t="s">
        <v>261</v>
      </c>
      <c r="F150" t="s">
        <v>13</v>
      </c>
      <c r="G150" t="s">
        <v>525</v>
      </c>
    </row>
    <row r="151" spans="1:7" x14ac:dyDescent="0.3">
      <c r="A151">
        <v>0</v>
      </c>
      <c r="B151" t="s">
        <v>319</v>
      </c>
      <c r="C151" t="s">
        <v>364</v>
      </c>
      <c r="D151" t="s">
        <v>2</v>
      </c>
      <c r="E151" t="s">
        <v>364</v>
      </c>
      <c r="F151" t="s">
        <v>13</v>
      </c>
      <c r="G151" t="s">
        <v>525</v>
      </c>
    </row>
    <row r="152" spans="1:7" x14ac:dyDescent="0.3">
      <c r="A152">
        <v>0</v>
      </c>
      <c r="B152" t="s">
        <v>312</v>
      </c>
      <c r="C152" t="s">
        <v>373</v>
      </c>
      <c r="D152" t="s">
        <v>2</v>
      </c>
      <c r="E152" t="s">
        <v>373</v>
      </c>
      <c r="F152" t="s">
        <v>13</v>
      </c>
      <c r="G152" t="s">
        <v>525</v>
      </c>
    </row>
    <row r="153" spans="1:7" x14ac:dyDescent="0.3">
      <c r="A153">
        <v>0</v>
      </c>
      <c r="B153" t="s">
        <v>312</v>
      </c>
      <c r="C153" t="s">
        <v>482</v>
      </c>
      <c r="D153" t="s">
        <v>2</v>
      </c>
      <c r="E153" t="s">
        <v>482</v>
      </c>
      <c r="F153" t="s">
        <v>13</v>
      </c>
      <c r="G153" t="s">
        <v>525</v>
      </c>
    </row>
    <row r="154" spans="1:7" x14ac:dyDescent="0.3">
      <c r="A154">
        <v>0</v>
      </c>
      <c r="B154" t="s">
        <v>312</v>
      </c>
      <c r="C154" t="s">
        <v>412</v>
      </c>
      <c r="D154" t="s">
        <v>2</v>
      </c>
      <c r="E154" t="s">
        <v>412</v>
      </c>
      <c r="F154" t="s">
        <v>13</v>
      </c>
      <c r="G154" t="s">
        <v>525</v>
      </c>
    </row>
    <row r="155" spans="1:7" x14ac:dyDescent="0.3">
      <c r="A155">
        <v>0</v>
      </c>
      <c r="B155" t="s">
        <v>312</v>
      </c>
      <c r="C155" t="s">
        <v>434</v>
      </c>
      <c r="D155" t="s">
        <v>2</v>
      </c>
      <c r="E155" t="s">
        <v>434</v>
      </c>
      <c r="F155" t="s">
        <v>13</v>
      </c>
      <c r="G155" t="s">
        <v>525</v>
      </c>
    </row>
    <row r="156" spans="1:7" x14ac:dyDescent="0.3">
      <c r="A156">
        <v>0</v>
      </c>
      <c r="B156" t="s">
        <v>314</v>
      </c>
      <c r="C156" t="s">
        <v>443</v>
      </c>
      <c r="D156" t="s">
        <v>2</v>
      </c>
      <c r="E156" t="s">
        <v>443</v>
      </c>
      <c r="F156" t="s">
        <v>13</v>
      </c>
      <c r="G156" t="s">
        <v>525</v>
      </c>
    </row>
    <row r="157" spans="1:7" x14ac:dyDescent="0.3">
      <c r="A157">
        <v>0</v>
      </c>
      <c r="B157" t="s">
        <v>319</v>
      </c>
      <c r="C157" t="s">
        <v>430</v>
      </c>
      <c r="D157" t="s">
        <v>2</v>
      </c>
      <c r="E157" t="s">
        <v>430</v>
      </c>
      <c r="F157" t="s">
        <v>13</v>
      </c>
      <c r="G157" t="s">
        <v>525</v>
      </c>
    </row>
    <row r="158" spans="1:7" x14ac:dyDescent="0.3">
      <c r="A158">
        <v>0</v>
      </c>
      <c r="B158" t="s">
        <v>314</v>
      </c>
      <c r="C158" t="s">
        <v>408</v>
      </c>
      <c r="D158" t="s">
        <v>2</v>
      </c>
      <c r="E158" t="s">
        <v>408</v>
      </c>
      <c r="F158" t="s">
        <v>13</v>
      </c>
      <c r="G158" t="s">
        <v>525</v>
      </c>
    </row>
    <row r="159" spans="1:7" x14ac:dyDescent="0.3">
      <c r="A159">
        <v>0</v>
      </c>
      <c r="B159" t="s">
        <v>312</v>
      </c>
      <c r="C159" t="s">
        <v>138</v>
      </c>
      <c r="D159" t="s">
        <v>2</v>
      </c>
      <c r="E159" t="s">
        <v>138</v>
      </c>
      <c r="F159" t="s">
        <v>13</v>
      </c>
      <c r="G159" t="s">
        <v>525</v>
      </c>
    </row>
    <row r="160" spans="1:7" x14ac:dyDescent="0.3">
      <c r="A160">
        <v>0</v>
      </c>
      <c r="B160" t="s">
        <v>312</v>
      </c>
      <c r="C160" t="s">
        <v>275</v>
      </c>
      <c r="D160" t="s">
        <v>2</v>
      </c>
      <c r="E160" t="s">
        <v>275</v>
      </c>
      <c r="F160" t="s">
        <v>13</v>
      </c>
      <c r="G160" t="s">
        <v>525</v>
      </c>
    </row>
    <row r="161" spans="1:7" x14ac:dyDescent="0.3">
      <c r="A161">
        <v>0</v>
      </c>
      <c r="B161" t="s">
        <v>312</v>
      </c>
      <c r="C161" t="s">
        <v>337</v>
      </c>
      <c r="D161" t="s">
        <v>2</v>
      </c>
      <c r="E161" t="s">
        <v>337</v>
      </c>
      <c r="F161" t="s">
        <v>13</v>
      </c>
      <c r="G161" t="s">
        <v>525</v>
      </c>
    </row>
    <row r="162" spans="1:7" x14ac:dyDescent="0.3">
      <c r="A162">
        <v>0</v>
      </c>
      <c r="B162" t="s">
        <v>312</v>
      </c>
      <c r="C162" t="s">
        <v>331</v>
      </c>
      <c r="D162" t="s">
        <v>2</v>
      </c>
      <c r="E162" t="s">
        <v>331</v>
      </c>
      <c r="F162" t="s">
        <v>13</v>
      </c>
      <c r="G162" t="s">
        <v>525</v>
      </c>
    </row>
    <row r="163" spans="1:7" x14ac:dyDescent="0.3">
      <c r="A163">
        <v>0</v>
      </c>
      <c r="B163" t="s">
        <v>312</v>
      </c>
      <c r="C163" t="s">
        <v>452</v>
      </c>
      <c r="D163" t="s">
        <v>2</v>
      </c>
      <c r="E163" t="s">
        <v>452</v>
      </c>
      <c r="F163" t="s">
        <v>13</v>
      </c>
      <c r="G163" t="s">
        <v>525</v>
      </c>
    </row>
    <row r="164" spans="1:7" x14ac:dyDescent="0.3">
      <c r="A164">
        <v>0</v>
      </c>
      <c r="B164" t="s">
        <v>319</v>
      </c>
      <c r="C164" t="s">
        <v>477</v>
      </c>
      <c r="D164" t="s">
        <v>2</v>
      </c>
      <c r="E164" t="s">
        <v>477</v>
      </c>
      <c r="F164" t="s">
        <v>13</v>
      </c>
      <c r="G164" t="s">
        <v>525</v>
      </c>
    </row>
    <row r="165" spans="1:7" x14ac:dyDescent="0.3">
      <c r="A165">
        <v>0</v>
      </c>
      <c r="B165" t="s">
        <v>312</v>
      </c>
      <c r="C165" t="s">
        <v>446</v>
      </c>
      <c r="D165" t="s">
        <v>2</v>
      </c>
      <c r="E165" t="s">
        <v>446</v>
      </c>
      <c r="F165" t="s">
        <v>13</v>
      </c>
      <c r="G165" t="s">
        <v>525</v>
      </c>
    </row>
    <row r="166" spans="1:7" x14ac:dyDescent="0.3">
      <c r="A166">
        <v>0</v>
      </c>
      <c r="B166" t="s">
        <v>319</v>
      </c>
      <c r="C166" t="s">
        <v>491</v>
      </c>
      <c r="D166" t="s">
        <v>2</v>
      </c>
      <c r="E166" t="s">
        <v>491</v>
      </c>
      <c r="F166" t="s">
        <v>13</v>
      </c>
      <c r="G166" t="s">
        <v>525</v>
      </c>
    </row>
    <row r="167" spans="1:7" x14ac:dyDescent="0.3">
      <c r="A167">
        <v>0</v>
      </c>
      <c r="B167" t="s">
        <v>312</v>
      </c>
      <c r="C167" t="s">
        <v>326</v>
      </c>
      <c r="D167" t="s">
        <v>2</v>
      </c>
      <c r="E167" t="s">
        <v>326</v>
      </c>
      <c r="F167" t="s">
        <v>13</v>
      </c>
      <c r="G167" t="s">
        <v>525</v>
      </c>
    </row>
    <row r="168" spans="1:7" x14ac:dyDescent="0.3">
      <c r="A168">
        <v>0</v>
      </c>
      <c r="B168" t="s">
        <v>319</v>
      </c>
      <c r="C168" t="s">
        <v>415</v>
      </c>
      <c r="D168" t="s">
        <v>2</v>
      </c>
      <c r="E168" t="s">
        <v>415</v>
      </c>
      <c r="F168" t="s">
        <v>13</v>
      </c>
      <c r="G168" t="s">
        <v>525</v>
      </c>
    </row>
    <row r="169" spans="1:7" x14ac:dyDescent="0.3">
      <c r="A169">
        <v>0</v>
      </c>
      <c r="B169" t="s">
        <v>314</v>
      </c>
      <c r="C169" t="s">
        <v>451</v>
      </c>
      <c r="D169" t="s">
        <v>2</v>
      </c>
      <c r="E169" t="s">
        <v>451</v>
      </c>
      <c r="F169" t="s">
        <v>13</v>
      </c>
      <c r="G169" t="s">
        <v>525</v>
      </c>
    </row>
    <row r="170" spans="1:7" x14ac:dyDescent="0.3">
      <c r="A170">
        <v>0</v>
      </c>
      <c r="B170" t="s">
        <v>314</v>
      </c>
      <c r="C170" t="s">
        <v>448</v>
      </c>
      <c r="D170" t="s">
        <v>2</v>
      </c>
      <c r="E170" t="s">
        <v>448</v>
      </c>
      <c r="F170" t="s">
        <v>13</v>
      </c>
      <c r="G170" t="s">
        <v>525</v>
      </c>
    </row>
    <row r="171" spans="1:7" x14ac:dyDescent="0.3">
      <c r="A171">
        <v>0</v>
      </c>
      <c r="B171" t="s">
        <v>312</v>
      </c>
      <c r="C171" t="s">
        <v>423</v>
      </c>
      <c r="D171" t="s">
        <v>2</v>
      </c>
      <c r="E171" t="s">
        <v>423</v>
      </c>
      <c r="F171" t="s">
        <v>13</v>
      </c>
      <c r="G171" t="s">
        <v>525</v>
      </c>
    </row>
    <row r="172" spans="1:7" x14ac:dyDescent="0.3">
      <c r="A172">
        <v>0</v>
      </c>
      <c r="B172" t="s">
        <v>319</v>
      </c>
      <c r="C172" t="s">
        <v>361</v>
      </c>
      <c r="D172" t="s">
        <v>2</v>
      </c>
      <c r="E172" t="s">
        <v>361</v>
      </c>
      <c r="F172" t="s">
        <v>13</v>
      </c>
      <c r="G172" t="s">
        <v>525</v>
      </c>
    </row>
    <row r="173" spans="1:7" x14ac:dyDescent="0.3">
      <c r="A173">
        <v>0</v>
      </c>
      <c r="B173" t="s">
        <v>314</v>
      </c>
      <c r="C173" t="s">
        <v>467</v>
      </c>
      <c r="D173" t="s">
        <v>2</v>
      </c>
      <c r="E173" t="s">
        <v>467</v>
      </c>
      <c r="F173" t="s">
        <v>13</v>
      </c>
      <c r="G173" t="s">
        <v>525</v>
      </c>
    </row>
    <row r="174" spans="1:7" x14ac:dyDescent="0.3">
      <c r="A174">
        <v>0</v>
      </c>
      <c r="B174" t="s">
        <v>319</v>
      </c>
      <c r="C174" t="s">
        <v>420</v>
      </c>
      <c r="D174" t="s">
        <v>2</v>
      </c>
      <c r="E174" t="s">
        <v>420</v>
      </c>
      <c r="F174" t="s">
        <v>13</v>
      </c>
      <c r="G174" t="s">
        <v>525</v>
      </c>
    </row>
    <row r="175" spans="1:7" x14ac:dyDescent="0.3">
      <c r="A175">
        <v>0</v>
      </c>
      <c r="B175" t="s">
        <v>314</v>
      </c>
      <c r="C175" t="s">
        <v>487</v>
      </c>
      <c r="D175" t="s">
        <v>2</v>
      </c>
      <c r="E175" t="s">
        <v>487</v>
      </c>
      <c r="F175" t="s">
        <v>13</v>
      </c>
      <c r="G175" t="s">
        <v>525</v>
      </c>
    </row>
    <row r="176" spans="1:7" x14ac:dyDescent="0.3">
      <c r="A176">
        <v>0</v>
      </c>
      <c r="B176" t="s">
        <v>312</v>
      </c>
      <c r="C176" t="s">
        <v>149</v>
      </c>
      <c r="D176" t="s">
        <v>2</v>
      </c>
      <c r="E176" t="s">
        <v>149</v>
      </c>
      <c r="F176" t="s">
        <v>13</v>
      </c>
      <c r="G176" t="s">
        <v>525</v>
      </c>
    </row>
    <row r="177" spans="1:7" x14ac:dyDescent="0.3">
      <c r="A177">
        <v>0</v>
      </c>
      <c r="B177" t="s">
        <v>314</v>
      </c>
      <c r="C177" t="s">
        <v>377</v>
      </c>
      <c r="D177" t="s">
        <v>2</v>
      </c>
      <c r="E177" t="s">
        <v>377</v>
      </c>
      <c r="F177" t="s">
        <v>13</v>
      </c>
      <c r="G177" t="s">
        <v>525</v>
      </c>
    </row>
    <row r="178" spans="1:7" x14ac:dyDescent="0.3">
      <c r="A178">
        <v>0</v>
      </c>
      <c r="B178" t="s">
        <v>312</v>
      </c>
      <c r="C178" t="s">
        <v>403</v>
      </c>
      <c r="D178" t="s">
        <v>2</v>
      </c>
      <c r="E178" t="s">
        <v>403</v>
      </c>
      <c r="F178" t="s">
        <v>13</v>
      </c>
      <c r="G178" t="s">
        <v>525</v>
      </c>
    </row>
    <row r="179" spans="1:7" x14ac:dyDescent="0.3">
      <c r="A179">
        <v>0</v>
      </c>
      <c r="B179" t="s">
        <v>312</v>
      </c>
      <c r="C179" t="s">
        <v>387</v>
      </c>
      <c r="D179" t="s">
        <v>2</v>
      </c>
      <c r="E179" t="s">
        <v>387</v>
      </c>
      <c r="F179" t="s">
        <v>13</v>
      </c>
      <c r="G179" t="s">
        <v>525</v>
      </c>
    </row>
    <row r="180" spans="1:7" x14ac:dyDescent="0.3">
      <c r="A180">
        <v>0</v>
      </c>
      <c r="B180" t="s">
        <v>312</v>
      </c>
      <c r="C180" t="s">
        <v>431</v>
      </c>
      <c r="D180" t="s">
        <v>2</v>
      </c>
      <c r="E180" t="s">
        <v>431</v>
      </c>
      <c r="F180" t="s">
        <v>13</v>
      </c>
      <c r="G180" t="s">
        <v>525</v>
      </c>
    </row>
    <row r="181" spans="1:7" x14ac:dyDescent="0.3">
      <c r="A181">
        <v>0</v>
      </c>
      <c r="B181" t="s">
        <v>319</v>
      </c>
      <c r="C181" t="s">
        <v>459</v>
      </c>
      <c r="D181" t="s">
        <v>2</v>
      </c>
      <c r="E181" t="s">
        <v>459</v>
      </c>
      <c r="F181" t="s">
        <v>13</v>
      </c>
      <c r="G181" t="s">
        <v>525</v>
      </c>
    </row>
    <row r="182" spans="1:7" x14ac:dyDescent="0.3">
      <c r="A182">
        <v>0</v>
      </c>
      <c r="B182" t="s">
        <v>314</v>
      </c>
      <c r="C182" t="s">
        <v>376</v>
      </c>
      <c r="D182" t="s">
        <v>2</v>
      </c>
      <c r="E182" t="s">
        <v>376</v>
      </c>
      <c r="F182" t="s">
        <v>13</v>
      </c>
      <c r="G182" t="s">
        <v>525</v>
      </c>
    </row>
    <row r="183" spans="1:7" x14ac:dyDescent="0.3">
      <c r="A183">
        <v>0</v>
      </c>
      <c r="B183" t="s">
        <v>312</v>
      </c>
      <c r="C183" t="s">
        <v>379</v>
      </c>
      <c r="D183" t="s">
        <v>2</v>
      </c>
      <c r="E183" t="s">
        <v>379</v>
      </c>
      <c r="F183" t="s">
        <v>13</v>
      </c>
      <c r="G183" t="s">
        <v>525</v>
      </c>
    </row>
    <row r="184" spans="1:7" x14ac:dyDescent="0.3">
      <c r="A184">
        <v>0</v>
      </c>
      <c r="B184" t="s">
        <v>314</v>
      </c>
      <c r="C184" t="s">
        <v>445</v>
      </c>
      <c r="D184" t="s">
        <v>2</v>
      </c>
      <c r="E184" t="s">
        <v>445</v>
      </c>
      <c r="F184" t="s">
        <v>13</v>
      </c>
      <c r="G184" t="s">
        <v>525</v>
      </c>
    </row>
    <row r="185" spans="1:7" x14ac:dyDescent="0.3">
      <c r="A185">
        <v>0</v>
      </c>
      <c r="B185" t="s">
        <v>319</v>
      </c>
      <c r="C185" t="s">
        <v>460</v>
      </c>
      <c r="D185" t="s">
        <v>2</v>
      </c>
      <c r="E185" t="s">
        <v>460</v>
      </c>
      <c r="F185" t="s">
        <v>13</v>
      </c>
      <c r="G185" t="s">
        <v>525</v>
      </c>
    </row>
    <row r="186" spans="1:7" x14ac:dyDescent="0.3">
      <c r="A186">
        <v>0</v>
      </c>
      <c r="B186" t="s">
        <v>314</v>
      </c>
      <c r="C186" t="s">
        <v>450</v>
      </c>
      <c r="D186" t="s">
        <v>2</v>
      </c>
      <c r="E186" t="s">
        <v>450</v>
      </c>
      <c r="F186" t="s">
        <v>13</v>
      </c>
      <c r="G186" t="s">
        <v>525</v>
      </c>
    </row>
    <row r="187" spans="1:7" x14ac:dyDescent="0.3">
      <c r="A187">
        <v>0</v>
      </c>
      <c r="B187" t="s">
        <v>312</v>
      </c>
      <c r="C187" t="s">
        <v>473</v>
      </c>
      <c r="D187" t="s">
        <v>2</v>
      </c>
      <c r="E187" t="s">
        <v>473</v>
      </c>
      <c r="F187" t="s">
        <v>13</v>
      </c>
      <c r="G187" t="s">
        <v>525</v>
      </c>
    </row>
    <row r="188" spans="1:7" x14ac:dyDescent="0.3">
      <c r="A188">
        <v>0</v>
      </c>
      <c r="B188" t="s">
        <v>314</v>
      </c>
      <c r="C188" t="s">
        <v>313</v>
      </c>
      <c r="D188" t="s">
        <v>2</v>
      </c>
      <c r="E188" t="s">
        <v>313</v>
      </c>
      <c r="F188" t="s">
        <v>13</v>
      </c>
      <c r="G188" t="s">
        <v>525</v>
      </c>
    </row>
    <row r="189" spans="1:7" x14ac:dyDescent="0.3">
      <c r="A189">
        <v>0</v>
      </c>
      <c r="B189" t="s">
        <v>312</v>
      </c>
      <c r="C189" t="s">
        <v>472</v>
      </c>
      <c r="D189" t="s">
        <v>2</v>
      </c>
      <c r="E189" t="s">
        <v>472</v>
      </c>
      <c r="F189" t="s">
        <v>13</v>
      </c>
      <c r="G189" t="s">
        <v>525</v>
      </c>
    </row>
    <row r="190" spans="1:7" x14ac:dyDescent="0.3">
      <c r="A190">
        <v>0</v>
      </c>
      <c r="B190" t="s">
        <v>312</v>
      </c>
      <c r="C190" t="s">
        <v>402</v>
      </c>
      <c r="D190" t="s">
        <v>2</v>
      </c>
      <c r="E190" t="s">
        <v>402</v>
      </c>
      <c r="F190" t="s">
        <v>13</v>
      </c>
      <c r="G190" t="s">
        <v>525</v>
      </c>
    </row>
    <row r="191" spans="1:7" x14ac:dyDescent="0.3">
      <c r="A191">
        <v>0</v>
      </c>
      <c r="B191" t="s">
        <v>314</v>
      </c>
      <c r="C191" t="s">
        <v>455</v>
      </c>
      <c r="D191" t="s">
        <v>2</v>
      </c>
      <c r="E191" t="s">
        <v>455</v>
      </c>
      <c r="F191" t="s">
        <v>13</v>
      </c>
      <c r="G191" t="s">
        <v>525</v>
      </c>
    </row>
    <row r="192" spans="1:7" x14ac:dyDescent="0.3">
      <c r="A192">
        <v>0</v>
      </c>
      <c r="B192" t="s">
        <v>312</v>
      </c>
      <c r="C192" t="s">
        <v>411</v>
      </c>
      <c r="D192" t="s">
        <v>2</v>
      </c>
      <c r="E192" t="s">
        <v>411</v>
      </c>
      <c r="F192" t="s">
        <v>13</v>
      </c>
      <c r="G192" t="s">
        <v>525</v>
      </c>
    </row>
    <row r="193" spans="1:7" x14ac:dyDescent="0.3">
      <c r="A193">
        <v>0</v>
      </c>
      <c r="B193" t="s">
        <v>312</v>
      </c>
      <c r="C193" t="s">
        <v>488</v>
      </c>
      <c r="D193" t="s">
        <v>2</v>
      </c>
      <c r="E193" t="s">
        <v>488</v>
      </c>
      <c r="F193" t="s">
        <v>13</v>
      </c>
      <c r="G193" t="s">
        <v>525</v>
      </c>
    </row>
    <row r="194" spans="1:7" x14ac:dyDescent="0.3">
      <c r="A194">
        <v>0</v>
      </c>
      <c r="B194" t="s">
        <v>319</v>
      </c>
      <c r="C194" t="s">
        <v>462</v>
      </c>
      <c r="D194" t="s">
        <v>2</v>
      </c>
      <c r="E194" t="s">
        <v>462</v>
      </c>
      <c r="F194" t="s">
        <v>13</v>
      </c>
      <c r="G194" t="s">
        <v>525</v>
      </c>
    </row>
    <row r="195" spans="1:7" x14ac:dyDescent="0.3">
      <c r="A195">
        <v>0</v>
      </c>
      <c r="B195" t="s">
        <v>312</v>
      </c>
      <c r="C195" t="s">
        <v>246</v>
      </c>
      <c r="D195" t="s">
        <v>2</v>
      </c>
      <c r="E195" t="s">
        <v>246</v>
      </c>
      <c r="F195" t="s">
        <v>13</v>
      </c>
      <c r="G195" t="s">
        <v>525</v>
      </c>
    </row>
    <row r="196" spans="1:7" x14ac:dyDescent="0.3">
      <c r="A196">
        <v>0</v>
      </c>
      <c r="B196" t="s">
        <v>312</v>
      </c>
      <c r="C196" t="s">
        <v>357</v>
      </c>
      <c r="D196" t="s">
        <v>2</v>
      </c>
      <c r="E196" t="s">
        <v>357</v>
      </c>
      <c r="F196" t="s">
        <v>13</v>
      </c>
      <c r="G196" t="s">
        <v>525</v>
      </c>
    </row>
    <row r="197" spans="1:7" x14ac:dyDescent="0.3">
      <c r="A197">
        <v>0</v>
      </c>
      <c r="B197" t="s">
        <v>314</v>
      </c>
      <c r="C197" t="s">
        <v>341</v>
      </c>
      <c r="D197" t="s">
        <v>2</v>
      </c>
      <c r="E197" t="s">
        <v>341</v>
      </c>
      <c r="F197" t="s">
        <v>13</v>
      </c>
      <c r="G197" t="s">
        <v>525</v>
      </c>
    </row>
    <row r="198" spans="1:7" x14ac:dyDescent="0.3">
      <c r="A198">
        <v>0</v>
      </c>
      <c r="B198" t="s">
        <v>319</v>
      </c>
      <c r="C198" t="s">
        <v>466</v>
      </c>
      <c r="D198" t="s">
        <v>2</v>
      </c>
      <c r="E198" t="s">
        <v>466</v>
      </c>
      <c r="F198" t="s">
        <v>13</v>
      </c>
      <c r="G198" t="s">
        <v>525</v>
      </c>
    </row>
    <row r="199" spans="1:7" x14ac:dyDescent="0.3">
      <c r="A199">
        <v>0</v>
      </c>
      <c r="B199" t="s">
        <v>319</v>
      </c>
      <c r="C199" t="s">
        <v>362</v>
      </c>
      <c r="D199" t="s">
        <v>2</v>
      </c>
      <c r="E199" t="s">
        <v>362</v>
      </c>
      <c r="F199" t="s">
        <v>13</v>
      </c>
      <c r="G199" t="s">
        <v>525</v>
      </c>
    </row>
    <row r="200" spans="1:7" x14ac:dyDescent="0.3">
      <c r="A200">
        <v>0</v>
      </c>
      <c r="B200" t="s">
        <v>312</v>
      </c>
      <c r="C200" t="s">
        <v>433</v>
      </c>
      <c r="D200" t="s">
        <v>2</v>
      </c>
      <c r="E200" t="s">
        <v>433</v>
      </c>
      <c r="F200" t="s">
        <v>13</v>
      </c>
      <c r="G200" t="s">
        <v>525</v>
      </c>
    </row>
    <row r="201" spans="1:7" x14ac:dyDescent="0.3">
      <c r="A201">
        <v>0</v>
      </c>
      <c r="B201" t="s">
        <v>312</v>
      </c>
      <c r="C201" t="s">
        <v>397</v>
      </c>
      <c r="D201" t="s">
        <v>2</v>
      </c>
      <c r="E201" t="s">
        <v>397</v>
      </c>
      <c r="F201" t="s">
        <v>13</v>
      </c>
      <c r="G201" t="s">
        <v>525</v>
      </c>
    </row>
    <row r="202" spans="1:7" x14ac:dyDescent="0.3">
      <c r="A202">
        <v>0</v>
      </c>
      <c r="B202" t="s">
        <v>319</v>
      </c>
      <c r="C202" t="s">
        <v>378</v>
      </c>
      <c r="D202" t="s">
        <v>2</v>
      </c>
      <c r="E202" t="s">
        <v>378</v>
      </c>
      <c r="F202" t="s">
        <v>13</v>
      </c>
      <c r="G202" t="s">
        <v>525</v>
      </c>
    </row>
    <row r="203" spans="1:7" x14ac:dyDescent="0.3">
      <c r="A203">
        <v>0</v>
      </c>
      <c r="B203" t="s">
        <v>105</v>
      </c>
      <c r="C203" t="s">
        <v>117</v>
      </c>
      <c r="D203" t="s">
        <v>2</v>
      </c>
      <c r="E203" t="s">
        <v>117</v>
      </c>
      <c r="F203" t="s">
        <v>13</v>
      </c>
      <c r="G203" t="s">
        <v>525</v>
      </c>
    </row>
    <row r="204" spans="1:7" x14ac:dyDescent="0.3">
      <c r="A204">
        <v>0</v>
      </c>
      <c r="B204" t="s">
        <v>312</v>
      </c>
      <c r="C204" t="s">
        <v>476</v>
      </c>
      <c r="D204" t="s">
        <v>2</v>
      </c>
      <c r="E204" t="s">
        <v>476</v>
      </c>
      <c r="F204" t="s">
        <v>13</v>
      </c>
      <c r="G204" t="s">
        <v>525</v>
      </c>
    </row>
    <row r="205" spans="1:7" x14ac:dyDescent="0.3">
      <c r="A205">
        <v>0</v>
      </c>
      <c r="B205" t="s">
        <v>319</v>
      </c>
      <c r="C205" t="s">
        <v>478</v>
      </c>
      <c r="D205" t="s">
        <v>2</v>
      </c>
      <c r="E205" t="s">
        <v>478</v>
      </c>
      <c r="F205" t="s">
        <v>13</v>
      </c>
      <c r="G205" t="s">
        <v>525</v>
      </c>
    </row>
    <row r="206" spans="1:7" x14ac:dyDescent="0.3">
      <c r="A206">
        <v>0</v>
      </c>
      <c r="B206" t="s">
        <v>312</v>
      </c>
      <c r="C206" t="s">
        <v>367</v>
      </c>
      <c r="D206" t="s">
        <v>2</v>
      </c>
      <c r="E206" t="s">
        <v>367</v>
      </c>
      <c r="F206" t="s">
        <v>13</v>
      </c>
      <c r="G206" t="s">
        <v>525</v>
      </c>
    </row>
    <row r="207" spans="1:7" x14ac:dyDescent="0.3">
      <c r="A207">
        <v>0</v>
      </c>
      <c r="B207" t="s">
        <v>312</v>
      </c>
      <c r="C207" t="s">
        <v>346</v>
      </c>
      <c r="D207" t="s">
        <v>2</v>
      </c>
      <c r="E207" t="s">
        <v>346</v>
      </c>
      <c r="F207" t="s">
        <v>13</v>
      </c>
      <c r="G207" t="s">
        <v>525</v>
      </c>
    </row>
    <row r="208" spans="1:7" x14ac:dyDescent="0.3">
      <c r="A208">
        <v>0</v>
      </c>
      <c r="B208" t="s">
        <v>105</v>
      </c>
      <c r="C208" t="s">
        <v>119</v>
      </c>
      <c r="D208" t="s">
        <v>2</v>
      </c>
      <c r="E208" t="s">
        <v>119</v>
      </c>
      <c r="F208" t="s">
        <v>13</v>
      </c>
      <c r="G208" t="s">
        <v>525</v>
      </c>
    </row>
    <row r="209" spans="1:7" x14ac:dyDescent="0.3">
      <c r="A209">
        <v>0</v>
      </c>
      <c r="B209" t="s">
        <v>312</v>
      </c>
      <c r="C209" t="s">
        <v>385</v>
      </c>
      <c r="D209" t="s">
        <v>2</v>
      </c>
      <c r="E209" t="s">
        <v>385</v>
      </c>
      <c r="F209" t="s">
        <v>13</v>
      </c>
      <c r="G209" t="s">
        <v>525</v>
      </c>
    </row>
    <row r="210" spans="1:7" x14ac:dyDescent="0.3">
      <c r="A210">
        <v>0</v>
      </c>
      <c r="B210" t="s">
        <v>57</v>
      </c>
      <c r="C210" t="s">
        <v>120</v>
      </c>
      <c r="D210" t="s">
        <v>2</v>
      </c>
      <c r="E210" t="s">
        <v>120</v>
      </c>
      <c r="F210" t="s">
        <v>13</v>
      </c>
      <c r="G210" t="s">
        <v>525</v>
      </c>
    </row>
    <row r="211" spans="1:7" x14ac:dyDescent="0.3">
      <c r="A211">
        <v>0</v>
      </c>
      <c r="B211" t="s">
        <v>312</v>
      </c>
      <c r="C211" t="s">
        <v>324</v>
      </c>
      <c r="D211" t="s">
        <v>2</v>
      </c>
      <c r="E211" t="s">
        <v>324</v>
      </c>
      <c r="F211" t="s">
        <v>13</v>
      </c>
      <c r="G211" t="s">
        <v>525</v>
      </c>
    </row>
    <row r="212" spans="1:7" x14ac:dyDescent="0.3">
      <c r="A212">
        <v>0</v>
      </c>
      <c r="B212" t="s">
        <v>312</v>
      </c>
      <c r="C212" t="s">
        <v>327</v>
      </c>
      <c r="D212" t="s">
        <v>2</v>
      </c>
      <c r="E212" t="s">
        <v>327</v>
      </c>
      <c r="F212" t="s">
        <v>13</v>
      </c>
      <c r="G212" t="s">
        <v>525</v>
      </c>
    </row>
    <row r="213" spans="1:7" x14ac:dyDescent="0.3">
      <c r="A213">
        <v>0</v>
      </c>
      <c r="B213" t="s">
        <v>314</v>
      </c>
      <c r="C213" t="s">
        <v>441</v>
      </c>
      <c r="D213" t="s">
        <v>2</v>
      </c>
      <c r="E213" t="s">
        <v>441</v>
      </c>
      <c r="F213" t="s">
        <v>13</v>
      </c>
      <c r="G213" t="s">
        <v>525</v>
      </c>
    </row>
    <row r="214" spans="1:7" x14ac:dyDescent="0.3">
      <c r="A214">
        <v>0</v>
      </c>
      <c r="B214" t="s">
        <v>105</v>
      </c>
      <c r="C214" t="s">
        <v>115</v>
      </c>
      <c r="D214" t="s">
        <v>2</v>
      </c>
      <c r="E214" t="s">
        <v>115</v>
      </c>
      <c r="F214" t="s">
        <v>13</v>
      </c>
      <c r="G214" t="s">
        <v>525</v>
      </c>
    </row>
    <row r="215" spans="1:7" x14ac:dyDescent="0.3">
      <c r="A215">
        <v>0</v>
      </c>
      <c r="B215" t="s">
        <v>312</v>
      </c>
      <c r="C215" t="s">
        <v>484</v>
      </c>
      <c r="D215" t="s">
        <v>2</v>
      </c>
      <c r="E215" t="s">
        <v>484</v>
      </c>
      <c r="F215" t="s">
        <v>13</v>
      </c>
      <c r="G215" t="s">
        <v>525</v>
      </c>
    </row>
    <row r="216" spans="1:7" x14ac:dyDescent="0.3">
      <c r="A216">
        <v>0</v>
      </c>
      <c r="B216" t="s">
        <v>312</v>
      </c>
      <c r="C216" t="s">
        <v>311</v>
      </c>
      <c r="D216" t="s">
        <v>2</v>
      </c>
      <c r="E216" t="s">
        <v>311</v>
      </c>
      <c r="F216" t="s">
        <v>13</v>
      </c>
      <c r="G216" t="s">
        <v>525</v>
      </c>
    </row>
    <row r="217" spans="1:7" x14ac:dyDescent="0.3">
      <c r="A217">
        <v>0</v>
      </c>
      <c r="B217" t="s">
        <v>312</v>
      </c>
      <c r="C217" t="s">
        <v>365</v>
      </c>
      <c r="D217" t="s">
        <v>2</v>
      </c>
      <c r="E217" t="s">
        <v>365</v>
      </c>
      <c r="F217" t="s">
        <v>13</v>
      </c>
      <c r="G217" t="s">
        <v>525</v>
      </c>
    </row>
    <row r="218" spans="1:7" x14ac:dyDescent="0.3">
      <c r="A218">
        <v>0</v>
      </c>
      <c r="B218" t="s">
        <v>314</v>
      </c>
      <c r="C218" t="s">
        <v>350</v>
      </c>
      <c r="D218" t="s">
        <v>2</v>
      </c>
      <c r="E218" t="s">
        <v>350</v>
      </c>
      <c r="F218" t="s">
        <v>13</v>
      </c>
      <c r="G218" t="s">
        <v>525</v>
      </c>
    </row>
    <row r="219" spans="1:7" x14ac:dyDescent="0.3">
      <c r="A219">
        <v>0</v>
      </c>
      <c r="B219" t="s">
        <v>105</v>
      </c>
      <c r="C219" t="s">
        <v>123</v>
      </c>
      <c r="D219" t="s">
        <v>2</v>
      </c>
      <c r="E219" t="s">
        <v>123</v>
      </c>
      <c r="F219" t="s">
        <v>13</v>
      </c>
      <c r="G219" t="s">
        <v>525</v>
      </c>
    </row>
    <row r="220" spans="1:7" x14ac:dyDescent="0.3">
      <c r="A220">
        <v>0</v>
      </c>
      <c r="B220" t="s">
        <v>312</v>
      </c>
      <c r="C220" t="s">
        <v>396</v>
      </c>
      <c r="D220" t="s">
        <v>2</v>
      </c>
      <c r="E220" t="s">
        <v>396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428</v>
      </c>
      <c r="D221" t="s">
        <v>2</v>
      </c>
      <c r="E221" t="s">
        <v>428</v>
      </c>
      <c r="F221" t="s">
        <v>13</v>
      </c>
      <c r="G221" t="s">
        <v>525</v>
      </c>
    </row>
    <row r="222" spans="1:7" x14ac:dyDescent="0.3">
      <c r="A222">
        <v>0</v>
      </c>
      <c r="B222" t="s">
        <v>312</v>
      </c>
      <c r="C222" t="s">
        <v>383</v>
      </c>
      <c r="D222" t="s">
        <v>2</v>
      </c>
      <c r="E222" t="s">
        <v>383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426</v>
      </c>
      <c r="D223" t="s">
        <v>2</v>
      </c>
      <c r="E223" t="s">
        <v>426</v>
      </c>
      <c r="F223" t="s">
        <v>13</v>
      </c>
      <c r="G223" t="s">
        <v>525</v>
      </c>
    </row>
    <row r="224" spans="1:7" x14ac:dyDescent="0.3">
      <c r="A224">
        <v>0</v>
      </c>
      <c r="B224" t="s">
        <v>312</v>
      </c>
      <c r="C224" t="s">
        <v>437</v>
      </c>
      <c r="D224" t="s">
        <v>2</v>
      </c>
      <c r="E224" t="s">
        <v>437</v>
      </c>
      <c r="F224" t="s">
        <v>13</v>
      </c>
      <c r="G224" t="s">
        <v>525</v>
      </c>
    </row>
    <row r="225" spans="1:7" x14ac:dyDescent="0.3">
      <c r="A225">
        <v>0</v>
      </c>
      <c r="B225" t="s">
        <v>312</v>
      </c>
      <c r="C225" t="s">
        <v>454</v>
      </c>
      <c r="D225" t="s">
        <v>2</v>
      </c>
      <c r="E225" t="s">
        <v>454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425</v>
      </c>
      <c r="D226" t="s">
        <v>2</v>
      </c>
      <c r="E226" t="s">
        <v>425</v>
      </c>
      <c r="F226" t="s">
        <v>13</v>
      </c>
      <c r="G226" t="s">
        <v>525</v>
      </c>
    </row>
    <row r="227" spans="1:7" x14ac:dyDescent="0.3">
      <c r="A227">
        <v>0</v>
      </c>
      <c r="B227" t="s">
        <v>312</v>
      </c>
      <c r="C227" t="s">
        <v>344</v>
      </c>
      <c r="D227" t="s">
        <v>2</v>
      </c>
      <c r="E227" t="s">
        <v>344</v>
      </c>
      <c r="F227" t="s">
        <v>13</v>
      </c>
      <c r="G227" t="s">
        <v>525</v>
      </c>
    </row>
    <row r="228" spans="1:7" x14ac:dyDescent="0.3">
      <c r="A228">
        <v>0</v>
      </c>
      <c r="B228" t="s">
        <v>312</v>
      </c>
      <c r="C228" t="s">
        <v>407</v>
      </c>
      <c r="D228" t="s">
        <v>2</v>
      </c>
      <c r="E228" t="s">
        <v>407</v>
      </c>
      <c r="F228" t="s">
        <v>13</v>
      </c>
      <c r="G228" t="s">
        <v>525</v>
      </c>
    </row>
    <row r="229" spans="1:7" x14ac:dyDescent="0.3">
      <c r="A229">
        <v>0</v>
      </c>
      <c r="B229" t="s">
        <v>314</v>
      </c>
      <c r="C229" t="s">
        <v>413</v>
      </c>
      <c r="D229" t="s">
        <v>2</v>
      </c>
      <c r="E229" t="s">
        <v>413</v>
      </c>
      <c r="F229" t="s">
        <v>13</v>
      </c>
      <c r="G229" t="s">
        <v>525</v>
      </c>
    </row>
    <row r="230" spans="1:7" x14ac:dyDescent="0.3">
      <c r="A230">
        <v>0</v>
      </c>
      <c r="B230" t="s">
        <v>312</v>
      </c>
      <c r="C230" t="s">
        <v>392</v>
      </c>
      <c r="D230" t="s">
        <v>2</v>
      </c>
      <c r="E230" t="s">
        <v>392</v>
      </c>
      <c r="F230" t="s">
        <v>13</v>
      </c>
      <c r="G230" t="s">
        <v>525</v>
      </c>
    </row>
    <row r="231" spans="1:7" x14ac:dyDescent="0.3">
      <c r="A231">
        <v>0</v>
      </c>
      <c r="B231" t="s">
        <v>319</v>
      </c>
      <c r="C231" t="s">
        <v>422</v>
      </c>
      <c r="D231" t="s">
        <v>2</v>
      </c>
      <c r="E231" t="s">
        <v>422</v>
      </c>
      <c r="F231" t="s">
        <v>13</v>
      </c>
      <c r="G231" t="s">
        <v>525</v>
      </c>
    </row>
    <row r="232" spans="1:7" x14ac:dyDescent="0.3">
      <c r="A232">
        <v>0</v>
      </c>
      <c r="B232" t="s">
        <v>314</v>
      </c>
      <c r="C232" t="s">
        <v>495</v>
      </c>
      <c r="D232" t="s">
        <v>494</v>
      </c>
      <c r="E232" t="s">
        <v>495</v>
      </c>
      <c r="F232" t="s">
        <v>13</v>
      </c>
      <c r="G232" t="s">
        <v>525</v>
      </c>
    </row>
    <row r="233" spans="1:7" x14ac:dyDescent="0.3">
      <c r="A233">
        <v>0</v>
      </c>
      <c r="B233" t="s">
        <v>314</v>
      </c>
      <c r="C233" t="s">
        <v>497</v>
      </c>
      <c r="D233" t="s">
        <v>494</v>
      </c>
      <c r="E233" t="s">
        <v>497</v>
      </c>
      <c r="F233" t="s">
        <v>13</v>
      </c>
      <c r="G233" t="s">
        <v>525</v>
      </c>
    </row>
    <row r="234" spans="1:7" x14ac:dyDescent="0.3">
      <c r="A234">
        <v>0</v>
      </c>
      <c r="B234" t="s">
        <v>314</v>
      </c>
      <c r="C234" t="s">
        <v>496</v>
      </c>
      <c r="D234" t="s">
        <v>494</v>
      </c>
      <c r="E234" t="s">
        <v>496</v>
      </c>
      <c r="F234" t="s">
        <v>13</v>
      </c>
      <c r="G234" t="s">
        <v>525</v>
      </c>
    </row>
    <row r="235" spans="1:7" x14ac:dyDescent="0.3">
      <c r="A235">
        <v>0</v>
      </c>
      <c r="B235" t="s">
        <v>312</v>
      </c>
      <c r="C235" t="s">
        <v>513</v>
      </c>
      <c r="D235" t="s">
        <v>498</v>
      </c>
      <c r="E235" t="s">
        <v>513</v>
      </c>
      <c r="F235" t="s">
        <v>13</v>
      </c>
      <c r="G235" t="s">
        <v>525</v>
      </c>
    </row>
    <row r="236" spans="1:7" x14ac:dyDescent="0.3">
      <c r="A236">
        <v>0</v>
      </c>
      <c r="B236" t="s">
        <v>312</v>
      </c>
      <c r="C236" t="s">
        <v>515</v>
      </c>
      <c r="D236" t="s">
        <v>498</v>
      </c>
      <c r="E236" t="s">
        <v>515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509</v>
      </c>
      <c r="D237" t="s">
        <v>498</v>
      </c>
      <c r="E237" t="s">
        <v>509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502</v>
      </c>
      <c r="D238" t="s">
        <v>498</v>
      </c>
      <c r="E238" t="s">
        <v>502</v>
      </c>
      <c r="F238" t="s">
        <v>13</v>
      </c>
      <c r="G238" t="s">
        <v>525</v>
      </c>
    </row>
    <row r="239" spans="1:7" x14ac:dyDescent="0.3">
      <c r="A239">
        <v>0</v>
      </c>
      <c r="B239" t="s">
        <v>312</v>
      </c>
      <c r="C239" t="s">
        <v>500</v>
      </c>
      <c r="D239" t="s">
        <v>498</v>
      </c>
      <c r="E239" t="s">
        <v>500</v>
      </c>
      <c r="F239" t="s">
        <v>13</v>
      </c>
      <c r="G239" t="s">
        <v>525</v>
      </c>
    </row>
    <row r="240" spans="1:7" x14ac:dyDescent="0.3">
      <c r="A240">
        <v>0</v>
      </c>
      <c r="B240" t="s">
        <v>507</v>
      </c>
      <c r="C240" t="s">
        <v>506</v>
      </c>
      <c r="D240" t="s">
        <v>498</v>
      </c>
      <c r="E240" t="s">
        <v>506</v>
      </c>
      <c r="F240" t="s">
        <v>13</v>
      </c>
      <c r="G240" t="s">
        <v>525</v>
      </c>
    </row>
    <row r="241" spans="1:7" x14ac:dyDescent="0.3">
      <c r="A241">
        <v>0</v>
      </c>
      <c r="B241" t="s">
        <v>312</v>
      </c>
      <c r="C241" t="s">
        <v>514</v>
      </c>
      <c r="D241" t="s">
        <v>498</v>
      </c>
      <c r="E241" t="s">
        <v>514</v>
      </c>
      <c r="F241" t="s">
        <v>13</v>
      </c>
      <c r="G241" t="s">
        <v>525</v>
      </c>
    </row>
    <row r="242" spans="1:7" x14ac:dyDescent="0.3">
      <c r="A242">
        <v>0</v>
      </c>
      <c r="B242" t="s">
        <v>312</v>
      </c>
      <c r="C242" t="s">
        <v>499</v>
      </c>
      <c r="D242" t="s">
        <v>498</v>
      </c>
      <c r="E242" t="s">
        <v>499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508</v>
      </c>
      <c r="D243" t="s">
        <v>498</v>
      </c>
      <c r="E243" t="s">
        <v>508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519</v>
      </c>
      <c r="D244" t="s">
        <v>498</v>
      </c>
      <c r="E244" t="s">
        <v>519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t="s">
        <v>510</v>
      </c>
      <c r="D245" t="s">
        <v>498</v>
      </c>
      <c r="E245" t="s">
        <v>510</v>
      </c>
      <c r="F245" t="s">
        <v>13</v>
      </c>
      <c r="G245" t="s">
        <v>525</v>
      </c>
    </row>
    <row r="246" spans="1:7" x14ac:dyDescent="0.3">
      <c r="A246">
        <v>0</v>
      </c>
      <c r="B246" t="s">
        <v>312</v>
      </c>
      <c r="C246" t="s">
        <v>521</v>
      </c>
      <c r="D246" t="s">
        <v>498</v>
      </c>
      <c r="E246" t="s">
        <v>521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501</v>
      </c>
      <c r="D247" t="s">
        <v>498</v>
      </c>
      <c r="E247" t="s">
        <v>501</v>
      </c>
      <c r="F247" t="s">
        <v>13</v>
      </c>
      <c r="G247" t="s">
        <v>525</v>
      </c>
    </row>
    <row r="248" spans="1:7" x14ac:dyDescent="0.3">
      <c r="A248">
        <v>0</v>
      </c>
      <c r="B248" t="s">
        <v>312</v>
      </c>
      <c r="C248" t="s">
        <v>504</v>
      </c>
      <c r="D248" t="s">
        <v>498</v>
      </c>
      <c r="E248" t="s">
        <v>504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520</v>
      </c>
      <c r="D249" t="s">
        <v>498</v>
      </c>
      <c r="E249" t="s">
        <v>520</v>
      </c>
      <c r="F249" t="s">
        <v>13</v>
      </c>
      <c r="G249" t="s">
        <v>525</v>
      </c>
    </row>
    <row r="250" spans="1:7" x14ac:dyDescent="0.3">
      <c r="A250">
        <v>0</v>
      </c>
      <c r="B250" t="s">
        <v>312</v>
      </c>
      <c r="C250" t="s">
        <v>523</v>
      </c>
      <c r="D250" t="s">
        <v>498</v>
      </c>
      <c r="E250" t="s">
        <v>523</v>
      </c>
      <c r="F250" t="s">
        <v>13</v>
      </c>
      <c r="G250" t="s">
        <v>525</v>
      </c>
    </row>
    <row r="251" spans="1:7" x14ac:dyDescent="0.3">
      <c r="A251">
        <v>0</v>
      </c>
      <c r="B251" t="s">
        <v>312</v>
      </c>
      <c r="C251" t="s">
        <v>503</v>
      </c>
      <c r="D251" t="s">
        <v>498</v>
      </c>
      <c r="E251" t="s">
        <v>503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512</v>
      </c>
      <c r="D252" t="s">
        <v>498</v>
      </c>
      <c r="E252" t="s">
        <v>512</v>
      </c>
      <c r="F252" t="s">
        <v>13</v>
      </c>
      <c r="G252" t="s">
        <v>525</v>
      </c>
    </row>
    <row r="253" spans="1:7" x14ac:dyDescent="0.3">
      <c r="A253">
        <v>0</v>
      </c>
      <c r="B253" t="s">
        <v>312</v>
      </c>
      <c r="C253" t="s">
        <v>505</v>
      </c>
      <c r="D253" t="s">
        <v>498</v>
      </c>
      <c r="E253" t="s">
        <v>505</v>
      </c>
      <c r="F253" t="s">
        <v>13</v>
      </c>
      <c r="G253" t="s">
        <v>525</v>
      </c>
    </row>
    <row r="254" spans="1:7" x14ac:dyDescent="0.3">
      <c r="A254">
        <v>0</v>
      </c>
      <c r="B254" t="s">
        <v>312</v>
      </c>
      <c r="C254" t="s">
        <v>518</v>
      </c>
      <c r="D254" t="s">
        <v>498</v>
      </c>
      <c r="E254" t="s">
        <v>518</v>
      </c>
      <c r="F254" t="s">
        <v>13</v>
      </c>
      <c r="G254" t="s">
        <v>525</v>
      </c>
    </row>
    <row r="255" spans="1:7" x14ac:dyDescent="0.3">
      <c r="A255">
        <v>0</v>
      </c>
      <c r="B255" t="s">
        <v>312</v>
      </c>
      <c r="C255" t="s">
        <v>522</v>
      </c>
      <c r="D255" t="s">
        <v>498</v>
      </c>
      <c r="E255" t="s">
        <v>522</v>
      </c>
      <c r="F255" t="s">
        <v>13</v>
      </c>
      <c r="G255" t="s">
        <v>525</v>
      </c>
    </row>
    <row r="256" spans="1:7" x14ac:dyDescent="0.3">
      <c r="A256">
        <v>0</v>
      </c>
      <c r="B256" t="s">
        <v>312</v>
      </c>
      <c r="C256" t="s">
        <v>516</v>
      </c>
      <c r="D256" t="s">
        <v>498</v>
      </c>
      <c r="E256" t="s">
        <v>516</v>
      </c>
      <c r="F256" t="s">
        <v>13</v>
      </c>
      <c r="G256" t="s">
        <v>525</v>
      </c>
    </row>
    <row r="257" spans="1:7" x14ac:dyDescent="0.3">
      <c r="A257">
        <v>0</v>
      </c>
      <c r="B257" t="s">
        <v>312</v>
      </c>
      <c r="C257" t="s">
        <v>517</v>
      </c>
      <c r="D257" t="s">
        <v>498</v>
      </c>
      <c r="E257" t="s">
        <v>517</v>
      </c>
      <c r="F257" t="s">
        <v>13</v>
      </c>
      <c r="G257" t="s">
        <v>525</v>
      </c>
    </row>
    <row r="258" spans="1:7" x14ac:dyDescent="0.3">
      <c r="A258">
        <v>0</v>
      </c>
      <c r="B258" t="s">
        <v>16</v>
      </c>
      <c r="C258" s="2" t="s">
        <v>22</v>
      </c>
      <c r="D258" t="s">
        <v>2</v>
      </c>
      <c r="E258" s="2" t="s">
        <v>22</v>
      </c>
      <c r="F258" t="s">
        <v>13</v>
      </c>
      <c r="G258" t="s">
        <v>525</v>
      </c>
    </row>
    <row r="259" spans="1:7" x14ac:dyDescent="0.3">
      <c r="A259">
        <v>0</v>
      </c>
      <c r="B259" t="s">
        <v>16</v>
      </c>
      <c r="C259" s="2" t="s">
        <v>49</v>
      </c>
      <c r="D259" t="s">
        <v>2</v>
      </c>
      <c r="E259" s="2" t="s">
        <v>49</v>
      </c>
      <c r="F259" t="s">
        <v>13</v>
      </c>
      <c r="G259" t="s">
        <v>525</v>
      </c>
    </row>
    <row r="260" spans="1:7" x14ac:dyDescent="0.3">
      <c r="A260">
        <v>0</v>
      </c>
      <c r="B260" t="s">
        <v>312</v>
      </c>
      <c r="C260" s="2" t="s">
        <v>55</v>
      </c>
      <c r="D260" t="s">
        <v>2</v>
      </c>
      <c r="E260" s="2" t="s">
        <v>55</v>
      </c>
      <c r="F260" t="s">
        <v>13</v>
      </c>
      <c r="G260" t="s">
        <v>525</v>
      </c>
    </row>
    <row r="261" spans="1:7" x14ac:dyDescent="0.3">
      <c r="A261">
        <v>0</v>
      </c>
      <c r="B261" t="s">
        <v>312</v>
      </c>
      <c r="C261" t="s">
        <v>59</v>
      </c>
      <c r="D261" t="s">
        <v>2</v>
      </c>
      <c r="E261" t="s">
        <v>59</v>
      </c>
      <c r="F261" t="s">
        <v>13</v>
      </c>
      <c r="G261" t="s">
        <v>525</v>
      </c>
    </row>
    <row r="262" spans="1:7" x14ac:dyDescent="0.3">
      <c r="A262">
        <v>0</v>
      </c>
      <c r="B262" t="s">
        <v>16</v>
      </c>
      <c r="C262" s="2" t="s">
        <v>61</v>
      </c>
      <c r="D262" t="s">
        <v>2</v>
      </c>
      <c r="E262" s="2" t="s">
        <v>61</v>
      </c>
      <c r="F262" t="s">
        <v>13</v>
      </c>
      <c r="G262" t="s">
        <v>525</v>
      </c>
    </row>
    <row r="263" spans="1:7" x14ac:dyDescent="0.3">
      <c r="A263">
        <v>0</v>
      </c>
      <c r="B263" t="s">
        <v>312</v>
      </c>
      <c r="C263" s="2" t="s">
        <v>67</v>
      </c>
      <c r="D263" t="s">
        <v>2</v>
      </c>
      <c r="E263" s="2" t="s">
        <v>67</v>
      </c>
      <c r="F263" t="s">
        <v>13</v>
      </c>
      <c r="G263" t="s">
        <v>525</v>
      </c>
    </row>
    <row r="264" spans="1:7" x14ac:dyDescent="0.3">
      <c r="A264">
        <v>0</v>
      </c>
      <c r="B264" t="s">
        <v>312</v>
      </c>
      <c r="C264" t="s">
        <v>73</v>
      </c>
      <c r="D264" t="s">
        <v>2</v>
      </c>
      <c r="E264" t="s">
        <v>73</v>
      </c>
      <c r="F264" t="s">
        <v>13</v>
      </c>
      <c r="G264" t="s">
        <v>525</v>
      </c>
    </row>
    <row r="265" spans="1:7" x14ac:dyDescent="0.3">
      <c r="A265">
        <v>0</v>
      </c>
      <c r="B265" t="s">
        <v>312</v>
      </c>
      <c r="C265" t="s">
        <v>79</v>
      </c>
      <c r="D265" t="s">
        <v>2</v>
      </c>
      <c r="E265" t="s">
        <v>79</v>
      </c>
      <c r="F265" t="s">
        <v>13</v>
      </c>
      <c r="G265" t="s">
        <v>525</v>
      </c>
    </row>
    <row r="266" spans="1:7" x14ac:dyDescent="0.3">
      <c r="A266">
        <v>0</v>
      </c>
      <c r="B266" t="s">
        <v>312</v>
      </c>
      <c r="C266" t="s">
        <v>82</v>
      </c>
      <c r="D266" t="s">
        <v>2</v>
      </c>
      <c r="E266" t="s">
        <v>82</v>
      </c>
      <c r="F266" t="s">
        <v>13</v>
      </c>
      <c r="G266" t="s">
        <v>525</v>
      </c>
    </row>
    <row r="267" spans="1:7" x14ac:dyDescent="0.3">
      <c r="A267">
        <v>0</v>
      </c>
      <c r="B267" t="s">
        <v>312</v>
      </c>
      <c r="C267" t="s">
        <v>85</v>
      </c>
      <c r="D267" t="s">
        <v>2</v>
      </c>
      <c r="E267" t="s">
        <v>85</v>
      </c>
      <c r="F267" t="s">
        <v>13</v>
      </c>
      <c r="G267" t="s">
        <v>525</v>
      </c>
    </row>
    <row r="268" spans="1:7" x14ac:dyDescent="0.3">
      <c r="A268">
        <v>0</v>
      </c>
      <c r="B268" t="s">
        <v>312</v>
      </c>
      <c r="C268" t="s">
        <v>88</v>
      </c>
      <c r="D268" t="s">
        <v>2</v>
      </c>
      <c r="E268" t="s">
        <v>88</v>
      </c>
      <c r="F268" t="s">
        <v>13</v>
      </c>
      <c r="G268" t="s">
        <v>525</v>
      </c>
    </row>
    <row r="269" spans="1:7" x14ac:dyDescent="0.3">
      <c r="A269">
        <v>0</v>
      </c>
      <c r="B269" t="s">
        <v>312</v>
      </c>
      <c r="C269" t="s">
        <v>91</v>
      </c>
      <c r="D269" t="s">
        <v>2</v>
      </c>
      <c r="E269" t="s">
        <v>91</v>
      </c>
      <c r="F269" t="s">
        <v>13</v>
      </c>
      <c r="G269" t="s">
        <v>525</v>
      </c>
    </row>
    <row r="270" spans="1:7" x14ac:dyDescent="0.3">
      <c r="A270">
        <v>0</v>
      </c>
      <c r="B270" t="s">
        <v>312</v>
      </c>
      <c r="C270" t="s">
        <v>94</v>
      </c>
      <c r="D270" t="s">
        <v>2</v>
      </c>
      <c r="E270" t="s">
        <v>94</v>
      </c>
      <c r="F270" t="s">
        <v>13</v>
      </c>
      <c r="G270" t="s">
        <v>525</v>
      </c>
    </row>
    <row r="271" spans="1:7" x14ac:dyDescent="0.3">
      <c r="A271">
        <v>0</v>
      </c>
      <c r="B271" t="s">
        <v>312</v>
      </c>
      <c r="C271" t="s">
        <v>97</v>
      </c>
      <c r="D271" t="s">
        <v>2</v>
      </c>
      <c r="E271" t="s">
        <v>97</v>
      </c>
      <c r="F271" t="s">
        <v>13</v>
      </c>
      <c r="G271" t="s">
        <v>525</v>
      </c>
    </row>
    <row r="272" spans="1:7" x14ac:dyDescent="0.3">
      <c r="A272">
        <v>0</v>
      </c>
      <c r="B272" t="s">
        <v>312</v>
      </c>
      <c r="C272" t="s">
        <v>100</v>
      </c>
      <c r="D272" t="s">
        <v>2</v>
      </c>
      <c r="E272" t="s">
        <v>100</v>
      </c>
      <c r="F272" t="s">
        <v>13</v>
      </c>
      <c r="G272" t="s">
        <v>525</v>
      </c>
    </row>
  </sheetData>
  <pageMargins left="0.75" right="0.75" top="1" bottom="1" header="0.5" footer="0.5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72"/>
  <sheetViews>
    <sheetView workbookViewId="0">
      <selection activeCell="E27" sqref="E27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1</v>
      </c>
      <c r="B2" t="s">
        <v>57</v>
      </c>
      <c r="C2" t="s">
        <v>718</v>
      </c>
      <c r="D2" t="s">
        <v>2</v>
      </c>
      <c r="E2" t="s">
        <v>73</v>
      </c>
      <c r="F2" s="4" t="s">
        <v>13</v>
      </c>
      <c r="G2" t="s">
        <v>525</v>
      </c>
      <c r="H2" t="s">
        <v>626</v>
      </c>
    </row>
    <row r="3" spans="1:9" x14ac:dyDescent="0.3">
      <c r="A3">
        <v>1</v>
      </c>
      <c r="B3" t="s">
        <v>57</v>
      </c>
      <c r="C3" t="s">
        <v>719</v>
      </c>
      <c r="D3" t="s">
        <v>2</v>
      </c>
      <c r="E3" t="s">
        <v>149</v>
      </c>
      <c r="F3" t="s">
        <v>13</v>
      </c>
      <c r="G3" t="s">
        <v>525</v>
      </c>
      <c r="H3" t="s">
        <v>626</v>
      </c>
    </row>
    <row r="4" spans="1:9" x14ac:dyDescent="0.3">
      <c r="A4">
        <v>0.01</v>
      </c>
      <c r="B4" t="s">
        <v>57</v>
      </c>
      <c r="C4" t="s">
        <v>641</v>
      </c>
      <c r="D4" t="s">
        <v>2</v>
      </c>
      <c r="E4" t="s">
        <v>85</v>
      </c>
      <c r="F4" t="s">
        <v>13</v>
      </c>
      <c r="G4" t="s">
        <v>525</v>
      </c>
      <c r="H4" t="s">
        <v>626</v>
      </c>
    </row>
    <row r="5" spans="1:9" x14ac:dyDescent="0.3">
      <c r="A5">
        <v>6.6799999999999998E-2</v>
      </c>
      <c r="B5" t="s">
        <v>57</v>
      </c>
      <c r="C5" t="s">
        <v>720</v>
      </c>
      <c r="D5" t="s">
        <v>2</v>
      </c>
      <c r="E5" t="s">
        <v>149</v>
      </c>
      <c r="F5" t="s">
        <v>13</v>
      </c>
      <c r="G5" t="s">
        <v>525</v>
      </c>
      <c r="H5" t="s">
        <v>626</v>
      </c>
    </row>
    <row r="6" spans="1:9" x14ac:dyDescent="0.3">
      <c r="A6">
        <v>4.1500000000000002E-2</v>
      </c>
      <c r="B6" t="s">
        <v>57</v>
      </c>
      <c r="C6" t="s">
        <v>666</v>
      </c>
      <c r="D6" t="s">
        <v>2</v>
      </c>
      <c r="E6" t="s">
        <v>149</v>
      </c>
      <c r="F6" t="s">
        <v>13</v>
      </c>
      <c r="G6" t="s">
        <v>525</v>
      </c>
      <c r="H6" t="s">
        <v>626</v>
      </c>
    </row>
    <row r="7" spans="1:9" x14ac:dyDescent="0.3">
      <c r="A7">
        <v>0.16700000000000001</v>
      </c>
      <c r="B7" t="s">
        <v>57</v>
      </c>
      <c r="C7" t="s">
        <v>721</v>
      </c>
      <c r="D7" t="s">
        <v>2</v>
      </c>
      <c r="E7" s="2" t="s">
        <v>330</v>
      </c>
      <c r="F7" t="s">
        <v>13</v>
      </c>
      <c r="G7" t="s">
        <v>525</v>
      </c>
      <c r="H7" t="s">
        <v>626</v>
      </c>
    </row>
    <row r="8" spans="1:9" x14ac:dyDescent="0.3">
      <c r="A8">
        <v>2.2200000000000001E-2</v>
      </c>
      <c r="B8" t="s">
        <v>57</v>
      </c>
      <c r="C8" t="s">
        <v>667</v>
      </c>
      <c r="D8" t="s">
        <v>2</v>
      </c>
      <c r="E8" s="2" t="s">
        <v>332</v>
      </c>
      <c r="F8" t="s">
        <v>13</v>
      </c>
      <c r="G8" t="s">
        <v>525</v>
      </c>
      <c r="H8" t="s">
        <v>626</v>
      </c>
    </row>
    <row r="9" spans="1:9" x14ac:dyDescent="0.3">
      <c r="A9">
        <v>32</v>
      </c>
      <c r="B9" t="s">
        <v>542</v>
      </c>
      <c r="C9" t="s">
        <v>648</v>
      </c>
      <c r="D9" t="s">
        <v>2</v>
      </c>
      <c r="E9" t="s">
        <v>111</v>
      </c>
      <c r="F9" t="s">
        <v>13</v>
      </c>
      <c r="G9" t="s">
        <v>525</v>
      </c>
      <c r="H9" t="s">
        <v>626</v>
      </c>
    </row>
    <row r="10" spans="1:9" x14ac:dyDescent="0.3">
      <c r="A10">
        <f>68.2242990654206/48</f>
        <v>1.4213395638629291</v>
      </c>
      <c r="B10" t="s">
        <v>57</v>
      </c>
      <c r="C10" t="s">
        <v>671</v>
      </c>
      <c r="D10" t="s">
        <v>2</v>
      </c>
      <c r="E10" t="s">
        <v>398</v>
      </c>
      <c r="F10" t="s">
        <v>13</v>
      </c>
      <c r="G10" t="s">
        <v>525</v>
      </c>
      <c r="H10" t="s">
        <v>626</v>
      </c>
    </row>
    <row r="11" spans="1:9" x14ac:dyDescent="0.3">
      <c r="A11">
        <f>4.01*2.31803430690774E-09</f>
        <v>9.295317570700037E-9</v>
      </c>
      <c r="B11" t="s">
        <v>314</v>
      </c>
      <c r="C11" t="s">
        <v>717</v>
      </c>
      <c r="D11" t="s">
        <v>2</v>
      </c>
      <c r="E11" t="s">
        <v>341</v>
      </c>
      <c r="F11" t="s">
        <v>13</v>
      </c>
      <c r="G11" t="s">
        <v>525</v>
      </c>
      <c r="H11" t="s">
        <v>626</v>
      </c>
    </row>
    <row r="12" spans="1:9" x14ac:dyDescent="0.3">
      <c r="A12">
        <f>$A$2*'[1]SGS prod US'!I6</f>
        <v>0</v>
      </c>
      <c r="B12" t="s">
        <v>314</v>
      </c>
      <c r="C12" t="s">
        <v>620</v>
      </c>
      <c r="D12" t="s">
        <v>2</v>
      </c>
      <c r="E12" s="2" t="s">
        <v>455</v>
      </c>
      <c r="F12" t="s">
        <v>13</v>
      </c>
      <c r="G12" t="s">
        <v>525</v>
      </c>
      <c r="H12" t="s">
        <v>621</v>
      </c>
    </row>
    <row r="13" spans="1:9" x14ac:dyDescent="0.3">
      <c r="A13">
        <f>$A$2*'[1]SGS prod US'!I7</f>
        <v>1.2229254135450123E-7</v>
      </c>
      <c r="B13" t="s">
        <v>314</v>
      </c>
      <c r="C13" t="s">
        <v>622</v>
      </c>
      <c r="D13" t="s">
        <v>2</v>
      </c>
      <c r="E13" s="2" t="s">
        <v>409</v>
      </c>
      <c r="F13" t="s">
        <v>13</v>
      </c>
      <c r="G13" t="s">
        <v>525</v>
      </c>
      <c r="H13" t="s">
        <v>621</v>
      </c>
    </row>
    <row r="14" spans="1:9" x14ac:dyDescent="0.3">
      <c r="A14">
        <f>$A$2*'[1]SGS prod US'!I8</f>
        <v>1.640606341579916E-7</v>
      </c>
      <c r="B14" t="s">
        <v>314</v>
      </c>
      <c r="C14" t="s">
        <v>623</v>
      </c>
      <c r="D14" t="s">
        <v>2</v>
      </c>
      <c r="E14" s="2" t="s">
        <v>443</v>
      </c>
      <c r="F14" t="s">
        <v>13</v>
      </c>
      <c r="G14" t="s">
        <v>525</v>
      </c>
      <c r="H14" t="s">
        <v>621</v>
      </c>
    </row>
    <row r="15" spans="1:9" x14ac:dyDescent="0.3">
      <c r="A15">
        <v>1.6699999999999999E-4</v>
      </c>
      <c r="B15" s="2" t="s">
        <v>319</v>
      </c>
      <c r="C15" t="s">
        <v>672</v>
      </c>
      <c r="D15" t="s">
        <v>2</v>
      </c>
      <c r="E15" s="18" t="s">
        <v>375</v>
      </c>
      <c r="F15" t="s">
        <v>13</v>
      </c>
      <c r="G15" t="s">
        <v>525</v>
      </c>
      <c r="H15" t="s">
        <v>626</v>
      </c>
    </row>
    <row r="16" spans="1:9" x14ac:dyDescent="0.3">
      <c r="A16">
        <v>2.1116620218286924E-7</v>
      </c>
      <c r="B16" t="s">
        <v>314</v>
      </c>
      <c r="C16" t="s">
        <v>654</v>
      </c>
      <c r="D16" t="s">
        <v>2</v>
      </c>
      <c r="E16" s="2" t="s">
        <v>449</v>
      </c>
      <c r="F16" t="s">
        <v>13</v>
      </c>
      <c r="G16" t="s">
        <v>525</v>
      </c>
      <c r="H16" t="s">
        <v>655</v>
      </c>
    </row>
    <row r="17" spans="1:8" x14ac:dyDescent="0.3">
      <c r="A17">
        <v>1.1614141120057812E-6</v>
      </c>
      <c r="B17" t="s">
        <v>314</v>
      </c>
      <c r="C17" t="s">
        <v>656</v>
      </c>
      <c r="D17" t="s">
        <v>2</v>
      </c>
      <c r="E17" s="2" t="s">
        <v>487</v>
      </c>
      <c r="F17" t="s">
        <v>13</v>
      </c>
      <c r="G17" t="s">
        <v>525</v>
      </c>
      <c r="H17" t="s">
        <v>655</v>
      </c>
    </row>
    <row r="18" spans="1:8" x14ac:dyDescent="0.3">
      <c r="A18">
        <v>1.2129779520736912E-6</v>
      </c>
      <c r="B18" t="s">
        <v>314</v>
      </c>
      <c r="C18" t="s">
        <v>495</v>
      </c>
      <c r="D18" t="s">
        <v>494</v>
      </c>
      <c r="E18" t="s">
        <v>495</v>
      </c>
      <c r="F18" t="s">
        <v>13</v>
      </c>
      <c r="G18" t="s">
        <v>525</v>
      </c>
      <c r="H18" t="s">
        <v>655</v>
      </c>
    </row>
    <row r="19" spans="1:8" x14ac:dyDescent="0.3">
      <c r="A19">
        <v>1.7875464556875446E-6</v>
      </c>
      <c r="B19" t="s">
        <v>314</v>
      </c>
      <c r="C19" t="s">
        <v>496</v>
      </c>
      <c r="D19" t="s">
        <v>494</v>
      </c>
      <c r="E19" s="2" t="s">
        <v>496</v>
      </c>
      <c r="F19" t="s">
        <v>13</v>
      </c>
      <c r="G19" t="s">
        <v>525</v>
      </c>
      <c r="H19" t="s">
        <v>655</v>
      </c>
    </row>
    <row r="20" spans="1:8" x14ac:dyDescent="0.3">
      <c r="A20">
        <v>1.2768188969196751E-6</v>
      </c>
      <c r="B20" t="s">
        <v>314</v>
      </c>
      <c r="C20" t="s">
        <v>497</v>
      </c>
      <c r="D20" t="s">
        <v>494</v>
      </c>
      <c r="E20" s="2" t="s">
        <v>497</v>
      </c>
      <c r="F20" t="s">
        <v>13</v>
      </c>
      <c r="G20" t="s">
        <v>525</v>
      </c>
      <c r="H20" t="s">
        <v>655</v>
      </c>
    </row>
    <row r="21" spans="1:8" x14ac:dyDescent="0.3">
      <c r="A21">
        <v>1.8744600613122816E-7</v>
      </c>
      <c r="B21" t="s">
        <v>507</v>
      </c>
      <c r="C21" t="s">
        <v>506</v>
      </c>
      <c r="D21" t="s">
        <v>498</v>
      </c>
      <c r="E21" s="2" t="s">
        <v>506</v>
      </c>
      <c r="F21" t="s">
        <v>13</v>
      </c>
      <c r="G21" t="s">
        <v>525</v>
      </c>
      <c r="H21" t="s">
        <v>655</v>
      </c>
    </row>
    <row r="22" spans="1:8" x14ac:dyDescent="0.3">
      <c r="A22">
        <v>3.3849999999999998E-2</v>
      </c>
      <c r="B22" t="s">
        <v>57</v>
      </c>
      <c r="C22" t="s">
        <v>722</v>
      </c>
      <c r="D22" t="s">
        <v>498</v>
      </c>
      <c r="E22" t="s">
        <v>514</v>
      </c>
      <c r="F22" t="s">
        <v>13</v>
      </c>
      <c r="G22" t="s">
        <v>525</v>
      </c>
      <c r="H22" t="s">
        <v>626</v>
      </c>
    </row>
    <row r="23" spans="1:8" x14ac:dyDescent="0.3">
      <c r="A23">
        <v>4.4149999999999997E-3</v>
      </c>
      <c r="B23" t="s">
        <v>57</v>
      </c>
      <c r="C23" t="s">
        <v>723</v>
      </c>
      <c r="D23" t="s">
        <v>498</v>
      </c>
      <c r="E23" t="s">
        <v>516</v>
      </c>
      <c r="F23" t="s">
        <v>13</v>
      </c>
      <c r="G23" t="s">
        <v>525</v>
      </c>
      <c r="H23" t="s">
        <v>626</v>
      </c>
    </row>
    <row r="24" spans="1:8" x14ac:dyDescent="0.3">
      <c r="A24">
        <v>8.3500000000000005E-2</v>
      </c>
      <c r="B24" t="s">
        <v>57</v>
      </c>
      <c r="C24" t="s">
        <v>724</v>
      </c>
      <c r="D24" t="s">
        <v>498</v>
      </c>
      <c r="E24" t="s">
        <v>514</v>
      </c>
      <c r="F24" t="s">
        <v>13</v>
      </c>
      <c r="G24" t="s">
        <v>525</v>
      </c>
      <c r="H24" t="s">
        <v>626</v>
      </c>
    </row>
    <row r="25" spans="1:8" x14ac:dyDescent="0.3">
      <c r="A25">
        <v>3.8273831775700931</v>
      </c>
      <c r="B25" t="s">
        <v>57</v>
      </c>
      <c r="C25" t="s">
        <v>535</v>
      </c>
      <c r="D25" t="s">
        <v>498</v>
      </c>
      <c r="E25" t="s">
        <v>502</v>
      </c>
      <c r="F25" t="s">
        <v>13</v>
      </c>
      <c r="G25" t="s">
        <v>525</v>
      </c>
      <c r="H25" t="s">
        <v>658</v>
      </c>
    </row>
    <row r="26" spans="1:8" x14ac:dyDescent="0.3">
      <c r="A26">
        <v>3.411214953271028E-4</v>
      </c>
      <c r="B26" t="s">
        <v>57</v>
      </c>
      <c r="C26" t="s">
        <v>500</v>
      </c>
      <c r="D26" t="s">
        <v>498</v>
      </c>
      <c r="E26" t="s">
        <v>500</v>
      </c>
      <c r="F26" t="s">
        <v>13</v>
      </c>
      <c r="G26" t="s">
        <v>525</v>
      </c>
      <c r="H26" t="s">
        <v>658</v>
      </c>
    </row>
    <row r="27" spans="1:8" x14ac:dyDescent="0.3">
      <c r="A27">
        <v>6.8224299065420561E-6</v>
      </c>
      <c r="B27" t="s">
        <v>57</v>
      </c>
      <c r="C27" t="s">
        <v>511</v>
      </c>
      <c r="D27" t="s">
        <v>498</v>
      </c>
      <c r="E27" t="s">
        <v>511</v>
      </c>
      <c r="F27" t="s">
        <v>13</v>
      </c>
      <c r="G27" t="s">
        <v>525</v>
      </c>
      <c r="H27" t="s">
        <v>658</v>
      </c>
    </row>
    <row r="28" spans="1:8" x14ac:dyDescent="0.3">
      <c r="A28">
        <v>0</v>
      </c>
      <c r="B28" t="s">
        <v>312</v>
      </c>
      <c r="C28" t="s">
        <v>483</v>
      </c>
      <c r="D28" t="s">
        <v>2</v>
      </c>
      <c r="E28" t="s">
        <v>483</v>
      </c>
      <c r="F28" t="s">
        <v>13</v>
      </c>
      <c r="G28" t="s">
        <v>525</v>
      </c>
    </row>
    <row r="29" spans="1:8" x14ac:dyDescent="0.3">
      <c r="A29">
        <v>0</v>
      </c>
      <c r="B29" t="s">
        <v>105</v>
      </c>
      <c r="C29" t="s">
        <v>125</v>
      </c>
      <c r="D29" t="s">
        <v>2</v>
      </c>
      <c r="E29" t="s">
        <v>125</v>
      </c>
      <c r="F29" t="s">
        <v>13</v>
      </c>
      <c r="G29" t="s">
        <v>525</v>
      </c>
    </row>
    <row r="30" spans="1:8" x14ac:dyDescent="0.3">
      <c r="A30">
        <v>0</v>
      </c>
      <c r="B30" t="s">
        <v>319</v>
      </c>
      <c r="C30" t="s">
        <v>461</v>
      </c>
      <c r="D30" t="s">
        <v>2</v>
      </c>
      <c r="E30" t="s">
        <v>461</v>
      </c>
      <c r="F30" t="s">
        <v>13</v>
      </c>
      <c r="G30" t="s">
        <v>525</v>
      </c>
    </row>
    <row r="31" spans="1:8" x14ac:dyDescent="0.3">
      <c r="A31">
        <v>0</v>
      </c>
      <c r="B31" t="s">
        <v>314</v>
      </c>
      <c r="C31" t="s">
        <v>395</v>
      </c>
      <c r="D31" t="s">
        <v>2</v>
      </c>
      <c r="E31" t="s">
        <v>395</v>
      </c>
      <c r="F31" t="s">
        <v>13</v>
      </c>
      <c r="G31" t="s">
        <v>525</v>
      </c>
    </row>
    <row r="32" spans="1:8" x14ac:dyDescent="0.3">
      <c r="A32">
        <v>0</v>
      </c>
      <c r="B32" t="s">
        <v>312</v>
      </c>
      <c r="C32" t="s">
        <v>399</v>
      </c>
      <c r="D32" t="s">
        <v>2</v>
      </c>
      <c r="E32" t="s">
        <v>399</v>
      </c>
      <c r="F32" t="s">
        <v>13</v>
      </c>
      <c r="G32" t="s">
        <v>525</v>
      </c>
    </row>
    <row r="33" spans="1:7" x14ac:dyDescent="0.3">
      <c r="A33">
        <v>0</v>
      </c>
      <c r="B33" t="s">
        <v>314</v>
      </c>
      <c r="C33" t="s">
        <v>432</v>
      </c>
      <c r="D33" t="s">
        <v>2</v>
      </c>
      <c r="E33" t="s">
        <v>432</v>
      </c>
      <c r="F33" t="s">
        <v>13</v>
      </c>
      <c r="G33" t="s">
        <v>525</v>
      </c>
    </row>
    <row r="34" spans="1:7" x14ac:dyDescent="0.3">
      <c r="A34">
        <v>0</v>
      </c>
      <c r="B34" t="s">
        <v>312</v>
      </c>
      <c r="C34" t="s">
        <v>325</v>
      </c>
      <c r="D34" t="s">
        <v>2</v>
      </c>
      <c r="E34" t="s">
        <v>325</v>
      </c>
      <c r="F34" t="s">
        <v>13</v>
      </c>
      <c r="G34" t="s">
        <v>525</v>
      </c>
    </row>
    <row r="35" spans="1:7" x14ac:dyDescent="0.3">
      <c r="A35">
        <v>0</v>
      </c>
      <c r="B35" t="s">
        <v>314</v>
      </c>
      <c r="C35" t="s">
        <v>372</v>
      </c>
      <c r="D35" t="s">
        <v>2</v>
      </c>
      <c r="E35" t="s">
        <v>372</v>
      </c>
      <c r="F35" t="s">
        <v>13</v>
      </c>
      <c r="G35" t="s">
        <v>525</v>
      </c>
    </row>
    <row r="36" spans="1:7" x14ac:dyDescent="0.3">
      <c r="A36">
        <v>0</v>
      </c>
      <c r="B36" t="s">
        <v>314</v>
      </c>
      <c r="C36" t="s">
        <v>260</v>
      </c>
      <c r="D36" t="s">
        <v>2</v>
      </c>
      <c r="E36" t="s">
        <v>260</v>
      </c>
      <c r="F36" t="s">
        <v>13</v>
      </c>
      <c r="G36" t="s">
        <v>525</v>
      </c>
    </row>
    <row r="37" spans="1:7" x14ac:dyDescent="0.3">
      <c r="A37">
        <v>0</v>
      </c>
      <c r="B37" t="s">
        <v>312</v>
      </c>
      <c r="C37" t="s">
        <v>330</v>
      </c>
      <c r="D37" t="s">
        <v>2</v>
      </c>
      <c r="E37" t="s">
        <v>330</v>
      </c>
      <c r="F37" t="s">
        <v>13</v>
      </c>
      <c r="G37" t="s">
        <v>525</v>
      </c>
    </row>
    <row r="38" spans="1:7" x14ac:dyDescent="0.3">
      <c r="A38">
        <v>0</v>
      </c>
      <c r="B38" t="s">
        <v>105</v>
      </c>
      <c r="C38" t="s">
        <v>401</v>
      </c>
      <c r="D38" t="s">
        <v>2</v>
      </c>
      <c r="E38" t="s">
        <v>401</v>
      </c>
      <c r="F38" t="s">
        <v>13</v>
      </c>
      <c r="G38" t="s">
        <v>525</v>
      </c>
    </row>
    <row r="39" spans="1:7" x14ac:dyDescent="0.3">
      <c r="A39">
        <v>0</v>
      </c>
      <c r="B39" t="s">
        <v>312</v>
      </c>
      <c r="C39" t="s">
        <v>416</v>
      </c>
      <c r="D39" t="s">
        <v>2</v>
      </c>
      <c r="E39" t="s">
        <v>416</v>
      </c>
      <c r="F39" t="s">
        <v>13</v>
      </c>
      <c r="G39" t="s">
        <v>525</v>
      </c>
    </row>
    <row r="40" spans="1:7" x14ac:dyDescent="0.3">
      <c r="A40">
        <v>0</v>
      </c>
      <c r="B40" t="s">
        <v>319</v>
      </c>
      <c r="C40" t="s">
        <v>375</v>
      </c>
      <c r="D40" t="s">
        <v>2</v>
      </c>
      <c r="E40" t="s">
        <v>375</v>
      </c>
      <c r="F40" t="s">
        <v>13</v>
      </c>
      <c r="G40" t="s">
        <v>525</v>
      </c>
    </row>
    <row r="41" spans="1:7" x14ac:dyDescent="0.3">
      <c r="A41">
        <v>0</v>
      </c>
      <c r="B41" t="s">
        <v>312</v>
      </c>
      <c r="C41" t="s">
        <v>333</v>
      </c>
      <c r="D41" t="s">
        <v>2</v>
      </c>
      <c r="E41" t="s">
        <v>333</v>
      </c>
      <c r="F41" t="s">
        <v>13</v>
      </c>
      <c r="G41" t="s">
        <v>525</v>
      </c>
    </row>
    <row r="42" spans="1:7" x14ac:dyDescent="0.3">
      <c r="A42">
        <v>0</v>
      </c>
      <c r="B42" t="s">
        <v>57</v>
      </c>
      <c r="C42" t="s">
        <v>118</v>
      </c>
      <c r="D42" t="s">
        <v>2</v>
      </c>
      <c r="E42" t="s">
        <v>118</v>
      </c>
      <c r="F42" t="s">
        <v>13</v>
      </c>
      <c r="G42" t="s">
        <v>525</v>
      </c>
    </row>
    <row r="43" spans="1:7" x14ac:dyDescent="0.3">
      <c r="A43">
        <v>0</v>
      </c>
      <c r="B43" t="s">
        <v>312</v>
      </c>
      <c r="C43" t="s">
        <v>406</v>
      </c>
      <c r="D43" t="s">
        <v>2</v>
      </c>
      <c r="E43" t="s">
        <v>406</v>
      </c>
      <c r="F43" t="s">
        <v>13</v>
      </c>
      <c r="G43" t="s">
        <v>525</v>
      </c>
    </row>
    <row r="44" spans="1:7" x14ac:dyDescent="0.3">
      <c r="A44">
        <v>0</v>
      </c>
      <c r="B44" t="s">
        <v>312</v>
      </c>
      <c r="C44" t="s">
        <v>315</v>
      </c>
      <c r="D44" t="s">
        <v>2</v>
      </c>
      <c r="E44" t="s">
        <v>315</v>
      </c>
      <c r="F44" t="s">
        <v>13</v>
      </c>
      <c r="G44" t="s">
        <v>525</v>
      </c>
    </row>
    <row r="45" spans="1:7" x14ac:dyDescent="0.3">
      <c r="A45">
        <v>0</v>
      </c>
      <c r="B45" t="s">
        <v>312</v>
      </c>
      <c r="C45" t="s">
        <v>358</v>
      </c>
      <c r="D45" t="s">
        <v>2</v>
      </c>
      <c r="E45" t="s">
        <v>358</v>
      </c>
      <c r="F45" t="s">
        <v>13</v>
      </c>
      <c r="G45" t="s">
        <v>525</v>
      </c>
    </row>
    <row r="46" spans="1:7" x14ac:dyDescent="0.3">
      <c r="A46">
        <v>0</v>
      </c>
      <c r="B46" t="s">
        <v>314</v>
      </c>
      <c r="C46" t="s">
        <v>444</v>
      </c>
      <c r="D46" t="s">
        <v>2</v>
      </c>
      <c r="E46" t="s">
        <v>444</v>
      </c>
      <c r="F46" t="s">
        <v>13</v>
      </c>
      <c r="G46" t="s">
        <v>525</v>
      </c>
    </row>
    <row r="47" spans="1:7" x14ac:dyDescent="0.3">
      <c r="A47">
        <v>0</v>
      </c>
      <c r="B47" t="s">
        <v>312</v>
      </c>
      <c r="C47" t="s">
        <v>439</v>
      </c>
      <c r="D47" t="s">
        <v>2</v>
      </c>
      <c r="E47" t="s">
        <v>439</v>
      </c>
      <c r="F47" t="s">
        <v>13</v>
      </c>
      <c r="G47" t="s">
        <v>525</v>
      </c>
    </row>
    <row r="48" spans="1:7" x14ac:dyDescent="0.3">
      <c r="A48">
        <v>0</v>
      </c>
      <c r="B48" t="s">
        <v>312</v>
      </c>
      <c r="C48" t="s">
        <v>381</v>
      </c>
      <c r="D48" t="s">
        <v>2</v>
      </c>
      <c r="E48" t="s">
        <v>381</v>
      </c>
      <c r="F48" t="s">
        <v>13</v>
      </c>
      <c r="G48" t="s">
        <v>525</v>
      </c>
    </row>
    <row r="49" spans="1:7" x14ac:dyDescent="0.3">
      <c r="A49">
        <v>0</v>
      </c>
      <c r="B49" t="s">
        <v>312</v>
      </c>
      <c r="C49" t="s">
        <v>418</v>
      </c>
      <c r="D49" t="s">
        <v>2</v>
      </c>
      <c r="E49" t="s">
        <v>418</v>
      </c>
      <c r="F49" t="s">
        <v>13</v>
      </c>
      <c r="G49" t="s">
        <v>525</v>
      </c>
    </row>
    <row r="50" spans="1:7" x14ac:dyDescent="0.3">
      <c r="A50">
        <v>0</v>
      </c>
      <c r="B50" t="s">
        <v>314</v>
      </c>
      <c r="C50" t="s">
        <v>465</v>
      </c>
      <c r="D50" t="s">
        <v>2</v>
      </c>
      <c r="E50" t="s">
        <v>465</v>
      </c>
      <c r="F50" t="s">
        <v>13</v>
      </c>
      <c r="G50" t="s">
        <v>525</v>
      </c>
    </row>
    <row r="51" spans="1:7" x14ac:dyDescent="0.3">
      <c r="A51">
        <v>0</v>
      </c>
      <c r="B51" t="s">
        <v>105</v>
      </c>
      <c r="C51" t="s">
        <v>103</v>
      </c>
      <c r="D51" t="s">
        <v>2</v>
      </c>
      <c r="E51" t="s">
        <v>103</v>
      </c>
      <c r="F51" t="s">
        <v>13</v>
      </c>
      <c r="G51" t="s">
        <v>525</v>
      </c>
    </row>
    <row r="52" spans="1:7" x14ac:dyDescent="0.3">
      <c r="A52">
        <v>0</v>
      </c>
      <c r="B52" t="s">
        <v>312</v>
      </c>
      <c r="C52" t="s">
        <v>320</v>
      </c>
      <c r="D52" t="s">
        <v>2</v>
      </c>
      <c r="E52" t="s">
        <v>320</v>
      </c>
      <c r="F52" t="s">
        <v>13</v>
      </c>
      <c r="G52" t="s">
        <v>525</v>
      </c>
    </row>
    <row r="53" spans="1:7" x14ac:dyDescent="0.3">
      <c r="A53">
        <v>0</v>
      </c>
      <c r="B53" t="s">
        <v>312</v>
      </c>
      <c r="C53" t="s">
        <v>334</v>
      </c>
      <c r="D53" t="s">
        <v>2</v>
      </c>
      <c r="E53" t="s">
        <v>334</v>
      </c>
      <c r="F53" t="s">
        <v>13</v>
      </c>
      <c r="G53" t="s">
        <v>525</v>
      </c>
    </row>
    <row r="54" spans="1:7" x14ac:dyDescent="0.3">
      <c r="A54">
        <v>0</v>
      </c>
      <c r="B54" t="s">
        <v>312</v>
      </c>
      <c r="C54" t="s">
        <v>435</v>
      </c>
      <c r="D54" t="s">
        <v>2</v>
      </c>
      <c r="E54" t="s">
        <v>435</v>
      </c>
      <c r="F54" t="s">
        <v>13</v>
      </c>
      <c r="G54" t="s">
        <v>525</v>
      </c>
    </row>
    <row r="55" spans="1:7" x14ac:dyDescent="0.3">
      <c r="A55">
        <v>0</v>
      </c>
      <c r="B55" t="s">
        <v>319</v>
      </c>
      <c r="C55" t="s">
        <v>456</v>
      </c>
      <c r="D55" t="s">
        <v>2</v>
      </c>
      <c r="E55" t="s">
        <v>456</v>
      </c>
      <c r="F55" t="s">
        <v>13</v>
      </c>
      <c r="G55" t="s">
        <v>525</v>
      </c>
    </row>
    <row r="56" spans="1:7" x14ac:dyDescent="0.3">
      <c r="A56">
        <v>0</v>
      </c>
      <c r="B56" t="s">
        <v>312</v>
      </c>
      <c r="C56" t="s">
        <v>474</v>
      </c>
      <c r="D56" t="s">
        <v>2</v>
      </c>
      <c r="E56" t="s">
        <v>474</v>
      </c>
      <c r="F56" t="s">
        <v>13</v>
      </c>
      <c r="G56" t="s">
        <v>525</v>
      </c>
    </row>
    <row r="57" spans="1:7" x14ac:dyDescent="0.3">
      <c r="A57">
        <v>0</v>
      </c>
      <c r="B57" t="s">
        <v>319</v>
      </c>
      <c r="C57" t="s">
        <v>318</v>
      </c>
      <c r="D57" t="s">
        <v>2</v>
      </c>
      <c r="E57" t="s">
        <v>318</v>
      </c>
      <c r="F57" t="s">
        <v>13</v>
      </c>
      <c r="G57" t="s">
        <v>525</v>
      </c>
    </row>
    <row r="58" spans="1:7" x14ac:dyDescent="0.3">
      <c r="A58">
        <v>0</v>
      </c>
      <c r="B58" t="s">
        <v>314</v>
      </c>
      <c r="C58" t="s">
        <v>475</v>
      </c>
      <c r="D58" t="s">
        <v>2</v>
      </c>
      <c r="E58" t="s">
        <v>475</v>
      </c>
      <c r="F58" t="s">
        <v>13</v>
      </c>
      <c r="G58" t="s">
        <v>525</v>
      </c>
    </row>
    <row r="59" spans="1:7" x14ac:dyDescent="0.3">
      <c r="A59">
        <v>0</v>
      </c>
      <c r="B59" t="s">
        <v>314</v>
      </c>
      <c r="C59" t="s">
        <v>449</v>
      </c>
      <c r="D59" t="s">
        <v>2</v>
      </c>
      <c r="E59" t="s">
        <v>449</v>
      </c>
      <c r="F59" t="s">
        <v>13</v>
      </c>
      <c r="G59" t="s">
        <v>525</v>
      </c>
    </row>
    <row r="60" spans="1:7" x14ac:dyDescent="0.3">
      <c r="A60">
        <v>0</v>
      </c>
      <c r="B60" t="s">
        <v>314</v>
      </c>
      <c r="C60" t="s">
        <v>176</v>
      </c>
      <c r="D60" t="s">
        <v>2</v>
      </c>
      <c r="E60" t="s">
        <v>176</v>
      </c>
      <c r="F60" t="s">
        <v>13</v>
      </c>
      <c r="G60" t="s">
        <v>525</v>
      </c>
    </row>
    <row r="61" spans="1:7" x14ac:dyDescent="0.3">
      <c r="A61">
        <v>0</v>
      </c>
      <c r="B61" t="s">
        <v>312</v>
      </c>
      <c r="C61" t="s">
        <v>388</v>
      </c>
      <c r="D61" t="s">
        <v>2</v>
      </c>
      <c r="E61" t="s">
        <v>388</v>
      </c>
      <c r="F61" t="s">
        <v>13</v>
      </c>
      <c r="G61" t="s">
        <v>525</v>
      </c>
    </row>
    <row r="62" spans="1:7" x14ac:dyDescent="0.3">
      <c r="A62">
        <v>0</v>
      </c>
      <c r="B62" t="s">
        <v>319</v>
      </c>
      <c r="C62" t="s">
        <v>429</v>
      </c>
      <c r="D62" t="s">
        <v>2</v>
      </c>
      <c r="E62" t="s">
        <v>429</v>
      </c>
      <c r="F62" t="s">
        <v>13</v>
      </c>
      <c r="G62" t="s">
        <v>525</v>
      </c>
    </row>
    <row r="63" spans="1:7" x14ac:dyDescent="0.3">
      <c r="A63">
        <v>0</v>
      </c>
      <c r="B63" t="s">
        <v>312</v>
      </c>
      <c r="C63" t="s">
        <v>272</v>
      </c>
      <c r="D63" t="s">
        <v>2</v>
      </c>
      <c r="E63" t="s">
        <v>272</v>
      </c>
      <c r="F63" t="s">
        <v>13</v>
      </c>
      <c r="G63" t="s">
        <v>525</v>
      </c>
    </row>
    <row r="64" spans="1:7" x14ac:dyDescent="0.3">
      <c r="A64">
        <v>0</v>
      </c>
      <c r="B64" t="s">
        <v>312</v>
      </c>
      <c r="C64" t="s">
        <v>410</v>
      </c>
      <c r="D64" t="s">
        <v>2</v>
      </c>
      <c r="E64" t="s">
        <v>410</v>
      </c>
      <c r="F64" t="s">
        <v>13</v>
      </c>
      <c r="G64" t="s">
        <v>525</v>
      </c>
    </row>
    <row r="65" spans="1:7" x14ac:dyDescent="0.3">
      <c r="A65">
        <v>0</v>
      </c>
      <c r="B65" t="s">
        <v>319</v>
      </c>
      <c r="C65" t="s">
        <v>363</v>
      </c>
      <c r="D65" t="s">
        <v>2</v>
      </c>
      <c r="E65" t="s">
        <v>363</v>
      </c>
      <c r="F65" t="s">
        <v>13</v>
      </c>
      <c r="G65" t="s">
        <v>525</v>
      </c>
    </row>
    <row r="66" spans="1:7" x14ac:dyDescent="0.3">
      <c r="A66">
        <v>0</v>
      </c>
      <c r="B66" t="s">
        <v>312</v>
      </c>
      <c r="C66" t="s">
        <v>382</v>
      </c>
      <c r="D66" t="s">
        <v>2</v>
      </c>
      <c r="E66" t="s">
        <v>382</v>
      </c>
      <c r="F66" t="s">
        <v>13</v>
      </c>
      <c r="G66" t="s">
        <v>525</v>
      </c>
    </row>
    <row r="67" spans="1:7" x14ac:dyDescent="0.3">
      <c r="A67">
        <v>0</v>
      </c>
      <c r="B67" t="s">
        <v>312</v>
      </c>
      <c r="C67" t="s">
        <v>424</v>
      </c>
      <c r="D67" t="s">
        <v>2</v>
      </c>
      <c r="E67" t="s">
        <v>424</v>
      </c>
      <c r="F67" t="s">
        <v>13</v>
      </c>
      <c r="G67" t="s">
        <v>525</v>
      </c>
    </row>
    <row r="68" spans="1:7" x14ac:dyDescent="0.3">
      <c r="A68">
        <v>0</v>
      </c>
      <c r="B68" t="s">
        <v>314</v>
      </c>
      <c r="C68" t="s">
        <v>351</v>
      </c>
      <c r="D68" t="s">
        <v>2</v>
      </c>
      <c r="E68" t="s">
        <v>351</v>
      </c>
      <c r="F68" t="s">
        <v>13</v>
      </c>
      <c r="G68" t="s">
        <v>525</v>
      </c>
    </row>
    <row r="69" spans="1:7" x14ac:dyDescent="0.3">
      <c r="A69">
        <v>0</v>
      </c>
      <c r="B69" t="s">
        <v>312</v>
      </c>
      <c r="C69" t="s">
        <v>347</v>
      </c>
      <c r="D69" t="s">
        <v>2</v>
      </c>
      <c r="E69" t="s">
        <v>347</v>
      </c>
      <c r="F69" t="s">
        <v>13</v>
      </c>
      <c r="G69" t="s">
        <v>525</v>
      </c>
    </row>
    <row r="70" spans="1:7" x14ac:dyDescent="0.3">
      <c r="A70">
        <v>0</v>
      </c>
      <c r="B70" t="s">
        <v>314</v>
      </c>
      <c r="C70" t="s">
        <v>453</v>
      </c>
      <c r="D70" t="s">
        <v>2</v>
      </c>
      <c r="E70" t="s">
        <v>453</v>
      </c>
      <c r="F70" t="s">
        <v>13</v>
      </c>
      <c r="G70" t="s">
        <v>525</v>
      </c>
    </row>
    <row r="71" spans="1:7" x14ac:dyDescent="0.3">
      <c r="A71">
        <v>0</v>
      </c>
      <c r="B71" t="s">
        <v>319</v>
      </c>
      <c r="C71" t="s">
        <v>457</v>
      </c>
      <c r="D71" t="s">
        <v>2</v>
      </c>
      <c r="E71" t="s">
        <v>457</v>
      </c>
      <c r="F71" t="s">
        <v>13</v>
      </c>
      <c r="G71" t="s">
        <v>525</v>
      </c>
    </row>
    <row r="72" spans="1:7" x14ac:dyDescent="0.3">
      <c r="A72">
        <v>0</v>
      </c>
      <c r="B72" t="s">
        <v>312</v>
      </c>
      <c r="C72" t="s">
        <v>485</v>
      </c>
      <c r="D72" t="s">
        <v>2</v>
      </c>
      <c r="E72" t="s">
        <v>485</v>
      </c>
      <c r="F72" t="s">
        <v>13</v>
      </c>
      <c r="G72" t="s">
        <v>525</v>
      </c>
    </row>
    <row r="73" spans="1:7" x14ac:dyDescent="0.3">
      <c r="A73">
        <v>0</v>
      </c>
      <c r="B73" t="s">
        <v>312</v>
      </c>
      <c r="C73" t="s">
        <v>355</v>
      </c>
      <c r="D73" t="s">
        <v>2</v>
      </c>
      <c r="E73" t="s">
        <v>355</v>
      </c>
      <c r="F73" t="s">
        <v>13</v>
      </c>
      <c r="G73" t="s">
        <v>525</v>
      </c>
    </row>
    <row r="74" spans="1:7" x14ac:dyDescent="0.3">
      <c r="A74">
        <v>0</v>
      </c>
      <c r="B74" t="s">
        <v>312</v>
      </c>
      <c r="C74" t="s">
        <v>338</v>
      </c>
      <c r="D74" t="s">
        <v>2</v>
      </c>
      <c r="E74" t="s">
        <v>338</v>
      </c>
      <c r="F74" t="s">
        <v>13</v>
      </c>
      <c r="G74" t="s">
        <v>525</v>
      </c>
    </row>
    <row r="75" spans="1:7" x14ac:dyDescent="0.3">
      <c r="A75">
        <v>0</v>
      </c>
      <c r="B75" t="s">
        <v>312</v>
      </c>
      <c r="C75" t="s">
        <v>394</v>
      </c>
      <c r="D75" t="s">
        <v>2</v>
      </c>
      <c r="E75" t="s">
        <v>394</v>
      </c>
      <c r="F75" t="s">
        <v>13</v>
      </c>
      <c r="G75" t="s">
        <v>525</v>
      </c>
    </row>
    <row r="76" spans="1:7" x14ac:dyDescent="0.3">
      <c r="A76">
        <v>0</v>
      </c>
      <c r="B76" t="s">
        <v>312</v>
      </c>
      <c r="C76" t="s">
        <v>438</v>
      </c>
      <c r="D76" t="s">
        <v>2</v>
      </c>
      <c r="E76" t="s">
        <v>438</v>
      </c>
      <c r="F76" t="s">
        <v>13</v>
      </c>
      <c r="G76" t="s">
        <v>525</v>
      </c>
    </row>
    <row r="77" spans="1:7" x14ac:dyDescent="0.3">
      <c r="A77">
        <v>0</v>
      </c>
      <c r="B77" t="s">
        <v>312</v>
      </c>
      <c r="C77" t="s">
        <v>486</v>
      </c>
      <c r="D77" t="s">
        <v>2</v>
      </c>
      <c r="E77" t="s">
        <v>486</v>
      </c>
      <c r="F77" t="s">
        <v>13</v>
      </c>
      <c r="G77" t="s">
        <v>525</v>
      </c>
    </row>
    <row r="78" spans="1:7" x14ac:dyDescent="0.3">
      <c r="A78">
        <v>0</v>
      </c>
      <c r="B78" t="s">
        <v>319</v>
      </c>
      <c r="C78" t="s">
        <v>419</v>
      </c>
      <c r="D78" t="s">
        <v>2</v>
      </c>
      <c r="E78" t="s">
        <v>419</v>
      </c>
      <c r="F78" t="s">
        <v>13</v>
      </c>
      <c r="G78" t="s">
        <v>525</v>
      </c>
    </row>
    <row r="79" spans="1:7" x14ac:dyDescent="0.3">
      <c r="A79">
        <v>0</v>
      </c>
      <c r="B79" t="s">
        <v>57</v>
      </c>
      <c r="C79" t="s">
        <v>353</v>
      </c>
      <c r="D79" t="s">
        <v>2</v>
      </c>
      <c r="E79" t="s">
        <v>353</v>
      </c>
      <c r="F79" t="s">
        <v>13</v>
      </c>
      <c r="G79" t="s">
        <v>525</v>
      </c>
    </row>
    <row r="80" spans="1:7" x14ac:dyDescent="0.3">
      <c r="A80">
        <v>0</v>
      </c>
      <c r="B80" t="s">
        <v>319</v>
      </c>
      <c r="C80" t="s">
        <v>489</v>
      </c>
      <c r="D80" t="s">
        <v>2</v>
      </c>
      <c r="E80" t="s">
        <v>489</v>
      </c>
      <c r="F80" t="s">
        <v>13</v>
      </c>
      <c r="G80" t="s">
        <v>525</v>
      </c>
    </row>
    <row r="81" spans="1:7" x14ac:dyDescent="0.3">
      <c r="A81">
        <v>0</v>
      </c>
      <c r="B81" t="s">
        <v>312</v>
      </c>
      <c r="C81" t="s">
        <v>386</v>
      </c>
      <c r="D81" t="s">
        <v>2</v>
      </c>
      <c r="E81" t="s">
        <v>386</v>
      </c>
      <c r="F81" t="s">
        <v>13</v>
      </c>
      <c r="G81" t="s">
        <v>525</v>
      </c>
    </row>
    <row r="82" spans="1:7" x14ac:dyDescent="0.3">
      <c r="A82">
        <v>0</v>
      </c>
      <c r="B82" t="s">
        <v>319</v>
      </c>
      <c r="C82" t="s">
        <v>389</v>
      </c>
      <c r="D82" t="s">
        <v>2</v>
      </c>
      <c r="E82" t="s">
        <v>389</v>
      </c>
      <c r="F82" t="s">
        <v>13</v>
      </c>
      <c r="G82" t="s">
        <v>525</v>
      </c>
    </row>
    <row r="83" spans="1:7" x14ac:dyDescent="0.3">
      <c r="A83">
        <v>0</v>
      </c>
      <c r="B83" t="s">
        <v>312</v>
      </c>
      <c r="C83" t="s">
        <v>340</v>
      </c>
      <c r="D83" t="s">
        <v>2</v>
      </c>
      <c r="E83" t="s">
        <v>340</v>
      </c>
      <c r="F83" t="s">
        <v>13</v>
      </c>
      <c r="G83" t="s">
        <v>525</v>
      </c>
    </row>
    <row r="84" spans="1:7" x14ac:dyDescent="0.3">
      <c r="A84">
        <v>0</v>
      </c>
      <c r="B84" t="s">
        <v>312</v>
      </c>
      <c r="C84" t="s">
        <v>368</v>
      </c>
      <c r="D84" t="s">
        <v>2</v>
      </c>
      <c r="E84" t="s">
        <v>368</v>
      </c>
      <c r="F84" t="s">
        <v>13</v>
      </c>
      <c r="G84" t="s">
        <v>525</v>
      </c>
    </row>
    <row r="85" spans="1:7" x14ac:dyDescent="0.3">
      <c r="A85">
        <v>0</v>
      </c>
      <c r="B85" t="s">
        <v>312</v>
      </c>
      <c r="C85" t="s">
        <v>328</v>
      </c>
      <c r="D85" t="s">
        <v>2</v>
      </c>
      <c r="E85" t="s">
        <v>328</v>
      </c>
      <c r="F85" t="s">
        <v>13</v>
      </c>
      <c r="G85" t="s">
        <v>525</v>
      </c>
    </row>
    <row r="86" spans="1:7" x14ac:dyDescent="0.3">
      <c r="A86">
        <v>0</v>
      </c>
      <c r="B86" t="s">
        <v>312</v>
      </c>
      <c r="C86" t="s">
        <v>479</v>
      </c>
      <c r="D86" t="s">
        <v>2</v>
      </c>
      <c r="E86" t="s">
        <v>479</v>
      </c>
      <c r="F86" t="s">
        <v>13</v>
      </c>
      <c r="G86" t="s">
        <v>525</v>
      </c>
    </row>
    <row r="87" spans="1:7" x14ac:dyDescent="0.3">
      <c r="A87">
        <v>0</v>
      </c>
      <c r="B87" t="s">
        <v>57</v>
      </c>
      <c r="C87" t="s">
        <v>116</v>
      </c>
      <c r="D87" t="s">
        <v>2</v>
      </c>
      <c r="E87" t="s">
        <v>116</v>
      </c>
      <c r="F87" t="s">
        <v>13</v>
      </c>
      <c r="G87" t="s">
        <v>525</v>
      </c>
    </row>
    <row r="88" spans="1:7" x14ac:dyDescent="0.3">
      <c r="A88">
        <v>0</v>
      </c>
      <c r="B88" t="s">
        <v>312</v>
      </c>
      <c r="C88" t="s">
        <v>352</v>
      </c>
      <c r="D88" t="s">
        <v>2</v>
      </c>
      <c r="E88" t="s">
        <v>352</v>
      </c>
      <c r="F88" t="s">
        <v>13</v>
      </c>
      <c r="G88" t="s">
        <v>525</v>
      </c>
    </row>
    <row r="89" spans="1:7" x14ac:dyDescent="0.3">
      <c r="A89">
        <v>0</v>
      </c>
      <c r="B89" t="s">
        <v>312</v>
      </c>
      <c r="C89" t="s">
        <v>417</v>
      </c>
      <c r="D89" t="s">
        <v>2</v>
      </c>
      <c r="E89" t="s">
        <v>417</v>
      </c>
      <c r="F89" t="s">
        <v>13</v>
      </c>
      <c r="G89" t="s">
        <v>525</v>
      </c>
    </row>
    <row r="90" spans="1:7" x14ac:dyDescent="0.3">
      <c r="A90">
        <v>0</v>
      </c>
      <c r="B90" t="s">
        <v>312</v>
      </c>
      <c r="C90" t="s">
        <v>447</v>
      </c>
      <c r="D90" t="s">
        <v>2</v>
      </c>
      <c r="E90" t="s">
        <v>447</v>
      </c>
      <c r="F90" t="s">
        <v>13</v>
      </c>
      <c r="G90" t="s">
        <v>525</v>
      </c>
    </row>
    <row r="91" spans="1:7" x14ac:dyDescent="0.3">
      <c r="A91">
        <v>0</v>
      </c>
      <c r="B91" t="s">
        <v>319</v>
      </c>
      <c r="C91" t="s">
        <v>329</v>
      </c>
      <c r="D91" t="s">
        <v>2</v>
      </c>
      <c r="E91" t="s">
        <v>329</v>
      </c>
      <c r="F91" t="s">
        <v>13</v>
      </c>
      <c r="G91" t="s">
        <v>525</v>
      </c>
    </row>
    <row r="92" spans="1:7" x14ac:dyDescent="0.3">
      <c r="A92">
        <v>0</v>
      </c>
      <c r="B92" t="s">
        <v>312</v>
      </c>
      <c r="C92" t="s">
        <v>252</v>
      </c>
      <c r="D92" t="s">
        <v>2</v>
      </c>
      <c r="E92" t="s">
        <v>252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317</v>
      </c>
      <c r="D93" t="s">
        <v>2</v>
      </c>
      <c r="E93" t="s">
        <v>317</v>
      </c>
      <c r="F93" t="s">
        <v>13</v>
      </c>
      <c r="G93" t="s">
        <v>525</v>
      </c>
    </row>
    <row r="94" spans="1:7" x14ac:dyDescent="0.3">
      <c r="A94">
        <v>0</v>
      </c>
      <c r="B94" t="s">
        <v>312</v>
      </c>
      <c r="C94" t="s">
        <v>436</v>
      </c>
      <c r="D94" t="s">
        <v>2</v>
      </c>
      <c r="E94" t="s">
        <v>436</v>
      </c>
      <c r="F94" t="s">
        <v>13</v>
      </c>
      <c r="G94" t="s">
        <v>525</v>
      </c>
    </row>
    <row r="95" spans="1:7" x14ac:dyDescent="0.3">
      <c r="A95">
        <v>0</v>
      </c>
      <c r="B95" t="s">
        <v>319</v>
      </c>
      <c r="C95" t="s">
        <v>490</v>
      </c>
      <c r="D95" t="s">
        <v>2</v>
      </c>
      <c r="E95" t="s">
        <v>490</v>
      </c>
      <c r="F95" t="s">
        <v>13</v>
      </c>
      <c r="G95" t="s">
        <v>525</v>
      </c>
    </row>
    <row r="96" spans="1:7" x14ac:dyDescent="0.3">
      <c r="A96">
        <v>0</v>
      </c>
      <c r="B96" t="s">
        <v>312</v>
      </c>
      <c r="C96" t="s">
        <v>391</v>
      </c>
      <c r="D96" t="s">
        <v>2</v>
      </c>
      <c r="E96" t="s">
        <v>391</v>
      </c>
      <c r="F96" t="s">
        <v>13</v>
      </c>
      <c r="G96" t="s">
        <v>525</v>
      </c>
    </row>
    <row r="97" spans="1:7" x14ac:dyDescent="0.3">
      <c r="A97">
        <v>0</v>
      </c>
      <c r="B97" t="s">
        <v>312</v>
      </c>
      <c r="C97" t="s">
        <v>235</v>
      </c>
      <c r="D97" t="s">
        <v>2</v>
      </c>
      <c r="E97" t="s">
        <v>235</v>
      </c>
      <c r="F97" t="s">
        <v>13</v>
      </c>
      <c r="G97" t="s">
        <v>525</v>
      </c>
    </row>
    <row r="98" spans="1:7" x14ac:dyDescent="0.3">
      <c r="A98">
        <v>0</v>
      </c>
      <c r="B98" t="s">
        <v>312</v>
      </c>
      <c r="C98" t="s">
        <v>493</v>
      </c>
      <c r="D98" t="s">
        <v>2</v>
      </c>
      <c r="E98" t="s">
        <v>493</v>
      </c>
      <c r="F98" t="s">
        <v>13</v>
      </c>
      <c r="G98" t="s">
        <v>525</v>
      </c>
    </row>
    <row r="99" spans="1:7" x14ac:dyDescent="0.3">
      <c r="A99">
        <v>0</v>
      </c>
      <c r="B99" t="s">
        <v>312</v>
      </c>
      <c r="C99" t="s">
        <v>335</v>
      </c>
      <c r="D99" t="s">
        <v>2</v>
      </c>
      <c r="E99" t="s">
        <v>335</v>
      </c>
      <c r="F99" t="s">
        <v>13</v>
      </c>
      <c r="G99" t="s">
        <v>525</v>
      </c>
    </row>
    <row r="100" spans="1:7" x14ac:dyDescent="0.3">
      <c r="A100">
        <v>0</v>
      </c>
      <c r="B100" t="s">
        <v>312</v>
      </c>
      <c r="C100" t="s">
        <v>354</v>
      </c>
      <c r="D100" t="s">
        <v>2</v>
      </c>
      <c r="E100" t="s">
        <v>354</v>
      </c>
      <c r="F100" t="s">
        <v>13</v>
      </c>
      <c r="G100" t="s">
        <v>525</v>
      </c>
    </row>
    <row r="101" spans="1:7" x14ac:dyDescent="0.3">
      <c r="A101">
        <v>0</v>
      </c>
      <c r="B101" t="s">
        <v>319</v>
      </c>
      <c r="C101" t="s">
        <v>360</v>
      </c>
      <c r="D101" t="s">
        <v>2</v>
      </c>
      <c r="E101" t="s">
        <v>360</v>
      </c>
      <c r="F101" t="s">
        <v>13</v>
      </c>
      <c r="G101" t="s">
        <v>525</v>
      </c>
    </row>
    <row r="102" spans="1:7" x14ac:dyDescent="0.3">
      <c r="A102">
        <v>0</v>
      </c>
      <c r="B102" t="s">
        <v>314</v>
      </c>
      <c r="C102" t="s">
        <v>356</v>
      </c>
      <c r="D102" t="s">
        <v>2</v>
      </c>
      <c r="E102" t="s">
        <v>356</v>
      </c>
      <c r="F102" t="s">
        <v>13</v>
      </c>
      <c r="G102" t="s">
        <v>525</v>
      </c>
    </row>
    <row r="103" spans="1:7" x14ac:dyDescent="0.3">
      <c r="A103">
        <v>0</v>
      </c>
      <c r="B103" t="s">
        <v>312</v>
      </c>
      <c r="C103" t="s">
        <v>405</v>
      </c>
      <c r="D103" t="s">
        <v>2</v>
      </c>
      <c r="E103" t="s">
        <v>405</v>
      </c>
      <c r="F103" t="s">
        <v>13</v>
      </c>
      <c r="G103" t="s">
        <v>525</v>
      </c>
    </row>
    <row r="104" spans="1:7" x14ac:dyDescent="0.3">
      <c r="A104">
        <v>0</v>
      </c>
      <c r="B104" t="s">
        <v>312</v>
      </c>
      <c r="C104" t="s">
        <v>471</v>
      </c>
      <c r="D104" t="s">
        <v>2</v>
      </c>
      <c r="E104" t="s">
        <v>471</v>
      </c>
      <c r="F104" t="s">
        <v>13</v>
      </c>
      <c r="G104" t="s">
        <v>525</v>
      </c>
    </row>
    <row r="105" spans="1:7" x14ac:dyDescent="0.3">
      <c r="A105">
        <v>0</v>
      </c>
      <c r="B105" t="s">
        <v>319</v>
      </c>
      <c r="C105" t="s">
        <v>421</v>
      </c>
      <c r="D105" t="s">
        <v>2</v>
      </c>
      <c r="E105" t="s">
        <v>421</v>
      </c>
      <c r="F105" t="s">
        <v>13</v>
      </c>
      <c r="G105" t="s">
        <v>525</v>
      </c>
    </row>
    <row r="106" spans="1:7" x14ac:dyDescent="0.3">
      <c r="A106">
        <v>0</v>
      </c>
      <c r="B106" t="s">
        <v>312</v>
      </c>
      <c r="C106" t="s">
        <v>321</v>
      </c>
      <c r="D106" t="s">
        <v>2</v>
      </c>
      <c r="E106" t="s">
        <v>321</v>
      </c>
      <c r="F106" t="s">
        <v>13</v>
      </c>
      <c r="G106" t="s">
        <v>525</v>
      </c>
    </row>
    <row r="107" spans="1:7" x14ac:dyDescent="0.3">
      <c r="A107">
        <v>0</v>
      </c>
      <c r="B107" t="s">
        <v>105</v>
      </c>
      <c r="C107" t="s">
        <v>113</v>
      </c>
      <c r="D107" t="s">
        <v>2</v>
      </c>
      <c r="E107" t="s">
        <v>113</v>
      </c>
      <c r="F107" t="s">
        <v>13</v>
      </c>
      <c r="G107" t="s">
        <v>525</v>
      </c>
    </row>
    <row r="108" spans="1:7" x14ac:dyDescent="0.3">
      <c r="A108">
        <v>0</v>
      </c>
      <c r="B108" t="s">
        <v>312</v>
      </c>
      <c r="C108" t="s">
        <v>348</v>
      </c>
      <c r="D108" t="s">
        <v>2</v>
      </c>
      <c r="E108" t="s">
        <v>348</v>
      </c>
      <c r="F108" t="s">
        <v>13</v>
      </c>
      <c r="G108" t="s">
        <v>525</v>
      </c>
    </row>
    <row r="109" spans="1:7" x14ac:dyDescent="0.3">
      <c r="A109">
        <v>0</v>
      </c>
      <c r="B109" t="s">
        <v>105</v>
      </c>
      <c r="C109" t="s">
        <v>469</v>
      </c>
      <c r="D109" t="s">
        <v>2</v>
      </c>
      <c r="E109" t="s">
        <v>469</v>
      </c>
      <c r="F109" t="s">
        <v>13</v>
      </c>
      <c r="G109" t="s">
        <v>525</v>
      </c>
    </row>
    <row r="110" spans="1:7" x14ac:dyDescent="0.3">
      <c r="A110">
        <v>0</v>
      </c>
      <c r="B110" t="s">
        <v>314</v>
      </c>
      <c r="C110" t="s">
        <v>481</v>
      </c>
      <c r="D110" t="s">
        <v>2</v>
      </c>
      <c r="E110" t="s">
        <v>481</v>
      </c>
      <c r="F110" t="s">
        <v>13</v>
      </c>
      <c r="G110" t="s">
        <v>525</v>
      </c>
    </row>
    <row r="111" spans="1:7" x14ac:dyDescent="0.3">
      <c r="A111">
        <v>0</v>
      </c>
      <c r="B111" t="s">
        <v>312</v>
      </c>
      <c r="C111" t="s">
        <v>398</v>
      </c>
      <c r="D111" t="s">
        <v>2</v>
      </c>
      <c r="E111" t="s">
        <v>398</v>
      </c>
      <c r="F111" t="s">
        <v>13</v>
      </c>
      <c r="G111" t="s">
        <v>525</v>
      </c>
    </row>
    <row r="112" spans="1:7" x14ac:dyDescent="0.3">
      <c r="A112">
        <v>0</v>
      </c>
      <c r="B112" t="s">
        <v>314</v>
      </c>
      <c r="C112" t="s">
        <v>342</v>
      </c>
      <c r="D112" t="s">
        <v>2</v>
      </c>
      <c r="E112" t="s">
        <v>342</v>
      </c>
      <c r="F112" t="s">
        <v>13</v>
      </c>
      <c r="G112" t="s">
        <v>525</v>
      </c>
    </row>
    <row r="113" spans="1:7" x14ac:dyDescent="0.3">
      <c r="A113">
        <v>0</v>
      </c>
      <c r="B113" t="s">
        <v>312</v>
      </c>
      <c r="C113" t="s">
        <v>322</v>
      </c>
      <c r="D113" t="s">
        <v>2</v>
      </c>
      <c r="E113" t="s">
        <v>322</v>
      </c>
      <c r="F113" t="s">
        <v>13</v>
      </c>
      <c r="G113" t="s">
        <v>525</v>
      </c>
    </row>
    <row r="114" spans="1:7" x14ac:dyDescent="0.3">
      <c r="A114">
        <v>0</v>
      </c>
      <c r="B114" t="s">
        <v>314</v>
      </c>
      <c r="C114" t="s">
        <v>409</v>
      </c>
      <c r="D114" t="s">
        <v>2</v>
      </c>
      <c r="E114" t="s">
        <v>409</v>
      </c>
      <c r="F114" t="s">
        <v>13</v>
      </c>
      <c r="G114" t="s">
        <v>525</v>
      </c>
    </row>
    <row r="115" spans="1:7" x14ac:dyDescent="0.3">
      <c r="A115">
        <v>0</v>
      </c>
      <c r="B115" t="s">
        <v>314</v>
      </c>
      <c r="C115" t="s">
        <v>480</v>
      </c>
      <c r="D115" t="s">
        <v>2</v>
      </c>
      <c r="E115" t="s">
        <v>480</v>
      </c>
      <c r="F115" t="s">
        <v>13</v>
      </c>
      <c r="G115" t="s">
        <v>525</v>
      </c>
    </row>
    <row r="116" spans="1:7" x14ac:dyDescent="0.3">
      <c r="A116">
        <v>0</v>
      </c>
      <c r="B116" t="s">
        <v>105</v>
      </c>
      <c r="C116" t="s">
        <v>121</v>
      </c>
      <c r="D116" t="s">
        <v>2</v>
      </c>
      <c r="E116" t="s">
        <v>121</v>
      </c>
      <c r="F116" t="s">
        <v>13</v>
      </c>
      <c r="G116" t="s">
        <v>525</v>
      </c>
    </row>
    <row r="117" spans="1:7" x14ac:dyDescent="0.3">
      <c r="A117">
        <v>0</v>
      </c>
      <c r="B117" t="s">
        <v>312</v>
      </c>
      <c r="C117" t="s">
        <v>359</v>
      </c>
      <c r="D117" t="s">
        <v>2</v>
      </c>
      <c r="E117" t="s">
        <v>359</v>
      </c>
      <c r="F117" t="s">
        <v>13</v>
      </c>
      <c r="G117" t="s">
        <v>525</v>
      </c>
    </row>
    <row r="118" spans="1:7" x14ac:dyDescent="0.3">
      <c r="A118">
        <v>0</v>
      </c>
      <c r="B118" t="s">
        <v>319</v>
      </c>
      <c r="C118" t="s">
        <v>468</v>
      </c>
      <c r="D118" t="s">
        <v>2</v>
      </c>
      <c r="E118" t="s">
        <v>468</v>
      </c>
      <c r="F118" t="s">
        <v>13</v>
      </c>
      <c r="G118" t="s">
        <v>525</v>
      </c>
    </row>
    <row r="119" spans="1:7" x14ac:dyDescent="0.3">
      <c r="A119">
        <v>0</v>
      </c>
      <c r="B119" t="s">
        <v>319</v>
      </c>
      <c r="C119" t="s">
        <v>458</v>
      </c>
      <c r="D119" t="s">
        <v>2</v>
      </c>
      <c r="E119" t="s">
        <v>458</v>
      </c>
      <c r="F119" t="s">
        <v>13</v>
      </c>
      <c r="G119" t="s">
        <v>525</v>
      </c>
    </row>
    <row r="120" spans="1:7" x14ac:dyDescent="0.3">
      <c r="A120">
        <v>0</v>
      </c>
      <c r="B120" t="s">
        <v>312</v>
      </c>
      <c r="C120" t="s">
        <v>370</v>
      </c>
      <c r="D120" t="s">
        <v>2</v>
      </c>
      <c r="E120" t="s">
        <v>370</v>
      </c>
      <c r="F120" t="s">
        <v>13</v>
      </c>
      <c r="G120" t="s">
        <v>525</v>
      </c>
    </row>
    <row r="121" spans="1:7" x14ac:dyDescent="0.3">
      <c r="A121">
        <v>0</v>
      </c>
      <c r="B121" t="s">
        <v>57</v>
      </c>
      <c r="C121" t="s">
        <v>114</v>
      </c>
      <c r="D121" t="s">
        <v>2</v>
      </c>
      <c r="E121" t="s">
        <v>114</v>
      </c>
      <c r="F121" t="s">
        <v>13</v>
      </c>
      <c r="G121" t="s">
        <v>525</v>
      </c>
    </row>
    <row r="122" spans="1:7" x14ac:dyDescent="0.3">
      <c r="A122">
        <v>0</v>
      </c>
      <c r="B122" t="s">
        <v>319</v>
      </c>
      <c r="C122" t="s">
        <v>404</v>
      </c>
      <c r="D122" t="s">
        <v>2</v>
      </c>
      <c r="E122" t="s">
        <v>404</v>
      </c>
      <c r="F122" t="s">
        <v>13</v>
      </c>
      <c r="G122" t="s">
        <v>525</v>
      </c>
    </row>
    <row r="123" spans="1:7" x14ac:dyDescent="0.3">
      <c r="A123">
        <v>0</v>
      </c>
      <c r="B123" t="s">
        <v>312</v>
      </c>
      <c r="C123" t="s">
        <v>369</v>
      </c>
      <c r="D123" t="s">
        <v>2</v>
      </c>
      <c r="E123" t="s">
        <v>369</v>
      </c>
      <c r="F123" t="s">
        <v>13</v>
      </c>
      <c r="G123" t="s">
        <v>525</v>
      </c>
    </row>
    <row r="124" spans="1:7" x14ac:dyDescent="0.3">
      <c r="A124">
        <v>0</v>
      </c>
      <c r="B124" t="s">
        <v>57</v>
      </c>
      <c r="C124" t="s">
        <v>122</v>
      </c>
      <c r="D124" t="s">
        <v>2</v>
      </c>
      <c r="E124" t="s">
        <v>122</v>
      </c>
      <c r="F124" t="s">
        <v>13</v>
      </c>
      <c r="G124" t="s">
        <v>525</v>
      </c>
    </row>
    <row r="125" spans="1:7" x14ac:dyDescent="0.3">
      <c r="A125">
        <v>0</v>
      </c>
      <c r="B125" t="s">
        <v>319</v>
      </c>
      <c r="C125" t="s">
        <v>390</v>
      </c>
      <c r="D125" t="s">
        <v>2</v>
      </c>
      <c r="E125" t="s">
        <v>390</v>
      </c>
      <c r="F125" t="s">
        <v>13</v>
      </c>
      <c r="G125" t="s">
        <v>525</v>
      </c>
    </row>
    <row r="126" spans="1:7" x14ac:dyDescent="0.3">
      <c r="A126">
        <v>0</v>
      </c>
      <c r="B126" t="s">
        <v>312</v>
      </c>
      <c r="C126" t="s">
        <v>492</v>
      </c>
      <c r="D126" t="s">
        <v>2</v>
      </c>
      <c r="E126" t="s">
        <v>492</v>
      </c>
      <c r="F126" t="s">
        <v>13</v>
      </c>
      <c r="G126" t="s">
        <v>525</v>
      </c>
    </row>
    <row r="127" spans="1:7" x14ac:dyDescent="0.3">
      <c r="A127">
        <v>0</v>
      </c>
      <c r="B127" t="s">
        <v>312</v>
      </c>
      <c r="C127" t="s">
        <v>345</v>
      </c>
      <c r="D127" t="s">
        <v>2</v>
      </c>
      <c r="E127" t="s">
        <v>345</v>
      </c>
      <c r="F127" t="s">
        <v>13</v>
      </c>
      <c r="G127" t="s">
        <v>525</v>
      </c>
    </row>
    <row r="128" spans="1:7" x14ac:dyDescent="0.3">
      <c r="A128">
        <v>0</v>
      </c>
      <c r="B128" t="s">
        <v>314</v>
      </c>
      <c r="C128" t="s">
        <v>374</v>
      </c>
      <c r="D128" t="s">
        <v>2</v>
      </c>
      <c r="E128" t="s">
        <v>374</v>
      </c>
      <c r="F128" t="s">
        <v>13</v>
      </c>
      <c r="G128" t="s">
        <v>525</v>
      </c>
    </row>
    <row r="129" spans="1:7" x14ac:dyDescent="0.3">
      <c r="A129">
        <v>0</v>
      </c>
      <c r="B129" t="s">
        <v>105</v>
      </c>
      <c r="C129" t="s">
        <v>124</v>
      </c>
      <c r="D129" t="s">
        <v>2</v>
      </c>
      <c r="E129" t="s">
        <v>124</v>
      </c>
      <c r="F129" t="s">
        <v>13</v>
      </c>
      <c r="G129" t="s">
        <v>525</v>
      </c>
    </row>
    <row r="130" spans="1:7" x14ac:dyDescent="0.3">
      <c r="A130">
        <v>0</v>
      </c>
      <c r="B130" t="s">
        <v>312</v>
      </c>
      <c r="C130" t="s">
        <v>440</v>
      </c>
      <c r="D130" t="s">
        <v>2</v>
      </c>
      <c r="E130" t="s">
        <v>440</v>
      </c>
      <c r="F130" t="s">
        <v>13</v>
      </c>
      <c r="G130" t="s">
        <v>525</v>
      </c>
    </row>
    <row r="131" spans="1:7" x14ac:dyDescent="0.3">
      <c r="A131">
        <v>0</v>
      </c>
      <c r="B131" t="s">
        <v>312</v>
      </c>
      <c r="C131" t="s">
        <v>316</v>
      </c>
      <c r="D131" t="s">
        <v>2</v>
      </c>
      <c r="E131" t="s">
        <v>316</v>
      </c>
      <c r="F131" t="s">
        <v>13</v>
      </c>
      <c r="G131" t="s">
        <v>525</v>
      </c>
    </row>
    <row r="132" spans="1:7" x14ac:dyDescent="0.3">
      <c r="A132">
        <v>0</v>
      </c>
      <c r="B132" t="s">
        <v>312</v>
      </c>
      <c r="C132" t="s">
        <v>427</v>
      </c>
      <c r="D132" t="s">
        <v>2</v>
      </c>
      <c r="E132" t="s">
        <v>427</v>
      </c>
      <c r="F132" t="s">
        <v>13</v>
      </c>
      <c r="G132" t="s">
        <v>525</v>
      </c>
    </row>
    <row r="133" spans="1:7" x14ac:dyDescent="0.3">
      <c r="A133">
        <v>0</v>
      </c>
      <c r="B133" t="s">
        <v>312</v>
      </c>
      <c r="C133" t="s">
        <v>332</v>
      </c>
      <c r="D133" t="s">
        <v>2</v>
      </c>
      <c r="E133" t="s">
        <v>332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336</v>
      </c>
      <c r="D134" t="s">
        <v>2</v>
      </c>
      <c r="E134" t="s">
        <v>336</v>
      </c>
      <c r="F134" t="s">
        <v>13</v>
      </c>
      <c r="G134" t="s">
        <v>525</v>
      </c>
    </row>
    <row r="135" spans="1:7" x14ac:dyDescent="0.3">
      <c r="A135">
        <v>0</v>
      </c>
      <c r="B135" t="s">
        <v>314</v>
      </c>
      <c r="C135" t="s">
        <v>393</v>
      </c>
      <c r="D135" t="s">
        <v>2</v>
      </c>
      <c r="E135" t="s">
        <v>393</v>
      </c>
      <c r="F135" t="s">
        <v>13</v>
      </c>
      <c r="G135" t="s">
        <v>525</v>
      </c>
    </row>
    <row r="136" spans="1:7" x14ac:dyDescent="0.3">
      <c r="A136">
        <v>0</v>
      </c>
      <c r="B136" t="s">
        <v>312</v>
      </c>
      <c r="C136" t="s">
        <v>339</v>
      </c>
      <c r="D136" t="s">
        <v>2</v>
      </c>
      <c r="E136" t="s">
        <v>339</v>
      </c>
      <c r="F136" t="s">
        <v>13</v>
      </c>
      <c r="G136" t="s">
        <v>525</v>
      </c>
    </row>
    <row r="137" spans="1:7" x14ac:dyDescent="0.3">
      <c r="A137">
        <v>0</v>
      </c>
      <c r="B137" t="s">
        <v>312</v>
      </c>
      <c r="C137" t="s">
        <v>400</v>
      </c>
      <c r="D137" t="s">
        <v>2</v>
      </c>
      <c r="E137" t="s">
        <v>400</v>
      </c>
      <c r="F137" t="s">
        <v>13</v>
      </c>
      <c r="G137" t="s">
        <v>525</v>
      </c>
    </row>
    <row r="138" spans="1:7" x14ac:dyDescent="0.3">
      <c r="A138">
        <v>0</v>
      </c>
      <c r="B138" t="s">
        <v>312</v>
      </c>
      <c r="C138" t="s">
        <v>380</v>
      </c>
      <c r="D138" t="s">
        <v>2</v>
      </c>
      <c r="E138" t="s">
        <v>380</v>
      </c>
      <c r="F138" t="s">
        <v>13</v>
      </c>
      <c r="G138" t="s">
        <v>525</v>
      </c>
    </row>
    <row r="139" spans="1:7" x14ac:dyDescent="0.3">
      <c r="A139">
        <v>0</v>
      </c>
      <c r="B139" t="s">
        <v>312</v>
      </c>
      <c r="C139" t="s">
        <v>442</v>
      </c>
      <c r="D139" t="s">
        <v>2</v>
      </c>
      <c r="E139" t="s">
        <v>442</v>
      </c>
      <c r="F139" t="s">
        <v>13</v>
      </c>
      <c r="G139" t="s">
        <v>525</v>
      </c>
    </row>
    <row r="140" spans="1:7" x14ac:dyDescent="0.3">
      <c r="A140">
        <v>0</v>
      </c>
      <c r="B140" t="s">
        <v>314</v>
      </c>
      <c r="C140" t="s">
        <v>349</v>
      </c>
      <c r="D140" t="s">
        <v>2</v>
      </c>
      <c r="E140" t="s">
        <v>349</v>
      </c>
      <c r="F140" t="s">
        <v>13</v>
      </c>
      <c r="G140" t="s">
        <v>525</v>
      </c>
    </row>
    <row r="141" spans="1:7" x14ac:dyDescent="0.3">
      <c r="A141">
        <v>0</v>
      </c>
      <c r="B141" t="s">
        <v>57</v>
      </c>
      <c r="C141" t="s">
        <v>470</v>
      </c>
      <c r="D141" t="s">
        <v>2</v>
      </c>
      <c r="E141" t="s">
        <v>470</v>
      </c>
      <c r="F141" t="s">
        <v>13</v>
      </c>
      <c r="G141" t="s">
        <v>525</v>
      </c>
    </row>
    <row r="142" spans="1:7" x14ac:dyDescent="0.3">
      <c r="A142">
        <v>0</v>
      </c>
      <c r="B142" t="s">
        <v>319</v>
      </c>
      <c r="C142" t="s">
        <v>463</v>
      </c>
      <c r="D142" t="s">
        <v>2</v>
      </c>
      <c r="E142" t="s">
        <v>463</v>
      </c>
      <c r="F142" t="s">
        <v>13</v>
      </c>
      <c r="G142" t="s">
        <v>525</v>
      </c>
    </row>
    <row r="143" spans="1:7" x14ac:dyDescent="0.3">
      <c r="A143">
        <v>0</v>
      </c>
      <c r="B143" t="s">
        <v>314</v>
      </c>
      <c r="C143" t="s">
        <v>343</v>
      </c>
      <c r="D143" t="s">
        <v>2</v>
      </c>
      <c r="E143" t="s">
        <v>343</v>
      </c>
      <c r="F143" t="s">
        <v>13</v>
      </c>
      <c r="G143" t="s">
        <v>525</v>
      </c>
    </row>
    <row r="144" spans="1:7" x14ac:dyDescent="0.3">
      <c r="A144">
        <v>0</v>
      </c>
      <c r="B144" t="s">
        <v>312</v>
      </c>
      <c r="C144" t="s">
        <v>371</v>
      </c>
      <c r="D144" t="s">
        <v>2</v>
      </c>
      <c r="E144" t="s">
        <v>371</v>
      </c>
      <c r="F144" t="s">
        <v>13</v>
      </c>
      <c r="G144" t="s">
        <v>525</v>
      </c>
    </row>
    <row r="145" spans="1:7" x14ac:dyDescent="0.3">
      <c r="A145">
        <v>0</v>
      </c>
      <c r="B145" t="s">
        <v>312</v>
      </c>
      <c r="C145" t="s">
        <v>366</v>
      </c>
      <c r="D145" t="s">
        <v>2</v>
      </c>
      <c r="E145" t="s">
        <v>366</v>
      </c>
      <c r="F145" t="s">
        <v>13</v>
      </c>
      <c r="G145" t="s">
        <v>525</v>
      </c>
    </row>
    <row r="146" spans="1:7" x14ac:dyDescent="0.3">
      <c r="A146">
        <v>0</v>
      </c>
      <c r="B146" t="s">
        <v>312</v>
      </c>
      <c r="C146" t="s">
        <v>384</v>
      </c>
      <c r="D146" t="s">
        <v>2</v>
      </c>
      <c r="E146" t="s">
        <v>384</v>
      </c>
      <c r="F146" t="s">
        <v>13</v>
      </c>
      <c r="G146" t="s">
        <v>525</v>
      </c>
    </row>
    <row r="147" spans="1:7" x14ac:dyDescent="0.3">
      <c r="A147">
        <v>0</v>
      </c>
      <c r="B147" t="s">
        <v>319</v>
      </c>
      <c r="C147" t="s">
        <v>464</v>
      </c>
      <c r="D147" t="s">
        <v>2</v>
      </c>
      <c r="E147" t="s">
        <v>464</v>
      </c>
      <c r="F147" t="s">
        <v>13</v>
      </c>
      <c r="G147" t="s">
        <v>525</v>
      </c>
    </row>
    <row r="148" spans="1:7" x14ac:dyDescent="0.3">
      <c r="A148">
        <v>0</v>
      </c>
      <c r="B148" t="s">
        <v>312</v>
      </c>
      <c r="C148" t="s">
        <v>323</v>
      </c>
      <c r="D148" t="s">
        <v>2</v>
      </c>
      <c r="E148" t="s">
        <v>323</v>
      </c>
      <c r="F148" t="s">
        <v>13</v>
      </c>
      <c r="G148" t="s">
        <v>525</v>
      </c>
    </row>
    <row r="149" spans="1:7" x14ac:dyDescent="0.3">
      <c r="A149">
        <v>0</v>
      </c>
      <c r="B149" t="s">
        <v>314</v>
      </c>
      <c r="C149" t="s">
        <v>414</v>
      </c>
      <c r="D149" t="s">
        <v>2</v>
      </c>
      <c r="E149" t="s">
        <v>414</v>
      </c>
      <c r="F149" t="s">
        <v>13</v>
      </c>
      <c r="G149" t="s">
        <v>525</v>
      </c>
    </row>
    <row r="150" spans="1:7" x14ac:dyDescent="0.3">
      <c r="A150">
        <v>0</v>
      </c>
      <c r="B150" t="s">
        <v>312</v>
      </c>
      <c r="C150" t="s">
        <v>261</v>
      </c>
      <c r="D150" t="s">
        <v>2</v>
      </c>
      <c r="E150" t="s">
        <v>261</v>
      </c>
      <c r="F150" t="s">
        <v>13</v>
      </c>
      <c r="G150" t="s">
        <v>525</v>
      </c>
    </row>
    <row r="151" spans="1:7" x14ac:dyDescent="0.3">
      <c r="A151">
        <v>0</v>
      </c>
      <c r="B151" t="s">
        <v>319</v>
      </c>
      <c r="C151" t="s">
        <v>364</v>
      </c>
      <c r="D151" t="s">
        <v>2</v>
      </c>
      <c r="E151" t="s">
        <v>364</v>
      </c>
      <c r="F151" t="s">
        <v>13</v>
      </c>
      <c r="G151" t="s">
        <v>525</v>
      </c>
    </row>
    <row r="152" spans="1:7" x14ac:dyDescent="0.3">
      <c r="A152">
        <v>0</v>
      </c>
      <c r="B152" t="s">
        <v>312</v>
      </c>
      <c r="C152" t="s">
        <v>373</v>
      </c>
      <c r="D152" t="s">
        <v>2</v>
      </c>
      <c r="E152" t="s">
        <v>373</v>
      </c>
      <c r="F152" t="s">
        <v>13</v>
      </c>
      <c r="G152" t="s">
        <v>525</v>
      </c>
    </row>
    <row r="153" spans="1:7" x14ac:dyDescent="0.3">
      <c r="A153">
        <v>0</v>
      </c>
      <c r="B153" t="s">
        <v>312</v>
      </c>
      <c r="C153" t="s">
        <v>482</v>
      </c>
      <c r="D153" t="s">
        <v>2</v>
      </c>
      <c r="E153" t="s">
        <v>482</v>
      </c>
      <c r="F153" t="s">
        <v>13</v>
      </c>
      <c r="G153" t="s">
        <v>525</v>
      </c>
    </row>
    <row r="154" spans="1:7" x14ac:dyDescent="0.3">
      <c r="A154">
        <v>0</v>
      </c>
      <c r="B154" t="s">
        <v>312</v>
      </c>
      <c r="C154" t="s">
        <v>412</v>
      </c>
      <c r="D154" t="s">
        <v>2</v>
      </c>
      <c r="E154" t="s">
        <v>412</v>
      </c>
      <c r="F154" t="s">
        <v>13</v>
      </c>
      <c r="G154" t="s">
        <v>525</v>
      </c>
    </row>
    <row r="155" spans="1:7" x14ac:dyDescent="0.3">
      <c r="A155">
        <v>0</v>
      </c>
      <c r="B155" t="s">
        <v>312</v>
      </c>
      <c r="C155" t="s">
        <v>434</v>
      </c>
      <c r="D155" t="s">
        <v>2</v>
      </c>
      <c r="E155" t="s">
        <v>434</v>
      </c>
      <c r="F155" t="s">
        <v>13</v>
      </c>
      <c r="G155" t="s">
        <v>525</v>
      </c>
    </row>
    <row r="156" spans="1:7" x14ac:dyDescent="0.3">
      <c r="A156">
        <v>0</v>
      </c>
      <c r="B156" t="s">
        <v>314</v>
      </c>
      <c r="C156" t="s">
        <v>443</v>
      </c>
      <c r="D156" t="s">
        <v>2</v>
      </c>
      <c r="E156" t="s">
        <v>443</v>
      </c>
      <c r="F156" t="s">
        <v>13</v>
      </c>
      <c r="G156" t="s">
        <v>525</v>
      </c>
    </row>
    <row r="157" spans="1:7" x14ac:dyDescent="0.3">
      <c r="A157">
        <v>0</v>
      </c>
      <c r="B157" t="s">
        <v>319</v>
      </c>
      <c r="C157" t="s">
        <v>430</v>
      </c>
      <c r="D157" t="s">
        <v>2</v>
      </c>
      <c r="E157" t="s">
        <v>430</v>
      </c>
      <c r="F157" t="s">
        <v>13</v>
      </c>
      <c r="G157" t="s">
        <v>525</v>
      </c>
    </row>
    <row r="158" spans="1:7" x14ac:dyDescent="0.3">
      <c r="A158">
        <v>0</v>
      </c>
      <c r="B158" t="s">
        <v>314</v>
      </c>
      <c r="C158" t="s">
        <v>408</v>
      </c>
      <c r="D158" t="s">
        <v>2</v>
      </c>
      <c r="E158" t="s">
        <v>408</v>
      </c>
      <c r="F158" t="s">
        <v>13</v>
      </c>
      <c r="G158" t="s">
        <v>525</v>
      </c>
    </row>
    <row r="159" spans="1:7" x14ac:dyDescent="0.3">
      <c r="A159">
        <v>0</v>
      </c>
      <c r="B159" t="s">
        <v>312</v>
      </c>
      <c r="C159" t="s">
        <v>138</v>
      </c>
      <c r="D159" t="s">
        <v>2</v>
      </c>
      <c r="E159" t="s">
        <v>138</v>
      </c>
      <c r="F159" t="s">
        <v>13</v>
      </c>
      <c r="G159" t="s">
        <v>525</v>
      </c>
    </row>
    <row r="160" spans="1:7" x14ac:dyDescent="0.3">
      <c r="A160">
        <v>0</v>
      </c>
      <c r="B160" t="s">
        <v>312</v>
      </c>
      <c r="C160" t="s">
        <v>275</v>
      </c>
      <c r="D160" t="s">
        <v>2</v>
      </c>
      <c r="E160" t="s">
        <v>275</v>
      </c>
      <c r="F160" t="s">
        <v>13</v>
      </c>
      <c r="G160" t="s">
        <v>525</v>
      </c>
    </row>
    <row r="161" spans="1:7" x14ac:dyDescent="0.3">
      <c r="A161">
        <v>0</v>
      </c>
      <c r="B161" t="s">
        <v>312</v>
      </c>
      <c r="C161" t="s">
        <v>337</v>
      </c>
      <c r="D161" t="s">
        <v>2</v>
      </c>
      <c r="E161" t="s">
        <v>337</v>
      </c>
      <c r="F161" t="s">
        <v>13</v>
      </c>
      <c r="G161" t="s">
        <v>525</v>
      </c>
    </row>
    <row r="162" spans="1:7" x14ac:dyDescent="0.3">
      <c r="A162">
        <v>0</v>
      </c>
      <c r="B162" t="s">
        <v>312</v>
      </c>
      <c r="C162" t="s">
        <v>331</v>
      </c>
      <c r="D162" t="s">
        <v>2</v>
      </c>
      <c r="E162" t="s">
        <v>331</v>
      </c>
      <c r="F162" t="s">
        <v>13</v>
      </c>
      <c r="G162" t="s">
        <v>525</v>
      </c>
    </row>
    <row r="163" spans="1:7" x14ac:dyDescent="0.3">
      <c r="A163">
        <v>0</v>
      </c>
      <c r="B163" t="s">
        <v>312</v>
      </c>
      <c r="C163" t="s">
        <v>452</v>
      </c>
      <c r="D163" t="s">
        <v>2</v>
      </c>
      <c r="E163" t="s">
        <v>452</v>
      </c>
      <c r="F163" t="s">
        <v>13</v>
      </c>
      <c r="G163" t="s">
        <v>525</v>
      </c>
    </row>
    <row r="164" spans="1:7" x14ac:dyDescent="0.3">
      <c r="A164">
        <v>0</v>
      </c>
      <c r="B164" t="s">
        <v>319</v>
      </c>
      <c r="C164" t="s">
        <v>477</v>
      </c>
      <c r="D164" t="s">
        <v>2</v>
      </c>
      <c r="E164" t="s">
        <v>477</v>
      </c>
      <c r="F164" t="s">
        <v>13</v>
      </c>
      <c r="G164" t="s">
        <v>525</v>
      </c>
    </row>
    <row r="165" spans="1:7" x14ac:dyDescent="0.3">
      <c r="A165">
        <v>0</v>
      </c>
      <c r="B165" t="s">
        <v>312</v>
      </c>
      <c r="C165" t="s">
        <v>446</v>
      </c>
      <c r="D165" t="s">
        <v>2</v>
      </c>
      <c r="E165" t="s">
        <v>446</v>
      </c>
      <c r="F165" t="s">
        <v>13</v>
      </c>
      <c r="G165" t="s">
        <v>525</v>
      </c>
    </row>
    <row r="166" spans="1:7" x14ac:dyDescent="0.3">
      <c r="A166">
        <v>0</v>
      </c>
      <c r="B166" t="s">
        <v>319</v>
      </c>
      <c r="C166" t="s">
        <v>491</v>
      </c>
      <c r="D166" t="s">
        <v>2</v>
      </c>
      <c r="E166" t="s">
        <v>491</v>
      </c>
      <c r="F166" t="s">
        <v>13</v>
      </c>
      <c r="G166" t="s">
        <v>525</v>
      </c>
    </row>
    <row r="167" spans="1:7" x14ac:dyDescent="0.3">
      <c r="A167">
        <v>0</v>
      </c>
      <c r="B167" t="s">
        <v>312</v>
      </c>
      <c r="C167" t="s">
        <v>326</v>
      </c>
      <c r="D167" t="s">
        <v>2</v>
      </c>
      <c r="E167" t="s">
        <v>326</v>
      </c>
      <c r="F167" t="s">
        <v>13</v>
      </c>
      <c r="G167" t="s">
        <v>525</v>
      </c>
    </row>
    <row r="168" spans="1:7" x14ac:dyDescent="0.3">
      <c r="A168">
        <v>0</v>
      </c>
      <c r="B168" t="s">
        <v>319</v>
      </c>
      <c r="C168" t="s">
        <v>415</v>
      </c>
      <c r="D168" t="s">
        <v>2</v>
      </c>
      <c r="E168" t="s">
        <v>415</v>
      </c>
      <c r="F168" t="s">
        <v>13</v>
      </c>
      <c r="G168" t="s">
        <v>525</v>
      </c>
    </row>
    <row r="169" spans="1:7" x14ac:dyDescent="0.3">
      <c r="A169">
        <v>0</v>
      </c>
      <c r="B169" t="s">
        <v>314</v>
      </c>
      <c r="C169" t="s">
        <v>451</v>
      </c>
      <c r="D169" t="s">
        <v>2</v>
      </c>
      <c r="E169" t="s">
        <v>451</v>
      </c>
      <c r="F169" t="s">
        <v>13</v>
      </c>
      <c r="G169" t="s">
        <v>525</v>
      </c>
    </row>
    <row r="170" spans="1:7" x14ac:dyDescent="0.3">
      <c r="A170">
        <v>0</v>
      </c>
      <c r="B170" t="s">
        <v>314</v>
      </c>
      <c r="C170" t="s">
        <v>448</v>
      </c>
      <c r="D170" t="s">
        <v>2</v>
      </c>
      <c r="E170" t="s">
        <v>448</v>
      </c>
      <c r="F170" t="s">
        <v>13</v>
      </c>
      <c r="G170" t="s">
        <v>525</v>
      </c>
    </row>
    <row r="171" spans="1:7" x14ac:dyDescent="0.3">
      <c r="A171">
        <v>0</v>
      </c>
      <c r="B171" t="s">
        <v>312</v>
      </c>
      <c r="C171" t="s">
        <v>423</v>
      </c>
      <c r="D171" t="s">
        <v>2</v>
      </c>
      <c r="E171" t="s">
        <v>423</v>
      </c>
      <c r="F171" t="s">
        <v>13</v>
      </c>
      <c r="G171" t="s">
        <v>525</v>
      </c>
    </row>
    <row r="172" spans="1:7" x14ac:dyDescent="0.3">
      <c r="A172">
        <v>0</v>
      </c>
      <c r="B172" t="s">
        <v>319</v>
      </c>
      <c r="C172" t="s">
        <v>361</v>
      </c>
      <c r="D172" t="s">
        <v>2</v>
      </c>
      <c r="E172" t="s">
        <v>361</v>
      </c>
      <c r="F172" t="s">
        <v>13</v>
      </c>
      <c r="G172" t="s">
        <v>525</v>
      </c>
    </row>
    <row r="173" spans="1:7" x14ac:dyDescent="0.3">
      <c r="A173">
        <v>0</v>
      </c>
      <c r="B173" t="s">
        <v>314</v>
      </c>
      <c r="C173" t="s">
        <v>467</v>
      </c>
      <c r="D173" t="s">
        <v>2</v>
      </c>
      <c r="E173" t="s">
        <v>467</v>
      </c>
      <c r="F173" t="s">
        <v>13</v>
      </c>
      <c r="G173" t="s">
        <v>525</v>
      </c>
    </row>
    <row r="174" spans="1:7" x14ac:dyDescent="0.3">
      <c r="A174">
        <v>0</v>
      </c>
      <c r="B174" t="s">
        <v>319</v>
      </c>
      <c r="C174" t="s">
        <v>420</v>
      </c>
      <c r="D174" t="s">
        <v>2</v>
      </c>
      <c r="E174" t="s">
        <v>420</v>
      </c>
      <c r="F174" t="s">
        <v>13</v>
      </c>
      <c r="G174" t="s">
        <v>525</v>
      </c>
    </row>
    <row r="175" spans="1:7" x14ac:dyDescent="0.3">
      <c r="A175">
        <v>0</v>
      </c>
      <c r="B175" t="s">
        <v>314</v>
      </c>
      <c r="C175" t="s">
        <v>487</v>
      </c>
      <c r="D175" t="s">
        <v>2</v>
      </c>
      <c r="E175" t="s">
        <v>487</v>
      </c>
      <c r="F175" t="s">
        <v>13</v>
      </c>
      <c r="G175" t="s">
        <v>525</v>
      </c>
    </row>
    <row r="176" spans="1:7" x14ac:dyDescent="0.3">
      <c r="A176">
        <v>0</v>
      </c>
      <c r="B176" t="s">
        <v>312</v>
      </c>
      <c r="C176" t="s">
        <v>149</v>
      </c>
      <c r="D176" t="s">
        <v>2</v>
      </c>
      <c r="E176" t="s">
        <v>149</v>
      </c>
      <c r="F176" t="s">
        <v>13</v>
      </c>
      <c r="G176" t="s">
        <v>525</v>
      </c>
    </row>
    <row r="177" spans="1:7" x14ac:dyDescent="0.3">
      <c r="A177">
        <v>0</v>
      </c>
      <c r="B177" t="s">
        <v>314</v>
      </c>
      <c r="C177" t="s">
        <v>377</v>
      </c>
      <c r="D177" t="s">
        <v>2</v>
      </c>
      <c r="E177" t="s">
        <v>377</v>
      </c>
      <c r="F177" t="s">
        <v>13</v>
      </c>
      <c r="G177" t="s">
        <v>525</v>
      </c>
    </row>
    <row r="178" spans="1:7" x14ac:dyDescent="0.3">
      <c r="A178">
        <v>0</v>
      </c>
      <c r="B178" t="s">
        <v>312</v>
      </c>
      <c r="C178" t="s">
        <v>403</v>
      </c>
      <c r="D178" t="s">
        <v>2</v>
      </c>
      <c r="E178" t="s">
        <v>403</v>
      </c>
      <c r="F178" t="s">
        <v>13</v>
      </c>
      <c r="G178" t="s">
        <v>525</v>
      </c>
    </row>
    <row r="179" spans="1:7" x14ac:dyDescent="0.3">
      <c r="A179">
        <v>0</v>
      </c>
      <c r="B179" t="s">
        <v>312</v>
      </c>
      <c r="C179" t="s">
        <v>387</v>
      </c>
      <c r="D179" t="s">
        <v>2</v>
      </c>
      <c r="E179" t="s">
        <v>387</v>
      </c>
      <c r="F179" t="s">
        <v>13</v>
      </c>
      <c r="G179" t="s">
        <v>525</v>
      </c>
    </row>
    <row r="180" spans="1:7" x14ac:dyDescent="0.3">
      <c r="A180">
        <v>0</v>
      </c>
      <c r="B180" t="s">
        <v>312</v>
      </c>
      <c r="C180" t="s">
        <v>431</v>
      </c>
      <c r="D180" t="s">
        <v>2</v>
      </c>
      <c r="E180" t="s">
        <v>431</v>
      </c>
      <c r="F180" t="s">
        <v>13</v>
      </c>
      <c r="G180" t="s">
        <v>525</v>
      </c>
    </row>
    <row r="181" spans="1:7" x14ac:dyDescent="0.3">
      <c r="A181">
        <v>0</v>
      </c>
      <c r="B181" t="s">
        <v>319</v>
      </c>
      <c r="C181" t="s">
        <v>459</v>
      </c>
      <c r="D181" t="s">
        <v>2</v>
      </c>
      <c r="E181" t="s">
        <v>459</v>
      </c>
      <c r="F181" t="s">
        <v>13</v>
      </c>
      <c r="G181" t="s">
        <v>525</v>
      </c>
    </row>
    <row r="182" spans="1:7" x14ac:dyDescent="0.3">
      <c r="A182">
        <v>0</v>
      </c>
      <c r="B182" t="s">
        <v>314</v>
      </c>
      <c r="C182" t="s">
        <v>376</v>
      </c>
      <c r="D182" t="s">
        <v>2</v>
      </c>
      <c r="E182" t="s">
        <v>376</v>
      </c>
      <c r="F182" t="s">
        <v>13</v>
      </c>
      <c r="G182" t="s">
        <v>525</v>
      </c>
    </row>
    <row r="183" spans="1:7" x14ac:dyDescent="0.3">
      <c r="A183">
        <v>0</v>
      </c>
      <c r="B183" t="s">
        <v>312</v>
      </c>
      <c r="C183" t="s">
        <v>379</v>
      </c>
      <c r="D183" t="s">
        <v>2</v>
      </c>
      <c r="E183" t="s">
        <v>379</v>
      </c>
      <c r="F183" t="s">
        <v>13</v>
      </c>
      <c r="G183" t="s">
        <v>525</v>
      </c>
    </row>
    <row r="184" spans="1:7" x14ac:dyDescent="0.3">
      <c r="A184">
        <v>0</v>
      </c>
      <c r="B184" t="s">
        <v>314</v>
      </c>
      <c r="C184" t="s">
        <v>445</v>
      </c>
      <c r="D184" t="s">
        <v>2</v>
      </c>
      <c r="E184" t="s">
        <v>445</v>
      </c>
      <c r="F184" t="s">
        <v>13</v>
      </c>
      <c r="G184" t="s">
        <v>525</v>
      </c>
    </row>
    <row r="185" spans="1:7" x14ac:dyDescent="0.3">
      <c r="A185">
        <v>0</v>
      </c>
      <c r="B185" t="s">
        <v>319</v>
      </c>
      <c r="C185" t="s">
        <v>460</v>
      </c>
      <c r="D185" t="s">
        <v>2</v>
      </c>
      <c r="E185" t="s">
        <v>460</v>
      </c>
      <c r="F185" t="s">
        <v>13</v>
      </c>
      <c r="G185" t="s">
        <v>525</v>
      </c>
    </row>
    <row r="186" spans="1:7" x14ac:dyDescent="0.3">
      <c r="A186">
        <v>0</v>
      </c>
      <c r="B186" t="s">
        <v>314</v>
      </c>
      <c r="C186" t="s">
        <v>450</v>
      </c>
      <c r="D186" t="s">
        <v>2</v>
      </c>
      <c r="E186" t="s">
        <v>450</v>
      </c>
      <c r="F186" t="s">
        <v>13</v>
      </c>
      <c r="G186" t="s">
        <v>525</v>
      </c>
    </row>
    <row r="187" spans="1:7" x14ac:dyDescent="0.3">
      <c r="A187">
        <v>0</v>
      </c>
      <c r="B187" t="s">
        <v>312</v>
      </c>
      <c r="C187" t="s">
        <v>473</v>
      </c>
      <c r="D187" t="s">
        <v>2</v>
      </c>
      <c r="E187" t="s">
        <v>473</v>
      </c>
      <c r="F187" t="s">
        <v>13</v>
      </c>
      <c r="G187" t="s">
        <v>525</v>
      </c>
    </row>
    <row r="188" spans="1:7" x14ac:dyDescent="0.3">
      <c r="A188">
        <v>0</v>
      </c>
      <c r="B188" t="s">
        <v>314</v>
      </c>
      <c r="C188" t="s">
        <v>313</v>
      </c>
      <c r="D188" t="s">
        <v>2</v>
      </c>
      <c r="E188" t="s">
        <v>313</v>
      </c>
      <c r="F188" t="s">
        <v>13</v>
      </c>
      <c r="G188" t="s">
        <v>525</v>
      </c>
    </row>
    <row r="189" spans="1:7" x14ac:dyDescent="0.3">
      <c r="A189">
        <v>0</v>
      </c>
      <c r="B189" t="s">
        <v>312</v>
      </c>
      <c r="C189" t="s">
        <v>472</v>
      </c>
      <c r="D189" t="s">
        <v>2</v>
      </c>
      <c r="E189" t="s">
        <v>472</v>
      </c>
      <c r="F189" t="s">
        <v>13</v>
      </c>
      <c r="G189" t="s">
        <v>525</v>
      </c>
    </row>
    <row r="190" spans="1:7" x14ac:dyDescent="0.3">
      <c r="A190">
        <v>0</v>
      </c>
      <c r="B190" t="s">
        <v>312</v>
      </c>
      <c r="C190" t="s">
        <v>402</v>
      </c>
      <c r="D190" t="s">
        <v>2</v>
      </c>
      <c r="E190" t="s">
        <v>402</v>
      </c>
      <c r="F190" t="s">
        <v>13</v>
      </c>
      <c r="G190" t="s">
        <v>525</v>
      </c>
    </row>
    <row r="191" spans="1:7" x14ac:dyDescent="0.3">
      <c r="A191">
        <v>0</v>
      </c>
      <c r="B191" t="s">
        <v>314</v>
      </c>
      <c r="C191" t="s">
        <v>455</v>
      </c>
      <c r="D191" t="s">
        <v>2</v>
      </c>
      <c r="E191" t="s">
        <v>455</v>
      </c>
      <c r="F191" t="s">
        <v>13</v>
      </c>
      <c r="G191" t="s">
        <v>525</v>
      </c>
    </row>
    <row r="192" spans="1:7" x14ac:dyDescent="0.3">
      <c r="A192">
        <v>0</v>
      </c>
      <c r="B192" t="s">
        <v>312</v>
      </c>
      <c r="C192" t="s">
        <v>411</v>
      </c>
      <c r="D192" t="s">
        <v>2</v>
      </c>
      <c r="E192" t="s">
        <v>411</v>
      </c>
      <c r="F192" t="s">
        <v>13</v>
      </c>
      <c r="G192" t="s">
        <v>525</v>
      </c>
    </row>
    <row r="193" spans="1:7" x14ac:dyDescent="0.3">
      <c r="A193">
        <v>0</v>
      </c>
      <c r="B193" t="s">
        <v>312</v>
      </c>
      <c r="C193" t="s">
        <v>488</v>
      </c>
      <c r="D193" t="s">
        <v>2</v>
      </c>
      <c r="E193" t="s">
        <v>488</v>
      </c>
      <c r="F193" t="s">
        <v>13</v>
      </c>
      <c r="G193" t="s">
        <v>525</v>
      </c>
    </row>
    <row r="194" spans="1:7" x14ac:dyDescent="0.3">
      <c r="A194">
        <v>0</v>
      </c>
      <c r="B194" t="s">
        <v>319</v>
      </c>
      <c r="C194" t="s">
        <v>462</v>
      </c>
      <c r="D194" t="s">
        <v>2</v>
      </c>
      <c r="E194" t="s">
        <v>462</v>
      </c>
      <c r="F194" t="s">
        <v>13</v>
      </c>
      <c r="G194" t="s">
        <v>525</v>
      </c>
    </row>
    <row r="195" spans="1:7" x14ac:dyDescent="0.3">
      <c r="A195">
        <v>0</v>
      </c>
      <c r="B195" t="s">
        <v>312</v>
      </c>
      <c r="C195" t="s">
        <v>246</v>
      </c>
      <c r="D195" t="s">
        <v>2</v>
      </c>
      <c r="E195" t="s">
        <v>246</v>
      </c>
      <c r="F195" t="s">
        <v>13</v>
      </c>
      <c r="G195" t="s">
        <v>525</v>
      </c>
    </row>
    <row r="196" spans="1:7" x14ac:dyDescent="0.3">
      <c r="A196">
        <v>0</v>
      </c>
      <c r="B196" t="s">
        <v>312</v>
      </c>
      <c r="C196" t="s">
        <v>357</v>
      </c>
      <c r="D196" t="s">
        <v>2</v>
      </c>
      <c r="E196" t="s">
        <v>357</v>
      </c>
      <c r="F196" t="s">
        <v>13</v>
      </c>
      <c r="G196" t="s">
        <v>525</v>
      </c>
    </row>
    <row r="197" spans="1:7" x14ac:dyDescent="0.3">
      <c r="A197">
        <v>0</v>
      </c>
      <c r="B197" t="s">
        <v>314</v>
      </c>
      <c r="C197" t="s">
        <v>341</v>
      </c>
      <c r="D197" t="s">
        <v>2</v>
      </c>
      <c r="E197" t="s">
        <v>341</v>
      </c>
      <c r="F197" t="s">
        <v>13</v>
      </c>
      <c r="G197" t="s">
        <v>525</v>
      </c>
    </row>
    <row r="198" spans="1:7" x14ac:dyDescent="0.3">
      <c r="A198">
        <v>0</v>
      </c>
      <c r="B198" t="s">
        <v>319</v>
      </c>
      <c r="C198" t="s">
        <v>466</v>
      </c>
      <c r="D198" t="s">
        <v>2</v>
      </c>
      <c r="E198" t="s">
        <v>466</v>
      </c>
      <c r="F198" t="s">
        <v>13</v>
      </c>
      <c r="G198" t="s">
        <v>525</v>
      </c>
    </row>
    <row r="199" spans="1:7" x14ac:dyDescent="0.3">
      <c r="A199">
        <v>0</v>
      </c>
      <c r="B199" t="s">
        <v>319</v>
      </c>
      <c r="C199" t="s">
        <v>362</v>
      </c>
      <c r="D199" t="s">
        <v>2</v>
      </c>
      <c r="E199" t="s">
        <v>362</v>
      </c>
      <c r="F199" t="s">
        <v>13</v>
      </c>
      <c r="G199" t="s">
        <v>525</v>
      </c>
    </row>
    <row r="200" spans="1:7" x14ac:dyDescent="0.3">
      <c r="A200">
        <v>0</v>
      </c>
      <c r="B200" t="s">
        <v>312</v>
      </c>
      <c r="C200" t="s">
        <v>433</v>
      </c>
      <c r="D200" t="s">
        <v>2</v>
      </c>
      <c r="E200" t="s">
        <v>433</v>
      </c>
      <c r="F200" t="s">
        <v>13</v>
      </c>
      <c r="G200" t="s">
        <v>525</v>
      </c>
    </row>
    <row r="201" spans="1:7" x14ac:dyDescent="0.3">
      <c r="A201">
        <v>0</v>
      </c>
      <c r="B201" t="s">
        <v>312</v>
      </c>
      <c r="C201" t="s">
        <v>397</v>
      </c>
      <c r="D201" t="s">
        <v>2</v>
      </c>
      <c r="E201" t="s">
        <v>397</v>
      </c>
      <c r="F201" t="s">
        <v>13</v>
      </c>
      <c r="G201" t="s">
        <v>525</v>
      </c>
    </row>
    <row r="202" spans="1:7" x14ac:dyDescent="0.3">
      <c r="A202">
        <v>0</v>
      </c>
      <c r="B202" t="s">
        <v>319</v>
      </c>
      <c r="C202" t="s">
        <v>378</v>
      </c>
      <c r="D202" t="s">
        <v>2</v>
      </c>
      <c r="E202" t="s">
        <v>378</v>
      </c>
      <c r="F202" t="s">
        <v>13</v>
      </c>
      <c r="G202" t="s">
        <v>525</v>
      </c>
    </row>
    <row r="203" spans="1:7" x14ac:dyDescent="0.3">
      <c r="A203">
        <v>0</v>
      </c>
      <c r="B203" t="s">
        <v>105</v>
      </c>
      <c r="C203" t="s">
        <v>117</v>
      </c>
      <c r="D203" t="s">
        <v>2</v>
      </c>
      <c r="E203" t="s">
        <v>117</v>
      </c>
      <c r="F203" t="s">
        <v>13</v>
      </c>
      <c r="G203" t="s">
        <v>525</v>
      </c>
    </row>
    <row r="204" spans="1:7" x14ac:dyDescent="0.3">
      <c r="A204">
        <v>0</v>
      </c>
      <c r="B204" t="s">
        <v>312</v>
      </c>
      <c r="C204" t="s">
        <v>476</v>
      </c>
      <c r="D204" t="s">
        <v>2</v>
      </c>
      <c r="E204" t="s">
        <v>476</v>
      </c>
      <c r="F204" t="s">
        <v>13</v>
      </c>
      <c r="G204" t="s">
        <v>525</v>
      </c>
    </row>
    <row r="205" spans="1:7" x14ac:dyDescent="0.3">
      <c r="A205">
        <v>0</v>
      </c>
      <c r="B205" t="s">
        <v>319</v>
      </c>
      <c r="C205" t="s">
        <v>478</v>
      </c>
      <c r="D205" t="s">
        <v>2</v>
      </c>
      <c r="E205" t="s">
        <v>478</v>
      </c>
      <c r="F205" t="s">
        <v>13</v>
      </c>
      <c r="G205" t="s">
        <v>525</v>
      </c>
    </row>
    <row r="206" spans="1:7" x14ac:dyDescent="0.3">
      <c r="A206">
        <v>0</v>
      </c>
      <c r="B206" t="s">
        <v>312</v>
      </c>
      <c r="C206" t="s">
        <v>367</v>
      </c>
      <c r="D206" t="s">
        <v>2</v>
      </c>
      <c r="E206" t="s">
        <v>367</v>
      </c>
      <c r="F206" t="s">
        <v>13</v>
      </c>
      <c r="G206" t="s">
        <v>525</v>
      </c>
    </row>
    <row r="207" spans="1:7" x14ac:dyDescent="0.3">
      <c r="A207">
        <v>0</v>
      </c>
      <c r="B207" t="s">
        <v>312</v>
      </c>
      <c r="C207" t="s">
        <v>346</v>
      </c>
      <c r="D207" t="s">
        <v>2</v>
      </c>
      <c r="E207" t="s">
        <v>346</v>
      </c>
      <c r="F207" t="s">
        <v>13</v>
      </c>
      <c r="G207" t="s">
        <v>525</v>
      </c>
    </row>
    <row r="208" spans="1:7" x14ac:dyDescent="0.3">
      <c r="A208">
        <v>0</v>
      </c>
      <c r="B208" t="s">
        <v>105</v>
      </c>
      <c r="C208" t="s">
        <v>119</v>
      </c>
      <c r="D208" t="s">
        <v>2</v>
      </c>
      <c r="E208" t="s">
        <v>119</v>
      </c>
      <c r="F208" t="s">
        <v>13</v>
      </c>
      <c r="G208" t="s">
        <v>525</v>
      </c>
    </row>
    <row r="209" spans="1:7" x14ac:dyDescent="0.3">
      <c r="A209">
        <v>0</v>
      </c>
      <c r="B209" t="s">
        <v>312</v>
      </c>
      <c r="C209" t="s">
        <v>385</v>
      </c>
      <c r="D209" t="s">
        <v>2</v>
      </c>
      <c r="E209" t="s">
        <v>385</v>
      </c>
      <c r="F209" t="s">
        <v>13</v>
      </c>
      <c r="G209" t="s">
        <v>525</v>
      </c>
    </row>
    <row r="210" spans="1:7" x14ac:dyDescent="0.3">
      <c r="A210">
        <v>0</v>
      </c>
      <c r="B210" t="s">
        <v>57</v>
      </c>
      <c r="C210" t="s">
        <v>120</v>
      </c>
      <c r="D210" t="s">
        <v>2</v>
      </c>
      <c r="E210" t="s">
        <v>120</v>
      </c>
      <c r="F210" t="s">
        <v>13</v>
      </c>
      <c r="G210" t="s">
        <v>525</v>
      </c>
    </row>
    <row r="211" spans="1:7" x14ac:dyDescent="0.3">
      <c r="A211">
        <v>0</v>
      </c>
      <c r="B211" t="s">
        <v>312</v>
      </c>
      <c r="C211" t="s">
        <v>324</v>
      </c>
      <c r="D211" t="s">
        <v>2</v>
      </c>
      <c r="E211" t="s">
        <v>324</v>
      </c>
      <c r="F211" t="s">
        <v>13</v>
      </c>
      <c r="G211" t="s">
        <v>525</v>
      </c>
    </row>
    <row r="212" spans="1:7" x14ac:dyDescent="0.3">
      <c r="A212">
        <v>0</v>
      </c>
      <c r="B212" t="s">
        <v>312</v>
      </c>
      <c r="C212" t="s">
        <v>327</v>
      </c>
      <c r="D212" t="s">
        <v>2</v>
      </c>
      <c r="E212" t="s">
        <v>327</v>
      </c>
      <c r="F212" t="s">
        <v>13</v>
      </c>
      <c r="G212" t="s">
        <v>525</v>
      </c>
    </row>
    <row r="213" spans="1:7" x14ac:dyDescent="0.3">
      <c r="A213">
        <v>0</v>
      </c>
      <c r="B213" t="s">
        <v>314</v>
      </c>
      <c r="C213" t="s">
        <v>441</v>
      </c>
      <c r="D213" t="s">
        <v>2</v>
      </c>
      <c r="E213" t="s">
        <v>441</v>
      </c>
      <c r="F213" t="s">
        <v>13</v>
      </c>
      <c r="G213" t="s">
        <v>525</v>
      </c>
    </row>
    <row r="214" spans="1:7" x14ac:dyDescent="0.3">
      <c r="A214">
        <v>0</v>
      </c>
      <c r="B214" t="s">
        <v>105</v>
      </c>
      <c r="C214" t="s">
        <v>115</v>
      </c>
      <c r="D214" t="s">
        <v>2</v>
      </c>
      <c r="E214" t="s">
        <v>115</v>
      </c>
      <c r="F214" t="s">
        <v>13</v>
      </c>
      <c r="G214" t="s">
        <v>525</v>
      </c>
    </row>
    <row r="215" spans="1:7" x14ac:dyDescent="0.3">
      <c r="A215">
        <v>0</v>
      </c>
      <c r="B215" t="s">
        <v>312</v>
      </c>
      <c r="C215" t="s">
        <v>484</v>
      </c>
      <c r="D215" t="s">
        <v>2</v>
      </c>
      <c r="E215" t="s">
        <v>484</v>
      </c>
      <c r="F215" t="s">
        <v>13</v>
      </c>
      <c r="G215" t="s">
        <v>525</v>
      </c>
    </row>
    <row r="216" spans="1:7" x14ac:dyDescent="0.3">
      <c r="A216">
        <v>0</v>
      </c>
      <c r="B216" t="s">
        <v>312</v>
      </c>
      <c r="C216" t="s">
        <v>311</v>
      </c>
      <c r="D216" t="s">
        <v>2</v>
      </c>
      <c r="E216" t="s">
        <v>311</v>
      </c>
      <c r="F216" t="s">
        <v>13</v>
      </c>
      <c r="G216" t="s">
        <v>525</v>
      </c>
    </row>
    <row r="217" spans="1:7" x14ac:dyDescent="0.3">
      <c r="A217">
        <v>0</v>
      </c>
      <c r="B217" t="s">
        <v>312</v>
      </c>
      <c r="C217" t="s">
        <v>365</v>
      </c>
      <c r="D217" t="s">
        <v>2</v>
      </c>
      <c r="E217" t="s">
        <v>365</v>
      </c>
      <c r="F217" t="s">
        <v>13</v>
      </c>
      <c r="G217" t="s">
        <v>525</v>
      </c>
    </row>
    <row r="218" spans="1:7" x14ac:dyDescent="0.3">
      <c r="A218">
        <v>0</v>
      </c>
      <c r="B218" t="s">
        <v>314</v>
      </c>
      <c r="C218" t="s">
        <v>350</v>
      </c>
      <c r="D218" t="s">
        <v>2</v>
      </c>
      <c r="E218" t="s">
        <v>350</v>
      </c>
      <c r="F218" t="s">
        <v>13</v>
      </c>
      <c r="G218" t="s">
        <v>525</v>
      </c>
    </row>
    <row r="219" spans="1:7" x14ac:dyDescent="0.3">
      <c r="A219">
        <v>0</v>
      </c>
      <c r="B219" t="s">
        <v>105</v>
      </c>
      <c r="C219" t="s">
        <v>123</v>
      </c>
      <c r="D219" t="s">
        <v>2</v>
      </c>
      <c r="E219" t="s">
        <v>123</v>
      </c>
      <c r="F219" t="s">
        <v>13</v>
      </c>
      <c r="G219" t="s">
        <v>525</v>
      </c>
    </row>
    <row r="220" spans="1:7" x14ac:dyDescent="0.3">
      <c r="A220">
        <v>0</v>
      </c>
      <c r="B220" t="s">
        <v>312</v>
      </c>
      <c r="C220" t="s">
        <v>396</v>
      </c>
      <c r="D220" t="s">
        <v>2</v>
      </c>
      <c r="E220" t="s">
        <v>396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428</v>
      </c>
      <c r="D221" t="s">
        <v>2</v>
      </c>
      <c r="E221" t="s">
        <v>428</v>
      </c>
      <c r="F221" t="s">
        <v>13</v>
      </c>
      <c r="G221" t="s">
        <v>525</v>
      </c>
    </row>
    <row r="222" spans="1:7" x14ac:dyDescent="0.3">
      <c r="A222">
        <v>0</v>
      </c>
      <c r="B222" t="s">
        <v>312</v>
      </c>
      <c r="C222" t="s">
        <v>383</v>
      </c>
      <c r="D222" t="s">
        <v>2</v>
      </c>
      <c r="E222" t="s">
        <v>383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426</v>
      </c>
      <c r="D223" t="s">
        <v>2</v>
      </c>
      <c r="E223" t="s">
        <v>426</v>
      </c>
      <c r="F223" t="s">
        <v>13</v>
      </c>
      <c r="G223" t="s">
        <v>525</v>
      </c>
    </row>
    <row r="224" spans="1:7" x14ac:dyDescent="0.3">
      <c r="A224">
        <v>0</v>
      </c>
      <c r="B224" t="s">
        <v>312</v>
      </c>
      <c r="C224" t="s">
        <v>437</v>
      </c>
      <c r="D224" t="s">
        <v>2</v>
      </c>
      <c r="E224" t="s">
        <v>437</v>
      </c>
      <c r="F224" t="s">
        <v>13</v>
      </c>
      <c r="G224" t="s">
        <v>525</v>
      </c>
    </row>
    <row r="225" spans="1:7" x14ac:dyDescent="0.3">
      <c r="A225">
        <v>0</v>
      </c>
      <c r="B225" t="s">
        <v>312</v>
      </c>
      <c r="C225" t="s">
        <v>454</v>
      </c>
      <c r="D225" t="s">
        <v>2</v>
      </c>
      <c r="E225" t="s">
        <v>454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425</v>
      </c>
      <c r="D226" t="s">
        <v>2</v>
      </c>
      <c r="E226" t="s">
        <v>425</v>
      </c>
      <c r="F226" t="s">
        <v>13</v>
      </c>
      <c r="G226" t="s">
        <v>525</v>
      </c>
    </row>
    <row r="227" spans="1:7" x14ac:dyDescent="0.3">
      <c r="A227">
        <v>0</v>
      </c>
      <c r="B227" t="s">
        <v>312</v>
      </c>
      <c r="C227" t="s">
        <v>344</v>
      </c>
      <c r="D227" t="s">
        <v>2</v>
      </c>
      <c r="E227" t="s">
        <v>344</v>
      </c>
      <c r="F227" t="s">
        <v>13</v>
      </c>
      <c r="G227" t="s">
        <v>525</v>
      </c>
    </row>
    <row r="228" spans="1:7" x14ac:dyDescent="0.3">
      <c r="A228">
        <v>0</v>
      </c>
      <c r="B228" t="s">
        <v>312</v>
      </c>
      <c r="C228" t="s">
        <v>407</v>
      </c>
      <c r="D228" t="s">
        <v>2</v>
      </c>
      <c r="E228" t="s">
        <v>407</v>
      </c>
      <c r="F228" t="s">
        <v>13</v>
      </c>
      <c r="G228" t="s">
        <v>525</v>
      </c>
    </row>
    <row r="229" spans="1:7" x14ac:dyDescent="0.3">
      <c r="A229">
        <v>0</v>
      </c>
      <c r="B229" t="s">
        <v>314</v>
      </c>
      <c r="C229" t="s">
        <v>413</v>
      </c>
      <c r="D229" t="s">
        <v>2</v>
      </c>
      <c r="E229" t="s">
        <v>413</v>
      </c>
      <c r="F229" t="s">
        <v>13</v>
      </c>
      <c r="G229" t="s">
        <v>525</v>
      </c>
    </row>
    <row r="230" spans="1:7" x14ac:dyDescent="0.3">
      <c r="A230">
        <v>0</v>
      </c>
      <c r="B230" t="s">
        <v>312</v>
      </c>
      <c r="C230" t="s">
        <v>392</v>
      </c>
      <c r="D230" t="s">
        <v>2</v>
      </c>
      <c r="E230" t="s">
        <v>392</v>
      </c>
      <c r="F230" t="s">
        <v>13</v>
      </c>
      <c r="G230" t="s">
        <v>525</v>
      </c>
    </row>
    <row r="231" spans="1:7" x14ac:dyDescent="0.3">
      <c r="A231">
        <v>0</v>
      </c>
      <c r="B231" t="s">
        <v>319</v>
      </c>
      <c r="C231" t="s">
        <v>422</v>
      </c>
      <c r="D231" t="s">
        <v>2</v>
      </c>
      <c r="E231" t="s">
        <v>422</v>
      </c>
      <c r="F231" t="s">
        <v>13</v>
      </c>
      <c r="G231" t="s">
        <v>525</v>
      </c>
    </row>
    <row r="232" spans="1:7" x14ac:dyDescent="0.3">
      <c r="A232">
        <v>0</v>
      </c>
      <c r="B232" t="s">
        <v>314</v>
      </c>
      <c r="C232" t="s">
        <v>495</v>
      </c>
      <c r="D232" t="s">
        <v>494</v>
      </c>
      <c r="E232" t="s">
        <v>495</v>
      </c>
      <c r="F232" t="s">
        <v>13</v>
      </c>
      <c r="G232" t="s">
        <v>525</v>
      </c>
    </row>
    <row r="233" spans="1:7" x14ac:dyDescent="0.3">
      <c r="A233">
        <v>0</v>
      </c>
      <c r="B233" t="s">
        <v>314</v>
      </c>
      <c r="C233" t="s">
        <v>497</v>
      </c>
      <c r="D233" t="s">
        <v>494</v>
      </c>
      <c r="E233" t="s">
        <v>497</v>
      </c>
      <c r="F233" t="s">
        <v>13</v>
      </c>
      <c r="G233" t="s">
        <v>525</v>
      </c>
    </row>
    <row r="234" spans="1:7" x14ac:dyDescent="0.3">
      <c r="A234">
        <v>0</v>
      </c>
      <c r="B234" t="s">
        <v>314</v>
      </c>
      <c r="C234" t="s">
        <v>496</v>
      </c>
      <c r="D234" t="s">
        <v>494</v>
      </c>
      <c r="E234" t="s">
        <v>496</v>
      </c>
      <c r="F234" t="s">
        <v>13</v>
      </c>
      <c r="G234" t="s">
        <v>525</v>
      </c>
    </row>
    <row r="235" spans="1:7" x14ac:dyDescent="0.3">
      <c r="A235">
        <v>0</v>
      </c>
      <c r="B235" t="s">
        <v>312</v>
      </c>
      <c r="C235" t="s">
        <v>513</v>
      </c>
      <c r="D235" t="s">
        <v>498</v>
      </c>
      <c r="E235" t="s">
        <v>513</v>
      </c>
      <c r="F235" t="s">
        <v>13</v>
      </c>
      <c r="G235" t="s">
        <v>525</v>
      </c>
    </row>
    <row r="236" spans="1:7" x14ac:dyDescent="0.3">
      <c r="A236">
        <v>0</v>
      </c>
      <c r="B236" t="s">
        <v>312</v>
      </c>
      <c r="C236" t="s">
        <v>515</v>
      </c>
      <c r="D236" t="s">
        <v>498</v>
      </c>
      <c r="E236" t="s">
        <v>515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509</v>
      </c>
      <c r="D237" t="s">
        <v>498</v>
      </c>
      <c r="E237" t="s">
        <v>509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502</v>
      </c>
      <c r="D238" t="s">
        <v>498</v>
      </c>
      <c r="E238" t="s">
        <v>502</v>
      </c>
      <c r="F238" t="s">
        <v>13</v>
      </c>
      <c r="G238" t="s">
        <v>525</v>
      </c>
    </row>
    <row r="239" spans="1:7" x14ac:dyDescent="0.3">
      <c r="A239">
        <v>0</v>
      </c>
      <c r="B239" t="s">
        <v>312</v>
      </c>
      <c r="C239" t="s">
        <v>500</v>
      </c>
      <c r="D239" t="s">
        <v>498</v>
      </c>
      <c r="E239" t="s">
        <v>500</v>
      </c>
      <c r="F239" t="s">
        <v>13</v>
      </c>
      <c r="G239" t="s">
        <v>525</v>
      </c>
    </row>
    <row r="240" spans="1:7" x14ac:dyDescent="0.3">
      <c r="A240">
        <v>0</v>
      </c>
      <c r="B240" t="s">
        <v>507</v>
      </c>
      <c r="C240" t="s">
        <v>506</v>
      </c>
      <c r="D240" t="s">
        <v>498</v>
      </c>
      <c r="E240" t="s">
        <v>506</v>
      </c>
      <c r="F240" t="s">
        <v>13</v>
      </c>
      <c r="G240" t="s">
        <v>525</v>
      </c>
    </row>
    <row r="241" spans="1:7" x14ac:dyDescent="0.3">
      <c r="A241">
        <v>0</v>
      </c>
      <c r="B241" t="s">
        <v>312</v>
      </c>
      <c r="C241" t="s">
        <v>514</v>
      </c>
      <c r="D241" t="s">
        <v>498</v>
      </c>
      <c r="E241" t="s">
        <v>514</v>
      </c>
      <c r="F241" t="s">
        <v>13</v>
      </c>
      <c r="G241" t="s">
        <v>525</v>
      </c>
    </row>
    <row r="242" spans="1:7" x14ac:dyDescent="0.3">
      <c r="A242">
        <v>0</v>
      </c>
      <c r="B242" t="s">
        <v>312</v>
      </c>
      <c r="C242" t="s">
        <v>499</v>
      </c>
      <c r="D242" t="s">
        <v>498</v>
      </c>
      <c r="E242" t="s">
        <v>499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508</v>
      </c>
      <c r="D243" t="s">
        <v>498</v>
      </c>
      <c r="E243" t="s">
        <v>508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519</v>
      </c>
      <c r="D244" t="s">
        <v>498</v>
      </c>
      <c r="E244" t="s">
        <v>519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t="s">
        <v>510</v>
      </c>
      <c r="D245" t="s">
        <v>498</v>
      </c>
      <c r="E245" t="s">
        <v>510</v>
      </c>
      <c r="F245" t="s">
        <v>13</v>
      </c>
      <c r="G245" t="s">
        <v>525</v>
      </c>
    </row>
    <row r="246" spans="1:7" x14ac:dyDescent="0.3">
      <c r="A246">
        <v>0</v>
      </c>
      <c r="B246" t="s">
        <v>312</v>
      </c>
      <c r="C246" t="s">
        <v>521</v>
      </c>
      <c r="D246" t="s">
        <v>498</v>
      </c>
      <c r="E246" t="s">
        <v>521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501</v>
      </c>
      <c r="D247" t="s">
        <v>498</v>
      </c>
      <c r="E247" t="s">
        <v>501</v>
      </c>
      <c r="F247" t="s">
        <v>13</v>
      </c>
      <c r="G247" t="s">
        <v>525</v>
      </c>
    </row>
    <row r="248" spans="1:7" x14ac:dyDescent="0.3">
      <c r="A248">
        <v>0</v>
      </c>
      <c r="B248" t="s">
        <v>312</v>
      </c>
      <c r="C248" t="s">
        <v>504</v>
      </c>
      <c r="D248" t="s">
        <v>498</v>
      </c>
      <c r="E248" t="s">
        <v>504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520</v>
      </c>
      <c r="D249" t="s">
        <v>498</v>
      </c>
      <c r="E249" t="s">
        <v>520</v>
      </c>
      <c r="F249" t="s">
        <v>13</v>
      </c>
      <c r="G249" t="s">
        <v>525</v>
      </c>
    </row>
    <row r="250" spans="1:7" x14ac:dyDescent="0.3">
      <c r="A250">
        <v>0</v>
      </c>
      <c r="B250" t="s">
        <v>312</v>
      </c>
      <c r="C250" t="s">
        <v>523</v>
      </c>
      <c r="D250" t="s">
        <v>498</v>
      </c>
      <c r="E250" t="s">
        <v>523</v>
      </c>
      <c r="F250" t="s">
        <v>13</v>
      </c>
      <c r="G250" t="s">
        <v>525</v>
      </c>
    </row>
    <row r="251" spans="1:7" x14ac:dyDescent="0.3">
      <c r="A251">
        <v>0</v>
      </c>
      <c r="B251" t="s">
        <v>312</v>
      </c>
      <c r="C251" t="s">
        <v>503</v>
      </c>
      <c r="D251" t="s">
        <v>498</v>
      </c>
      <c r="E251" t="s">
        <v>503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512</v>
      </c>
      <c r="D252" t="s">
        <v>498</v>
      </c>
      <c r="E252" t="s">
        <v>512</v>
      </c>
      <c r="F252" t="s">
        <v>13</v>
      </c>
      <c r="G252" t="s">
        <v>525</v>
      </c>
    </row>
    <row r="253" spans="1:7" x14ac:dyDescent="0.3">
      <c r="A253">
        <v>0</v>
      </c>
      <c r="B253" t="s">
        <v>312</v>
      </c>
      <c r="C253" t="s">
        <v>505</v>
      </c>
      <c r="D253" t="s">
        <v>498</v>
      </c>
      <c r="E253" t="s">
        <v>505</v>
      </c>
      <c r="F253" t="s">
        <v>13</v>
      </c>
      <c r="G253" t="s">
        <v>525</v>
      </c>
    </row>
    <row r="254" spans="1:7" x14ac:dyDescent="0.3">
      <c r="A254">
        <v>0</v>
      </c>
      <c r="B254" t="s">
        <v>312</v>
      </c>
      <c r="C254" t="s">
        <v>518</v>
      </c>
      <c r="D254" t="s">
        <v>498</v>
      </c>
      <c r="E254" t="s">
        <v>518</v>
      </c>
      <c r="F254" t="s">
        <v>13</v>
      </c>
      <c r="G254" t="s">
        <v>525</v>
      </c>
    </row>
    <row r="255" spans="1:7" x14ac:dyDescent="0.3">
      <c r="A255">
        <v>0</v>
      </c>
      <c r="B255" t="s">
        <v>312</v>
      </c>
      <c r="C255" t="s">
        <v>522</v>
      </c>
      <c r="D255" t="s">
        <v>498</v>
      </c>
      <c r="E255" t="s">
        <v>522</v>
      </c>
      <c r="F255" t="s">
        <v>13</v>
      </c>
      <c r="G255" t="s">
        <v>525</v>
      </c>
    </row>
    <row r="256" spans="1:7" x14ac:dyDescent="0.3">
      <c r="A256">
        <v>0</v>
      </c>
      <c r="B256" t="s">
        <v>312</v>
      </c>
      <c r="C256" t="s">
        <v>516</v>
      </c>
      <c r="D256" t="s">
        <v>498</v>
      </c>
      <c r="E256" t="s">
        <v>516</v>
      </c>
      <c r="F256" t="s">
        <v>13</v>
      </c>
      <c r="G256" t="s">
        <v>525</v>
      </c>
    </row>
    <row r="257" spans="1:7" x14ac:dyDescent="0.3">
      <c r="A257">
        <v>0</v>
      </c>
      <c r="B257" t="s">
        <v>312</v>
      </c>
      <c r="C257" t="s">
        <v>517</v>
      </c>
      <c r="D257" t="s">
        <v>498</v>
      </c>
      <c r="E257" t="s">
        <v>517</v>
      </c>
      <c r="F257" t="s">
        <v>13</v>
      </c>
      <c r="G257" t="s">
        <v>525</v>
      </c>
    </row>
    <row r="258" spans="1:7" x14ac:dyDescent="0.3">
      <c r="A258">
        <v>0</v>
      </c>
      <c r="B258" t="s">
        <v>16</v>
      </c>
      <c r="C258" s="2" t="s">
        <v>22</v>
      </c>
      <c r="D258" t="s">
        <v>2</v>
      </c>
      <c r="E258" s="2" t="s">
        <v>22</v>
      </c>
      <c r="F258" t="s">
        <v>13</v>
      </c>
      <c r="G258" t="s">
        <v>525</v>
      </c>
    </row>
    <row r="259" spans="1:7" x14ac:dyDescent="0.3">
      <c r="A259">
        <v>0</v>
      </c>
      <c r="B259" t="s">
        <v>16</v>
      </c>
      <c r="C259" s="2" t="s">
        <v>49</v>
      </c>
      <c r="D259" t="s">
        <v>2</v>
      </c>
      <c r="E259" s="2" t="s">
        <v>49</v>
      </c>
      <c r="F259" t="s">
        <v>13</v>
      </c>
      <c r="G259" t="s">
        <v>525</v>
      </c>
    </row>
    <row r="260" spans="1:7" x14ac:dyDescent="0.3">
      <c r="A260">
        <v>0</v>
      </c>
      <c r="B260" t="s">
        <v>312</v>
      </c>
      <c r="C260" s="2" t="s">
        <v>55</v>
      </c>
      <c r="D260" t="s">
        <v>2</v>
      </c>
      <c r="E260" s="2" t="s">
        <v>55</v>
      </c>
      <c r="F260" t="s">
        <v>13</v>
      </c>
      <c r="G260" t="s">
        <v>525</v>
      </c>
    </row>
    <row r="261" spans="1:7" x14ac:dyDescent="0.3">
      <c r="A261">
        <v>0</v>
      </c>
      <c r="B261" t="s">
        <v>312</v>
      </c>
      <c r="C261" t="s">
        <v>59</v>
      </c>
      <c r="D261" t="s">
        <v>2</v>
      </c>
      <c r="E261" t="s">
        <v>59</v>
      </c>
      <c r="F261" t="s">
        <v>13</v>
      </c>
      <c r="G261" t="s">
        <v>525</v>
      </c>
    </row>
    <row r="262" spans="1:7" x14ac:dyDescent="0.3">
      <c r="A262">
        <v>0</v>
      </c>
      <c r="B262" t="s">
        <v>16</v>
      </c>
      <c r="C262" s="2" t="s">
        <v>61</v>
      </c>
      <c r="D262" t="s">
        <v>2</v>
      </c>
      <c r="E262" s="2" t="s">
        <v>61</v>
      </c>
      <c r="F262" t="s">
        <v>13</v>
      </c>
      <c r="G262" t="s">
        <v>525</v>
      </c>
    </row>
    <row r="263" spans="1:7" x14ac:dyDescent="0.3">
      <c r="A263">
        <v>0</v>
      </c>
      <c r="B263" t="s">
        <v>312</v>
      </c>
      <c r="C263" s="2" t="s">
        <v>67</v>
      </c>
      <c r="D263" t="s">
        <v>2</v>
      </c>
      <c r="E263" s="2" t="s">
        <v>67</v>
      </c>
      <c r="F263" t="s">
        <v>13</v>
      </c>
      <c r="G263" t="s">
        <v>525</v>
      </c>
    </row>
    <row r="264" spans="1:7" x14ac:dyDescent="0.3">
      <c r="A264">
        <v>0</v>
      </c>
      <c r="B264" t="s">
        <v>312</v>
      </c>
      <c r="C264" t="s">
        <v>73</v>
      </c>
      <c r="D264" t="s">
        <v>2</v>
      </c>
      <c r="E264" t="s">
        <v>73</v>
      </c>
      <c r="F264" t="s">
        <v>13</v>
      </c>
      <c r="G264" t="s">
        <v>525</v>
      </c>
    </row>
    <row r="265" spans="1:7" x14ac:dyDescent="0.3">
      <c r="A265">
        <v>0</v>
      </c>
      <c r="B265" t="s">
        <v>312</v>
      </c>
      <c r="C265" t="s">
        <v>79</v>
      </c>
      <c r="D265" t="s">
        <v>2</v>
      </c>
      <c r="E265" t="s">
        <v>79</v>
      </c>
      <c r="F265" t="s">
        <v>13</v>
      </c>
      <c r="G265" t="s">
        <v>525</v>
      </c>
    </row>
    <row r="266" spans="1:7" x14ac:dyDescent="0.3">
      <c r="A266">
        <v>0</v>
      </c>
      <c r="B266" t="s">
        <v>312</v>
      </c>
      <c r="C266" t="s">
        <v>82</v>
      </c>
      <c r="D266" t="s">
        <v>2</v>
      </c>
      <c r="E266" t="s">
        <v>82</v>
      </c>
      <c r="F266" t="s">
        <v>13</v>
      </c>
      <c r="G266" t="s">
        <v>525</v>
      </c>
    </row>
    <row r="267" spans="1:7" x14ac:dyDescent="0.3">
      <c r="A267">
        <v>0</v>
      </c>
      <c r="B267" t="s">
        <v>312</v>
      </c>
      <c r="C267" t="s">
        <v>85</v>
      </c>
      <c r="D267" t="s">
        <v>2</v>
      </c>
      <c r="E267" t="s">
        <v>85</v>
      </c>
      <c r="F267" t="s">
        <v>13</v>
      </c>
      <c r="G267" t="s">
        <v>525</v>
      </c>
    </row>
    <row r="268" spans="1:7" x14ac:dyDescent="0.3">
      <c r="A268">
        <v>0</v>
      </c>
      <c r="B268" t="s">
        <v>312</v>
      </c>
      <c r="C268" t="s">
        <v>88</v>
      </c>
      <c r="D268" t="s">
        <v>2</v>
      </c>
      <c r="E268" t="s">
        <v>88</v>
      </c>
      <c r="F268" t="s">
        <v>13</v>
      </c>
      <c r="G268" t="s">
        <v>525</v>
      </c>
    </row>
    <row r="269" spans="1:7" x14ac:dyDescent="0.3">
      <c r="A269">
        <v>0</v>
      </c>
      <c r="B269" t="s">
        <v>312</v>
      </c>
      <c r="C269" t="s">
        <v>91</v>
      </c>
      <c r="D269" t="s">
        <v>2</v>
      </c>
      <c r="E269" t="s">
        <v>91</v>
      </c>
      <c r="F269" t="s">
        <v>13</v>
      </c>
      <c r="G269" t="s">
        <v>525</v>
      </c>
    </row>
    <row r="270" spans="1:7" x14ac:dyDescent="0.3">
      <c r="A270">
        <v>0</v>
      </c>
      <c r="B270" t="s">
        <v>312</v>
      </c>
      <c r="C270" t="s">
        <v>94</v>
      </c>
      <c r="D270" t="s">
        <v>2</v>
      </c>
      <c r="E270" t="s">
        <v>94</v>
      </c>
      <c r="F270" t="s">
        <v>13</v>
      </c>
      <c r="G270" t="s">
        <v>525</v>
      </c>
    </row>
    <row r="271" spans="1:7" x14ac:dyDescent="0.3">
      <c r="A271">
        <v>0</v>
      </c>
      <c r="B271" t="s">
        <v>312</v>
      </c>
      <c r="C271" t="s">
        <v>97</v>
      </c>
      <c r="D271" t="s">
        <v>2</v>
      </c>
      <c r="E271" t="s">
        <v>97</v>
      </c>
      <c r="F271" t="s">
        <v>13</v>
      </c>
      <c r="G271" t="s">
        <v>525</v>
      </c>
    </row>
    <row r="272" spans="1:7" x14ac:dyDescent="0.3">
      <c r="A272">
        <v>0</v>
      </c>
      <c r="B272" t="s">
        <v>312</v>
      </c>
      <c r="C272" t="s">
        <v>100</v>
      </c>
      <c r="D272" t="s">
        <v>2</v>
      </c>
      <c r="E272" t="s">
        <v>100</v>
      </c>
      <c r="F272" t="s">
        <v>13</v>
      </c>
      <c r="G272" t="s">
        <v>525</v>
      </c>
    </row>
  </sheetData>
  <pageMargins left="0.75" right="0.75" top="1" bottom="1" header="0.5" footer="0.5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72"/>
  <sheetViews>
    <sheetView workbookViewId="0">
      <selection activeCell="E27" sqref="E27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1</v>
      </c>
      <c r="B2" t="s">
        <v>57</v>
      </c>
      <c r="C2" t="s">
        <v>718</v>
      </c>
      <c r="D2" t="s">
        <v>2</v>
      </c>
      <c r="E2" t="s">
        <v>73</v>
      </c>
      <c r="F2" s="4" t="s">
        <v>13</v>
      </c>
      <c r="G2" t="s">
        <v>525</v>
      </c>
      <c r="H2" t="s">
        <v>626</v>
      </c>
    </row>
    <row r="3" spans="1:9" x14ac:dyDescent="0.3">
      <c r="A3">
        <v>1</v>
      </c>
      <c r="B3" t="s">
        <v>57</v>
      </c>
      <c r="C3" t="s">
        <v>719</v>
      </c>
      <c r="D3" t="s">
        <v>2</v>
      </c>
      <c r="E3" t="s">
        <v>149</v>
      </c>
      <c r="F3" t="s">
        <v>13</v>
      </c>
      <c r="G3" t="s">
        <v>525</v>
      </c>
      <c r="H3" t="s">
        <v>626</v>
      </c>
    </row>
    <row r="4" spans="1:9" x14ac:dyDescent="0.3">
      <c r="A4">
        <v>0.01</v>
      </c>
      <c r="B4" t="s">
        <v>57</v>
      </c>
      <c r="C4" t="s">
        <v>641</v>
      </c>
      <c r="D4" t="s">
        <v>2</v>
      </c>
      <c r="E4" t="s">
        <v>85</v>
      </c>
      <c r="F4" t="s">
        <v>13</v>
      </c>
      <c r="G4" t="s">
        <v>525</v>
      </c>
      <c r="H4" t="s">
        <v>626</v>
      </c>
    </row>
    <row r="5" spans="1:9" x14ac:dyDescent="0.3">
      <c r="A5">
        <v>6.6799999999999998E-2</v>
      </c>
      <c r="B5" t="s">
        <v>57</v>
      </c>
      <c r="C5" t="s">
        <v>720</v>
      </c>
      <c r="D5" t="s">
        <v>2</v>
      </c>
      <c r="E5" t="s">
        <v>149</v>
      </c>
      <c r="F5" t="s">
        <v>13</v>
      </c>
      <c r="G5" t="s">
        <v>525</v>
      </c>
      <c r="H5" t="s">
        <v>626</v>
      </c>
    </row>
    <row r="6" spans="1:9" x14ac:dyDescent="0.3">
      <c r="A6">
        <v>4.1500000000000002E-2</v>
      </c>
      <c r="B6" t="s">
        <v>57</v>
      </c>
      <c r="C6" t="s">
        <v>666</v>
      </c>
      <c r="D6" t="s">
        <v>2</v>
      </c>
      <c r="E6" t="s">
        <v>149</v>
      </c>
      <c r="F6" t="s">
        <v>13</v>
      </c>
      <c r="G6" t="s">
        <v>525</v>
      </c>
      <c r="H6" t="s">
        <v>626</v>
      </c>
    </row>
    <row r="7" spans="1:9" x14ac:dyDescent="0.3">
      <c r="A7">
        <v>0.16700000000000001</v>
      </c>
      <c r="B7" t="s">
        <v>57</v>
      </c>
      <c r="C7" t="s">
        <v>721</v>
      </c>
      <c r="D7" t="s">
        <v>2</v>
      </c>
      <c r="E7" s="2" t="s">
        <v>330</v>
      </c>
      <c r="F7" t="s">
        <v>13</v>
      </c>
      <c r="G7" t="s">
        <v>525</v>
      </c>
      <c r="H7" t="s">
        <v>626</v>
      </c>
    </row>
    <row r="8" spans="1:9" x14ac:dyDescent="0.3">
      <c r="A8">
        <v>2.2200000000000001E-2</v>
      </c>
      <c r="B8" t="s">
        <v>57</v>
      </c>
      <c r="C8" t="s">
        <v>667</v>
      </c>
      <c r="D8" t="s">
        <v>2</v>
      </c>
      <c r="E8" s="2" t="s">
        <v>332</v>
      </c>
      <c r="F8" t="s">
        <v>13</v>
      </c>
      <c r="G8" t="s">
        <v>525</v>
      </c>
      <c r="H8" t="s">
        <v>626</v>
      </c>
    </row>
    <row r="9" spans="1:9" x14ac:dyDescent="0.3">
      <c r="A9">
        <v>32</v>
      </c>
      <c r="B9" t="s">
        <v>542</v>
      </c>
      <c r="C9" t="s">
        <v>648</v>
      </c>
      <c r="D9" t="s">
        <v>2</v>
      </c>
      <c r="E9" t="s">
        <v>111</v>
      </c>
      <c r="F9" t="s">
        <v>13</v>
      </c>
      <c r="G9" t="s">
        <v>525</v>
      </c>
      <c r="H9" t="s">
        <v>626</v>
      </c>
    </row>
    <row r="10" spans="1:9" x14ac:dyDescent="0.3">
      <c r="A10">
        <f>68.2242990654206/48</f>
        <v>1.4213395638629291</v>
      </c>
      <c r="B10" t="s">
        <v>57</v>
      </c>
      <c r="C10" t="s">
        <v>671</v>
      </c>
      <c r="D10" t="s">
        <v>2</v>
      </c>
      <c r="E10" t="s">
        <v>398</v>
      </c>
      <c r="F10" t="s">
        <v>13</v>
      </c>
      <c r="G10" t="s">
        <v>525</v>
      </c>
      <c r="H10" t="s">
        <v>626</v>
      </c>
    </row>
    <row r="11" spans="1:9" x14ac:dyDescent="0.3">
      <c r="A11">
        <f>4.01*2.31803430690774E-09</f>
        <v>9.295317570700037E-9</v>
      </c>
      <c r="B11" t="s">
        <v>314</v>
      </c>
      <c r="C11" t="s">
        <v>717</v>
      </c>
      <c r="D11" t="s">
        <v>2</v>
      </c>
      <c r="E11" t="s">
        <v>341</v>
      </c>
      <c r="F11" t="s">
        <v>13</v>
      </c>
      <c r="G11" t="s">
        <v>525</v>
      </c>
      <c r="H11" t="s">
        <v>626</v>
      </c>
    </row>
    <row r="12" spans="1:9" x14ac:dyDescent="0.3">
      <c r="A12">
        <f>$A$2*'[1]SGS prod APAC'!I6</f>
        <v>0</v>
      </c>
      <c r="B12" t="s">
        <v>314</v>
      </c>
      <c r="C12" t="s">
        <v>620</v>
      </c>
      <c r="D12" t="s">
        <v>2</v>
      </c>
      <c r="E12" s="2" t="s">
        <v>455</v>
      </c>
      <c r="F12" t="s">
        <v>13</v>
      </c>
      <c r="G12" t="s">
        <v>525</v>
      </c>
      <c r="H12" t="s">
        <v>621</v>
      </c>
    </row>
    <row r="13" spans="1:9" x14ac:dyDescent="0.3">
      <c r="A13">
        <f>$A$2*'[1]SGS prod APAC'!I7</f>
        <v>1.2229254135450123E-7</v>
      </c>
      <c r="B13" t="s">
        <v>314</v>
      </c>
      <c r="C13" t="s">
        <v>622</v>
      </c>
      <c r="D13" t="s">
        <v>2</v>
      </c>
      <c r="E13" s="2" t="s">
        <v>409</v>
      </c>
      <c r="F13" t="s">
        <v>13</v>
      </c>
      <c r="G13" t="s">
        <v>525</v>
      </c>
      <c r="H13" t="s">
        <v>621</v>
      </c>
    </row>
    <row r="14" spans="1:9" x14ac:dyDescent="0.3">
      <c r="A14">
        <f>$A$2*'[1]SGS prod APAC'!I8</f>
        <v>1.640606341579916E-7</v>
      </c>
      <c r="B14" t="s">
        <v>314</v>
      </c>
      <c r="C14" t="s">
        <v>623</v>
      </c>
      <c r="D14" t="s">
        <v>2</v>
      </c>
      <c r="E14" s="2" t="s">
        <v>443</v>
      </c>
      <c r="F14" t="s">
        <v>13</v>
      </c>
      <c r="G14" t="s">
        <v>525</v>
      </c>
      <c r="H14" t="s">
        <v>621</v>
      </c>
    </row>
    <row r="15" spans="1:9" x14ac:dyDescent="0.3">
      <c r="A15">
        <v>1.6699999999999999E-4</v>
      </c>
      <c r="B15" s="2" t="s">
        <v>319</v>
      </c>
      <c r="C15" t="s">
        <v>672</v>
      </c>
      <c r="D15" t="s">
        <v>2</v>
      </c>
      <c r="E15" s="18" t="s">
        <v>375</v>
      </c>
      <c r="F15" t="s">
        <v>13</v>
      </c>
      <c r="G15" t="s">
        <v>525</v>
      </c>
      <c r="H15" t="s">
        <v>626</v>
      </c>
    </row>
    <row r="16" spans="1:9" x14ac:dyDescent="0.3">
      <c r="A16">
        <v>2.1116620218286924E-7</v>
      </c>
      <c r="B16" t="s">
        <v>314</v>
      </c>
      <c r="C16" t="s">
        <v>654</v>
      </c>
      <c r="D16" t="s">
        <v>2</v>
      </c>
      <c r="E16" s="2" t="s">
        <v>449</v>
      </c>
      <c r="F16" t="s">
        <v>13</v>
      </c>
      <c r="G16" t="s">
        <v>525</v>
      </c>
      <c r="H16" t="s">
        <v>655</v>
      </c>
    </row>
    <row r="17" spans="1:8" x14ac:dyDescent="0.3">
      <c r="A17">
        <v>1.1614141120057812E-6</v>
      </c>
      <c r="B17" t="s">
        <v>314</v>
      </c>
      <c r="C17" t="s">
        <v>656</v>
      </c>
      <c r="D17" t="s">
        <v>2</v>
      </c>
      <c r="E17" s="2" t="s">
        <v>487</v>
      </c>
      <c r="F17" t="s">
        <v>13</v>
      </c>
      <c r="G17" t="s">
        <v>525</v>
      </c>
      <c r="H17" t="s">
        <v>655</v>
      </c>
    </row>
    <row r="18" spans="1:8" x14ac:dyDescent="0.3">
      <c r="A18">
        <v>1.2129779520736912E-6</v>
      </c>
      <c r="B18" t="s">
        <v>314</v>
      </c>
      <c r="C18" t="s">
        <v>495</v>
      </c>
      <c r="D18" t="s">
        <v>494</v>
      </c>
      <c r="E18" t="s">
        <v>495</v>
      </c>
      <c r="F18" t="s">
        <v>13</v>
      </c>
      <c r="G18" t="s">
        <v>525</v>
      </c>
      <c r="H18" t="s">
        <v>655</v>
      </c>
    </row>
    <row r="19" spans="1:8" x14ac:dyDescent="0.3">
      <c r="A19">
        <v>1.7875464556875446E-6</v>
      </c>
      <c r="B19" t="s">
        <v>314</v>
      </c>
      <c r="C19" t="s">
        <v>496</v>
      </c>
      <c r="D19" t="s">
        <v>494</v>
      </c>
      <c r="E19" s="2" t="s">
        <v>496</v>
      </c>
      <c r="F19" t="s">
        <v>13</v>
      </c>
      <c r="G19" t="s">
        <v>525</v>
      </c>
      <c r="H19" t="s">
        <v>655</v>
      </c>
    </row>
    <row r="20" spans="1:8" x14ac:dyDescent="0.3">
      <c r="A20">
        <v>1.2768188969196751E-6</v>
      </c>
      <c r="B20" t="s">
        <v>314</v>
      </c>
      <c r="C20" t="s">
        <v>497</v>
      </c>
      <c r="D20" t="s">
        <v>494</v>
      </c>
      <c r="E20" s="2" t="s">
        <v>497</v>
      </c>
      <c r="F20" t="s">
        <v>13</v>
      </c>
      <c r="G20" t="s">
        <v>525</v>
      </c>
      <c r="H20" t="s">
        <v>655</v>
      </c>
    </row>
    <row r="21" spans="1:8" x14ac:dyDescent="0.3">
      <c r="A21">
        <v>1.8744600613122816E-7</v>
      </c>
      <c r="B21" t="s">
        <v>507</v>
      </c>
      <c r="C21" t="s">
        <v>506</v>
      </c>
      <c r="D21" t="s">
        <v>498</v>
      </c>
      <c r="E21" s="2" t="s">
        <v>506</v>
      </c>
      <c r="F21" t="s">
        <v>13</v>
      </c>
      <c r="G21" t="s">
        <v>525</v>
      </c>
      <c r="H21" t="s">
        <v>655</v>
      </c>
    </row>
    <row r="22" spans="1:8" x14ac:dyDescent="0.3">
      <c r="A22">
        <v>3.3849999999999998E-2</v>
      </c>
      <c r="B22" t="s">
        <v>57</v>
      </c>
      <c r="C22" t="s">
        <v>722</v>
      </c>
      <c r="D22" t="s">
        <v>498</v>
      </c>
      <c r="E22" t="s">
        <v>514</v>
      </c>
      <c r="F22" t="s">
        <v>13</v>
      </c>
      <c r="G22" t="s">
        <v>525</v>
      </c>
      <c r="H22" t="s">
        <v>626</v>
      </c>
    </row>
    <row r="23" spans="1:8" x14ac:dyDescent="0.3">
      <c r="A23">
        <v>4.4149999999999997E-3</v>
      </c>
      <c r="B23" t="s">
        <v>57</v>
      </c>
      <c r="C23" t="s">
        <v>723</v>
      </c>
      <c r="D23" t="s">
        <v>498</v>
      </c>
      <c r="E23" t="s">
        <v>516</v>
      </c>
      <c r="F23" t="s">
        <v>13</v>
      </c>
      <c r="G23" t="s">
        <v>525</v>
      </c>
      <c r="H23" t="s">
        <v>626</v>
      </c>
    </row>
    <row r="24" spans="1:8" x14ac:dyDescent="0.3">
      <c r="A24">
        <v>8.3500000000000005E-2</v>
      </c>
      <c r="B24" t="s">
        <v>57</v>
      </c>
      <c r="C24" t="s">
        <v>724</v>
      </c>
      <c r="D24" t="s">
        <v>498</v>
      </c>
      <c r="E24" t="s">
        <v>514</v>
      </c>
      <c r="F24" t="s">
        <v>13</v>
      </c>
      <c r="G24" t="s">
        <v>525</v>
      </c>
      <c r="H24" t="s">
        <v>626</v>
      </c>
    </row>
    <row r="25" spans="1:8" x14ac:dyDescent="0.3">
      <c r="A25">
        <v>3.8273831775700931</v>
      </c>
      <c r="B25" t="s">
        <v>57</v>
      </c>
      <c r="C25" t="s">
        <v>535</v>
      </c>
      <c r="D25" t="s">
        <v>498</v>
      </c>
      <c r="E25" t="s">
        <v>502</v>
      </c>
      <c r="F25" t="s">
        <v>13</v>
      </c>
      <c r="G25" t="s">
        <v>525</v>
      </c>
      <c r="H25" t="s">
        <v>658</v>
      </c>
    </row>
    <row r="26" spans="1:8" x14ac:dyDescent="0.3">
      <c r="A26">
        <v>3.411214953271028E-4</v>
      </c>
      <c r="B26" t="s">
        <v>57</v>
      </c>
      <c r="C26" t="s">
        <v>500</v>
      </c>
      <c r="D26" t="s">
        <v>498</v>
      </c>
      <c r="E26" t="s">
        <v>500</v>
      </c>
      <c r="F26" t="s">
        <v>13</v>
      </c>
      <c r="G26" t="s">
        <v>525</v>
      </c>
      <c r="H26" t="s">
        <v>658</v>
      </c>
    </row>
    <row r="27" spans="1:8" x14ac:dyDescent="0.3">
      <c r="A27">
        <v>6.8224299065420561E-6</v>
      </c>
      <c r="B27" t="s">
        <v>57</v>
      </c>
      <c r="C27" t="s">
        <v>511</v>
      </c>
      <c r="D27" t="s">
        <v>498</v>
      </c>
      <c r="E27" t="s">
        <v>511</v>
      </c>
      <c r="F27" t="s">
        <v>13</v>
      </c>
      <c r="G27" t="s">
        <v>525</v>
      </c>
      <c r="H27" t="s">
        <v>658</v>
      </c>
    </row>
    <row r="28" spans="1:8" x14ac:dyDescent="0.3">
      <c r="A28">
        <v>0</v>
      </c>
      <c r="B28" t="s">
        <v>312</v>
      </c>
      <c r="C28" t="s">
        <v>483</v>
      </c>
      <c r="D28" t="s">
        <v>2</v>
      </c>
      <c r="E28" t="s">
        <v>483</v>
      </c>
      <c r="F28" t="s">
        <v>13</v>
      </c>
      <c r="G28" t="s">
        <v>525</v>
      </c>
    </row>
    <row r="29" spans="1:8" x14ac:dyDescent="0.3">
      <c r="A29">
        <v>0</v>
      </c>
      <c r="B29" t="s">
        <v>105</v>
      </c>
      <c r="C29" t="s">
        <v>125</v>
      </c>
      <c r="D29" t="s">
        <v>2</v>
      </c>
      <c r="E29" t="s">
        <v>125</v>
      </c>
      <c r="F29" t="s">
        <v>13</v>
      </c>
      <c r="G29" t="s">
        <v>525</v>
      </c>
    </row>
    <row r="30" spans="1:8" x14ac:dyDescent="0.3">
      <c r="A30">
        <v>0</v>
      </c>
      <c r="B30" t="s">
        <v>319</v>
      </c>
      <c r="C30" t="s">
        <v>461</v>
      </c>
      <c r="D30" t="s">
        <v>2</v>
      </c>
      <c r="E30" t="s">
        <v>461</v>
      </c>
      <c r="F30" t="s">
        <v>13</v>
      </c>
      <c r="G30" t="s">
        <v>525</v>
      </c>
    </row>
    <row r="31" spans="1:8" x14ac:dyDescent="0.3">
      <c r="A31">
        <v>0</v>
      </c>
      <c r="B31" t="s">
        <v>314</v>
      </c>
      <c r="C31" t="s">
        <v>395</v>
      </c>
      <c r="D31" t="s">
        <v>2</v>
      </c>
      <c r="E31" t="s">
        <v>395</v>
      </c>
      <c r="F31" t="s">
        <v>13</v>
      </c>
      <c r="G31" t="s">
        <v>525</v>
      </c>
    </row>
    <row r="32" spans="1:8" x14ac:dyDescent="0.3">
      <c r="A32">
        <v>0</v>
      </c>
      <c r="B32" t="s">
        <v>312</v>
      </c>
      <c r="C32" t="s">
        <v>399</v>
      </c>
      <c r="D32" t="s">
        <v>2</v>
      </c>
      <c r="E32" t="s">
        <v>399</v>
      </c>
      <c r="F32" t="s">
        <v>13</v>
      </c>
      <c r="G32" t="s">
        <v>525</v>
      </c>
    </row>
    <row r="33" spans="1:7" x14ac:dyDescent="0.3">
      <c r="A33">
        <v>0</v>
      </c>
      <c r="B33" t="s">
        <v>314</v>
      </c>
      <c r="C33" t="s">
        <v>432</v>
      </c>
      <c r="D33" t="s">
        <v>2</v>
      </c>
      <c r="E33" t="s">
        <v>432</v>
      </c>
      <c r="F33" t="s">
        <v>13</v>
      </c>
      <c r="G33" t="s">
        <v>525</v>
      </c>
    </row>
    <row r="34" spans="1:7" x14ac:dyDescent="0.3">
      <c r="A34">
        <v>0</v>
      </c>
      <c r="B34" t="s">
        <v>312</v>
      </c>
      <c r="C34" t="s">
        <v>325</v>
      </c>
      <c r="D34" t="s">
        <v>2</v>
      </c>
      <c r="E34" t="s">
        <v>325</v>
      </c>
      <c r="F34" t="s">
        <v>13</v>
      </c>
      <c r="G34" t="s">
        <v>525</v>
      </c>
    </row>
    <row r="35" spans="1:7" x14ac:dyDescent="0.3">
      <c r="A35">
        <v>0</v>
      </c>
      <c r="B35" t="s">
        <v>314</v>
      </c>
      <c r="C35" t="s">
        <v>372</v>
      </c>
      <c r="D35" t="s">
        <v>2</v>
      </c>
      <c r="E35" t="s">
        <v>372</v>
      </c>
      <c r="F35" t="s">
        <v>13</v>
      </c>
      <c r="G35" t="s">
        <v>525</v>
      </c>
    </row>
    <row r="36" spans="1:7" x14ac:dyDescent="0.3">
      <c r="A36">
        <v>0</v>
      </c>
      <c r="B36" t="s">
        <v>314</v>
      </c>
      <c r="C36" t="s">
        <v>260</v>
      </c>
      <c r="D36" t="s">
        <v>2</v>
      </c>
      <c r="E36" t="s">
        <v>260</v>
      </c>
      <c r="F36" t="s">
        <v>13</v>
      </c>
      <c r="G36" t="s">
        <v>525</v>
      </c>
    </row>
    <row r="37" spans="1:7" x14ac:dyDescent="0.3">
      <c r="A37">
        <v>0</v>
      </c>
      <c r="B37" t="s">
        <v>312</v>
      </c>
      <c r="C37" t="s">
        <v>330</v>
      </c>
      <c r="D37" t="s">
        <v>2</v>
      </c>
      <c r="E37" t="s">
        <v>330</v>
      </c>
      <c r="F37" t="s">
        <v>13</v>
      </c>
      <c r="G37" t="s">
        <v>525</v>
      </c>
    </row>
    <row r="38" spans="1:7" x14ac:dyDescent="0.3">
      <c r="A38">
        <v>0</v>
      </c>
      <c r="B38" t="s">
        <v>105</v>
      </c>
      <c r="C38" t="s">
        <v>401</v>
      </c>
      <c r="D38" t="s">
        <v>2</v>
      </c>
      <c r="E38" t="s">
        <v>401</v>
      </c>
      <c r="F38" t="s">
        <v>13</v>
      </c>
      <c r="G38" t="s">
        <v>525</v>
      </c>
    </row>
    <row r="39" spans="1:7" x14ac:dyDescent="0.3">
      <c r="A39">
        <v>0</v>
      </c>
      <c r="B39" t="s">
        <v>312</v>
      </c>
      <c r="C39" t="s">
        <v>416</v>
      </c>
      <c r="D39" t="s">
        <v>2</v>
      </c>
      <c r="E39" t="s">
        <v>416</v>
      </c>
      <c r="F39" t="s">
        <v>13</v>
      </c>
      <c r="G39" t="s">
        <v>525</v>
      </c>
    </row>
    <row r="40" spans="1:7" x14ac:dyDescent="0.3">
      <c r="A40">
        <v>0</v>
      </c>
      <c r="B40" t="s">
        <v>319</v>
      </c>
      <c r="C40" t="s">
        <v>375</v>
      </c>
      <c r="D40" t="s">
        <v>2</v>
      </c>
      <c r="E40" t="s">
        <v>375</v>
      </c>
      <c r="F40" t="s">
        <v>13</v>
      </c>
      <c r="G40" t="s">
        <v>525</v>
      </c>
    </row>
    <row r="41" spans="1:7" x14ac:dyDescent="0.3">
      <c r="A41">
        <v>0</v>
      </c>
      <c r="B41" t="s">
        <v>312</v>
      </c>
      <c r="C41" t="s">
        <v>333</v>
      </c>
      <c r="D41" t="s">
        <v>2</v>
      </c>
      <c r="E41" t="s">
        <v>333</v>
      </c>
      <c r="F41" t="s">
        <v>13</v>
      </c>
      <c r="G41" t="s">
        <v>525</v>
      </c>
    </row>
    <row r="42" spans="1:7" x14ac:dyDescent="0.3">
      <c r="A42">
        <v>0</v>
      </c>
      <c r="B42" t="s">
        <v>57</v>
      </c>
      <c r="C42" t="s">
        <v>118</v>
      </c>
      <c r="D42" t="s">
        <v>2</v>
      </c>
      <c r="E42" t="s">
        <v>118</v>
      </c>
      <c r="F42" t="s">
        <v>13</v>
      </c>
      <c r="G42" t="s">
        <v>525</v>
      </c>
    </row>
    <row r="43" spans="1:7" x14ac:dyDescent="0.3">
      <c r="A43">
        <v>0</v>
      </c>
      <c r="B43" t="s">
        <v>312</v>
      </c>
      <c r="C43" t="s">
        <v>406</v>
      </c>
      <c r="D43" t="s">
        <v>2</v>
      </c>
      <c r="E43" t="s">
        <v>406</v>
      </c>
      <c r="F43" t="s">
        <v>13</v>
      </c>
      <c r="G43" t="s">
        <v>525</v>
      </c>
    </row>
    <row r="44" spans="1:7" x14ac:dyDescent="0.3">
      <c r="A44">
        <v>0</v>
      </c>
      <c r="B44" t="s">
        <v>312</v>
      </c>
      <c r="C44" t="s">
        <v>315</v>
      </c>
      <c r="D44" t="s">
        <v>2</v>
      </c>
      <c r="E44" t="s">
        <v>315</v>
      </c>
      <c r="F44" t="s">
        <v>13</v>
      </c>
      <c r="G44" t="s">
        <v>525</v>
      </c>
    </row>
    <row r="45" spans="1:7" x14ac:dyDescent="0.3">
      <c r="A45">
        <v>0</v>
      </c>
      <c r="B45" t="s">
        <v>312</v>
      </c>
      <c r="C45" t="s">
        <v>358</v>
      </c>
      <c r="D45" t="s">
        <v>2</v>
      </c>
      <c r="E45" t="s">
        <v>358</v>
      </c>
      <c r="F45" t="s">
        <v>13</v>
      </c>
      <c r="G45" t="s">
        <v>525</v>
      </c>
    </row>
    <row r="46" spans="1:7" x14ac:dyDescent="0.3">
      <c r="A46">
        <v>0</v>
      </c>
      <c r="B46" t="s">
        <v>314</v>
      </c>
      <c r="C46" t="s">
        <v>444</v>
      </c>
      <c r="D46" t="s">
        <v>2</v>
      </c>
      <c r="E46" t="s">
        <v>444</v>
      </c>
      <c r="F46" t="s">
        <v>13</v>
      </c>
      <c r="G46" t="s">
        <v>525</v>
      </c>
    </row>
    <row r="47" spans="1:7" x14ac:dyDescent="0.3">
      <c r="A47">
        <v>0</v>
      </c>
      <c r="B47" t="s">
        <v>312</v>
      </c>
      <c r="C47" t="s">
        <v>439</v>
      </c>
      <c r="D47" t="s">
        <v>2</v>
      </c>
      <c r="E47" t="s">
        <v>439</v>
      </c>
      <c r="F47" t="s">
        <v>13</v>
      </c>
      <c r="G47" t="s">
        <v>525</v>
      </c>
    </row>
    <row r="48" spans="1:7" x14ac:dyDescent="0.3">
      <c r="A48">
        <v>0</v>
      </c>
      <c r="B48" t="s">
        <v>312</v>
      </c>
      <c r="C48" t="s">
        <v>381</v>
      </c>
      <c r="D48" t="s">
        <v>2</v>
      </c>
      <c r="E48" t="s">
        <v>381</v>
      </c>
      <c r="F48" t="s">
        <v>13</v>
      </c>
      <c r="G48" t="s">
        <v>525</v>
      </c>
    </row>
    <row r="49" spans="1:7" x14ac:dyDescent="0.3">
      <c r="A49">
        <v>0</v>
      </c>
      <c r="B49" t="s">
        <v>312</v>
      </c>
      <c r="C49" t="s">
        <v>418</v>
      </c>
      <c r="D49" t="s">
        <v>2</v>
      </c>
      <c r="E49" t="s">
        <v>418</v>
      </c>
      <c r="F49" t="s">
        <v>13</v>
      </c>
      <c r="G49" t="s">
        <v>525</v>
      </c>
    </row>
    <row r="50" spans="1:7" x14ac:dyDescent="0.3">
      <c r="A50">
        <v>0</v>
      </c>
      <c r="B50" t="s">
        <v>314</v>
      </c>
      <c r="C50" t="s">
        <v>465</v>
      </c>
      <c r="D50" t="s">
        <v>2</v>
      </c>
      <c r="E50" t="s">
        <v>465</v>
      </c>
      <c r="F50" t="s">
        <v>13</v>
      </c>
      <c r="G50" t="s">
        <v>525</v>
      </c>
    </row>
    <row r="51" spans="1:7" x14ac:dyDescent="0.3">
      <c r="A51">
        <v>0</v>
      </c>
      <c r="B51" t="s">
        <v>105</v>
      </c>
      <c r="C51" t="s">
        <v>103</v>
      </c>
      <c r="D51" t="s">
        <v>2</v>
      </c>
      <c r="E51" t="s">
        <v>103</v>
      </c>
      <c r="F51" t="s">
        <v>13</v>
      </c>
      <c r="G51" t="s">
        <v>525</v>
      </c>
    </row>
    <row r="52" spans="1:7" x14ac:dyDescent="0.3">
      <c r="A52">
        <v>0</v>
      </c>
      <c r="B52" t="s">
        <v>312</v>
      </c>
      <c r="C52" t="s">
        <v>320</v>
      </c>
      <c r="D52" t="s">
        <v>2</v>
      </c>
      <c r="E52" t="s">
        <v>320</v>
      </c>
      <c r="F52" t="s">
        <v>13</v>
      </c>
      <c r="G52" t="s">
        <v>525</v>
      </c>
    </row>
    <row r="53" spans="1:7" x14ac:dyDescent="0.3">
      <c r="A53">
        <v>0</v>
      </c>
      <c r="B53" t="s">
        <v>312</v>
      </c>
      <c r="C53" t="s">
        <v>334</v>
      </c>
      <c r="D53" t="s">
        <v>2</v>
      </c>
      <c r="E53" t="s">
        <v>334</v>
      </c>
      <c r="F53" t="s">
        <v>13</v>
      </c>
      <c r="G53" t="s">
        <v>525</v>
      </c>
    </row>
    <row r="54" spans="1:7" x14ac:dyDescent="0.3">
      <c r="A54">
        <v>0</v>
      </c>
      <c r="B54" t="s">
        <v>312</v>
      </c>
      <c r="C54" t="s">
        <v>435</v>
      </c>
      <c r="D54" t="s">
        <v>2</v>
      </c>
      <c r="E54" t="s">
        <v>435</v>
      </c>
      <c r="F54" t="s">
        <v>13</v>
      </c>
      <c r="G54" t="s">
        <v>525</v>
      </c>
    </row>
    <row r="55" spans="1:7" x14ac:dyDescent="0.3">
      <c r="A55">
        <v>0</v>
      </c>
      <c r="B55" t="s">
        <v>319</v>
      </c>
      <c r="C55" t="s">
        <v>456</v>
      </c>
      <c r="D55" t="s">
        <v>2</v>
      </c>
      <c r="E55" t="s">
        <v>456</v>
      </c>
      <c r="F55" t="s">
        <v>13</v>
      </c>
      <c r="G55" t="s">
        <v>525</v>
      </c>
    </row>
    <row r="56" spans="1:7" x14ac:dyDescent="0.3">
      <c r="A56">
        <v>0</v>
      </c>
      <c r="B56" t="s">
        <v>312</v>
      </c>
      <c r="C56" t="s">
        <v>474</v>
      </c>
      <c r="D56" t="s">
        <v>2</v>
      </c>
      <c r="E56" t="s">
        <v>474</v>
      </c>
      <c r="F56" t="s">
        <v>13</v>
      </c>
      <c r="G56" t="s">
        <v>525</v>
      </c>
    </row>
    <row r="57" spans="1:7" x14ac:dyDescent="0.3">
      <c r="A57">
        <v>0</v>
      </c>
      <c r="B57" t="s">
        <v>319</v>
      </c>
      <c r="C57" t="s">
        <v>318</v>
      </c>
      <c r="D57" t="s">
        <v>2</v>
      </c>
      <c r="E57" t="s">
        <v>318</v>
      </c>
      <c r="F57" t="s">
        <v>13</v>
      </c>
      <c r="G57" t="s">
        <v>525</v>
      </c>
    </row>
    <row r="58" spans="1:7" x14ac:dyDescent="0.3">
      <c r="A58">
        <v>0</v>
      </c>
      <c r="B58" t="s">
        <v>314</v>
      </c>
      <c r="C58" t="s">
        <v>475</v>
      </c>
      <c r="D58" t="s">
        <v>2</v>
      </c>
      <c r="E58" t="s">
        <v>475</v>
      </c>
      <c r="F58" t="s">
        <v>13</v>
      </c>
      <c r="G58" t="s">
        <v>525</v>
      </c>
    </row>
    <row r="59" spans="1:7" x14ac:dyDescent="0.3">
      <c r="A59">
        <v>0</v>
      </c>
      <c r="B59" t="s">
        <v>314</v>
      </c>
      <c r="C59" t="s">
        <v>449</v>
      </c>
      <c r="D59" t="s">
        <v>2</v>
      </c>
      <c r="E59" t="s">
        <v>449</v>
      </c>
      <c r="F59" t="s">
        <v>13</v>
      </c>
      <c r="G59" t="s">
        <v>525</v>
      </c>
    </row>
    <row r="60" spans="1:7" x14ac:dyDescent="0.3">
      <c r="A60">
        <v>0</v>
      </c>
      <c r="B60" t="s">
        <v>314</v>
      </c>
      <c r="C60" t="s">
        <v>176</v>
      </c>
      <c r="D60" t="s">
        <v>2</v>
      </c>
      <c r="E60" t="s">
        <v>176</v>
      </c>
      <c r="F60" t="s">
        <v>13</v>
      </c>
      <c r="G60" t="s">
        <v>525</v>
      </c>
    </row>
    <row r="61" spans="1:7" x14ac:dyDescent="0.3">
      <c r="A61">
        <v>0</v>
      </c>
      <c r="B61" t="s">
        <v>312</v>
      </c>
      <c r="C61" t="s">
        <v>388</v>
      </c>
      <c r="D61" t="s">
        <v>2</v>
      </c>
      <c r="E61" t="s">
        <v>388</v>
      </c>
      <c r="F61" t="s">
        <v>13</v>
      </c>
      <c r="G61" t="s">
        <v>525</v>
      </c>
    </row>
    <row r="62" spans="1:7" x14ac:dyDescent="0.3">
      <c r="A62">
        <v>0</v>
      </c>
      <c r="B62" t="s">
        <v>319</v>
      </c>
      <c r="C62" t="s">
        <v>429</v>
      </c>
      <c r="D62" t="s">
        <v>2</v>
      </c>
      <c r="E62" t="s">
        <v>429</v>
      </c>
      <c r="F62" t="s">
        <v>13</v>
      </c>
      <c r="G62" t="s">
        <v>525</v>
      </c>
    </row>
    <row r="63" spans="1:7" x14ac:dyDescent="0.3">
      <c r="A63">
        <v>0</v>
      </c>
      <c r="B63" t="s">
        <v>312</v>
      </c>
      <c r="C63" t="s">
        <v>272</v>
      </c>
      <c r="D63" t="s">
        <v>2</v>
      </c>
      <c r="E63" t="s">
        <v>272</v>
      </c>
      <c r="F63" t="s">
        <v>13</v>
      </c>
      <c r="G63" t="s">
        <v>525</v>
      </c>
    </row>
    <row r="64" spans="1:7" x14ac:dyDescent="0.3">
      <c r="A64">
        <v>0</v>
      </c>
      <c r="B64" t="s">
        <v>312</v>
      </c>
      <c r="C64" t="s">
        <v>410</v>
      </c>
      <c r="D64" t="s">
        <v>2</v>
      </c>
      <c r="E64" t="s">
        <v>410</v>
      </c>
      <c r="F64" t="s">
        <v>13</v>
      </c>
      <c r="G64" t="s">
        <v>525</v>
      </c>
    </row>
    <row r="65" spans="1:7" x14ac:dyDescent="0.3">
      <c r="A65">
        <v>0</v>
      </c>
      <c r="B65" t="s">
        <v>319</v>
      </c>
      <c r="C65" t="s">
        <v>363</v>
      </c>
      <c r="D65" t="s">
        <v>2</v>
      </c>
      <c r="E65" t="s">
        <v>363</v>
      </c>
      <c r="F65" t="s">
        <v>13</v>
      </c>
      <c r="G65" t="s">
        <v>525</v>
      </c>
    </row>
    <row r="66" spans="1:7" x14ac:dyDescent="0.3">
      <c r="A66">
        <v>0</v>
      </c>
      <c r="B66" t="s">
        <v>312</v>
      </c>
      <c r="C66" t="s">
        <v>382</v>
      </c>
      <c r="D66" t="s">
        <v>2</v>
      </c>
      <c r="E66" t="s">
        <v>382</v>
      </c>
      <c r="F66" t="s">
        <v>13</v>
      </c>
      <c r="G66" t="s">
        <v>525</v>
      </c>
    </row>
    <row r="67" spans="1:7" x14ac:dyDescent="0.3">
      <c r="A67">
        <v>0</v>
      </c>
      <c r="B67" t="s">
        <v>312</v>
      </c>
      <c r="C67" t="s">
        <v>424</v>
      </c>
      <c r="D67" t="s">
        <v>2</v>
      </c>
      <c r="E67" t="s">
        <v>424</v>
      </c>
      <c r="F67" t="s">
        <v>13</v>
      </c>
      <c r="G67" t="s">
        <v>525</v>
      </c>
    </row>
    <row r="68" spans="1:7" x14ac:dyDescent="0.3">
      <c r="A68">
        <v>0</v>
      </c>
      <c r="B68" t="s">
        <v>314</v>
      </c>
      <c r="C68" t="s">
        <v>351</v>
      </c>
      <c r="D68" t="s">
        <v>2</v>
      </c>
      <c r="E68" t="s">
        <v>351</v>
      </c>
      <c r="F68" t="s">
        <v>13</v>
      </c>
      <c r="G68" t="s">
        <v>525</v>
      </c>
    </row>
    <row r="69" spans="1:7" x14ac:dyDescent="0.3">
      <c r="A69">
        <v>0</v>
      </c>
      <c r="B69" t="s">
        <v>312</v>
      </c>
      <c r="C69" t="s">
        <v>347</v>
      </c>
      <c r="D69" t="s">
        <v>2</v>
      </c>
      <c r="E69" t="s">
        <v>347</v>
      </c>
      <c r="F69" t="s">
        <v>13</v>
      </c>
      <c r="G69" t="s">
        <v>525</v>
      </c>
    </row>
    <row r="70" spans="1:7" x14ac:dyDescent="0.3">
      <c r="A70">
        <v>0</v>
      </c>
      <c r="B70" t="s">
        <v>314</v>
      </c>
      <c r="C70" t="s">
        <v>453</v>
      </c>
      <c r="D70" t="s">
        <v>2</v>
      </c>
      <c r="E70" t="s">
        <v>453</v>
      </c>
      <c r="F70" t="s">
        <v>13</v>
      </c>
      <c r="G70" t="s">
        <v>525</v>
      </c>
    </row>
    <row r="71" spans="1:7" x14ac:dyDescent="0.3">
      <c r="A71">
        <v>0</v>
      </c>
      <c r="B71" t="s">
        <v>319</v>
      </c>
      <c r="C71" t="s">
        <v>457</v>
      </c>
      <c r="D71" t="s">
        <v>2</v>
      </c>
      <c r="E71" t="s">
        <v>457</v>
      </c>
      <c r="F71" t="s">
        <v>13</v>
      </c>
      <c r="G71" t="s">
        <v>525</v>
      </c>
    </row>
    <row r="72" spans="1:7" x14ac:dyDescent="0.3">
      <c r="A72">
        <v>0</v>
      </c>
      <c r="B72" t="s">
        <v>312</v>
      </c>
      <c r="C72" t="s">
        <v>485</v>
      </c>
      <c r="D72" t="s">
        <v>2</v>
      </c>
      <c r="E72" t="s">
        <v>485</v>
      </c>
      <c r="F72" t="s">
        <v>13</v>
      </c>
      <c r="G72" t="s">
        <v>525</v>
      </c>
    </row>
    <row r="73" spans="1:7" x14ac:dyDescent="0.3">
      <c r="A73">
        <v>0</v>
      </c>
      <c r="B73" t="s">
        <v>312</v>
      </c>
      <c r="C73" t="s">
        <v>355</v>
      </c>
      <c r="D73" t="s">
        <v>2</v>
      </c>
      <c r="E73" t="s">
        <v>355</v>
      </c>
      <c r="F73" t="s">
        <v>13</v>
      </c>
      <c r="G73" t="s">
        <v>525</v>
      </c>
    </row>
    <row r="74" spans="1:7" x14ac:dyDescent="0.3">
      <c r="A74">
        <v>0</v>
      </c>
      <c r="B74" t="s">
        <v>312</v>
      </c>
      <c r="C74" t="s">
        <v>338</v>
      </c>
      <c r="D74" t="s">
        <v>2</v>
      </c>
      <c r="E74" t="s">
        <v>338</v>
      </c>
      <c r="F74" t="s">
        <v>13</v>
      </c>
      <c r="G74" t="s">
        <v>525</v>
      </c>
    </row>
    <row r="75" spans="1:7" x14ac:dyDescent="0.3">
      <c r="A75">
        <v>0</v>
      </c>
      <c r="B75" t="s">
        <v>312</v>
      </c>
      <c r="C75" t="s">
        <v>394</v>
      </c>
      <c r="D75" t="s">
        <v>2</v>
      </c>
      <c r="E75" t="s">
        <v>394</v>
      </c>
      <c r="F75" t="s">
        <v>13</v>
      </c>
      <c r="G75" t="s">
        <v>525</v>
      </c>
    </row>
    <row r="76" spans="1:7" x14ac:dyDescent="0.3">
      <c r="A76">
        <v>0</v>
      </c>
      <c r="B76" t="s">
        <v>312</v>
      </c>
      <c r="C76" t="s">
        <v>438</v>
      </c>
      <c r="D76" t="s">
        <v>2</v>
      </c>
      <c r="E76" t="s">
        <v>438</v>
      </c>
      <c r="F76" t="s">
        <v>13</v>
      </c>
      <c r="G76" t="s">
        <v>525</v>
      </c>
    </row>
    <row r="77" spans="1:7" x14ac:dyDescent="0.3">
      <c r="A77">
        <v>0</v>
      </c>
      <c r="B77" t="s">
        <v>312</v>
      </c>
      <c r="C77" t="s">
        <v>486</v>
      </c>
      <c r="D77" t="s">
        <v>2</v>
      </c>
      <c r="E77" t="s">
        <v>486</v>
      </c>
      <c r="F77" t="s">
        <v>13</v>
      </c>
      <c r="G77" t="s">
        <v>525</v>
      </c>
    </row>
    <row r="78" spans="1:7" x14ac:dyDescent="0.3">
      <c r="A78">
        <v>0</v>
      </c>
      <c r="B78" t="s">
        <v>319</v>
      </c>
      <c r="C78" t="s">
        <v>419</v>
      </c>
      <c r="D78" t="s">
        <v>2</v>
      </c>
      <c r="E78" t="s">
        <v>419</v>
      </c>
      <c r="F78" t="s">
        <v>13</v>
      </c>
      <c r="G78" t="s">
        <v>525</v>
      </c>
    </row>
    <row r="79" spans="1:7" x14ac:dyDescent="0.3">
      <c r="A79">
        <v>0</v>
      </c>
      <c r="B79" t="s">
        <v>57</v>
      </c>
      <c r="C79" t="s">
        <v>353</v>
      </c>
      <c r="D79" t="s">
        <v>2</v>
      </c>
      <c r="E79" t="s">
        <v>353</v>
      </c>
      <c r="F79" t="s">
        <v>13</v>
      </c>
      <c r="G79" t="s">
        <v>525</v>
      </c>
    </row>
    <row r="80" spans="1:7" x14ac:dyDescent="0.3">
      <c r="A80">
        <v>0</v>
      </c>
      <c r="B80" t="s">
        <v>319</v>
      </c>
      <c r="C80" t="s">
        <v>489</v>
      </c>
      <c r="D80" t="s">
        <v>2</v>
      </c>
      <c r="E80" t="s">
        <v>489</v>
      </c>
      <c r="F80" t="s">
        <v>13</v>
      </c>
      <c r="G80" t="s">
        <v>525</v>
      </c>
    </row>
    <row r="81" spans="1:7" x14ac:dyDescent="0.3">
      <c r="A81">
        <v>0</v>
      </c>
      <c r="B81" t="s">
        <v>312</v>
      </c>
      <c r="C81" t="s">
        <v>386</v>
      </c>
      <c r="D81" t="s">
        <v>2</v>
      </c>
      <c r="E81" t="s">
        <v>386</v>
      </c>
      <c r="F81" t="s">
        <v>13</v>
      </c>
      <c r="G81" t="s">
        <v>525</v>
      </c>
    </row>
    <row r="82" spans="1:7" x14ac:dyDescent="0.3">
      <c r="A82">
        <v>0</v>
      </c>
      <c r="B82" t="s">
        <v>319</v>
      </c>
      <c r="C82" t="s">
        <v>389</v>
      </c>
      <c r="D82" t="s">
        <v>2</v>
      </c>
      <c r="E82" t="s">
        <v>389</v>
      </c>
      <c r="F82" t="s">
        <v>13</v>
      </c>
      <c r="G82" t="s">
        <v>525</v>
      </c>
    </row>
    <row r="83" spans="1:7" x14ac:dyDescent="0.3">
      <c r="A83">
        <v>0</v>
      </c>
      <c r="B83" t="s">
        <v>312</v>
      </c>
      <c r="C83" t="s">
        <v>340</v>
      </c>
      <c r="D83" t="s">
        <v>2</v>
      </c>
      <c r="E83" t="s">
        <v>340</v>
      </c>
      <c r="F83" t="s">
        <v>13</v>
      </c>
      <c r="G83" t="s">
        <v>525</v>
      </c>
    </row>
    <row r="84" spans="1:7" x14ac:dyDescent="0.3">
      <c r="A84">
        <v>0</v>
      </c>
      <c r="B84" t="s">
        <v>312</v>
      </c>
      <c r="C84" t="s">
        <v>368</v>
      </c>
      <c r="D84" t="s">
        <v>2</v>
      </c>
      <c r="E84" t="s">
        <v>368</v>
      </c>
      <c r="F84" t="s">
        <v>13</v>
      </c>
      <c r="G84" t="s">
        <v>525</v>
      </c>
    </row>
    <row r="85" spans="1:7" x14ac:dyDescent="0.3">
      <c r="A85">
        <v>0</v>
      </c>
      <c r="B85" t="s">
        <v>312</v>
      </c>
      <c r="C85" t="s">
        <v>328</v>
      </c>
      <c r="D85" t="s">
        <v>2</v>
      </c>
      <c r="E85" t="s">
        <v>328</v>
      </c>
      <c r="F85" t="s">
        <v>13</v>
      </c>
      <c r="G85" t="s">
        <v>525</v>
      </c>
    </row>
    <row r="86" spans="1:7" x14ac:dyDescent="0.3">
      <c r="A86">
        <v>0</v>
      </c>
      <c r="B86" t="s">
        <v>312</v>
      </c>
      <c r="C86" t="s">
        <v>479</v>
      </c>
      <c r="D86" t="s">
        <v>2</v>
      </c>
      <c r="E86" t="s">
        <v>479</v>
      </c>
      <c r="F86" t="s">
        <v>13</v>
      </c>
      <c r="G86" t="s">
        <v>525</v>
      </c>
    </row>
    <row r="87" spans="1:7" x14ac:dyDescent="0.3">
      <c r="A87">
        <v>0</v>
      </c>
      <c r="B87" t="s">
        <v>57</v>
      </c>
      <c r="C87" t="s">
        <v>116</v>
      </c>
      <c r="D87" t="s">
        <v>2</v>
      </c>
      <c r="E87" t="s">
        <v>116</v>
      </c>
      <c r="F87" t="s">
        <v>13</v>
      </c>
      <c r="G87" t="s">
        <v>525</v>
      </c>
    </row>
    <row r="88" spans="1:7" x14ac:dyDescent="0.3">
      <c r="A88">
        <v>0</v>
      </c>
      <c r="B88" t="s">
        <v>312</v>
      </c>
      <c r="C88" t="s">
        <v>352</v>
      </c>
      <c r="D88" t="s">
        <v>2</v>
      </c>
      <c r="E88" t="s">
        <v>352</v>
      </c>
      <c r="F88" t="s">
        <v>13</v>
      </c>
      <c r="G88" t="s">
        <v>525</v>
      </c>
    </row>
    <row r="89" spans="1:7" x14ac:dyDescent="0.3">
      <c r="A89">
        <v>0</v>
      </c>
      <c r="B89" t="s">
        <v>312</v>
      </c>
      <c r="C89" t="s">
        <v>417</v>
      </c>
      <c r="D89" t="s">
        <v>2</v>
      </c>
      <c r="E89" t="s">
        <v>417</v>
      </c>
      <c r="F89" t="s">
        <v>13</v>
      </c>
      <c r="G89" t="s">
        <v>525</v>
      </c>
    </row>
    <row r="90" spans="1:7" x14ac:dyDescent="0.3">
      <c r="A90">
        <v>0</v>
      </c>
      <c r="B90" t="s">
        <v>312</v>
      </c>
      <c r="C90" t="s">
        <v>447</v>
      </c>
      <c r="D90" t="s">
        <v>2</v>
      </c>
      <c r="E90" t="s">
        <v>447</v>
      </c>
      <c r="F90" t="s">
        <v>13</v>
      </c>
      <c r="G90" t="s">
        <v>525</v>
      </c>
    </row>
    <row r="91" spans="1:7" x14ac:dyDescent="0.3">
      <c r="A91">
        <v>0</v>
      </c>
      <c r="B91" t="s">
        <v>319</v>
      </c>
      <c r="C91" t="s">
        <v>329</v>
      </c>
      <c r="D91" t="s">
        <v>2</v>
      </c>
      <c r="E91" t="s">
        <v>329</v>
      </c>
      <c r="F91" t="s">
        <v>13</v>
      </c>
      <c r="G91" t="s">
        <v>525</v>
      </c>
    </row>
    <row r="92" spans="1:7" x14ac:dyDescent="0.3">
      <c r="A92">
        <v>0</v>
      </c>
      <c r="B92" t="s">
        <v>312</v>
      </c>
      <c r="C92" t="s">
        <v>252</v>
      </c>
      <c r="D92" t="s">
        <v>2</v>
      </c>
      <c r="E92" t="s">
        <v>252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317</v>
      </c>
      <c r="D93" t="s">
        <v>2</v>
      </c>
      <c r="E93" t="s">
        <v>317</v>
      </c>
      <c r="F93" t="s">
        <v>13</v>
      </c>
      <c r="G93" t="s">
        <v>525</v>
      </c>
    </row>
    <row r="94" spans="1:7" x14ac:dyDescent="0.3">
      <c r="A94">
        <v>0</v>
      </c>
      <c r="B94" t="s">
        <v>312</v>
      </c>
      <c r="C94" t="s">
        <v>436</v>
      </c>
      <c r="D94" t="s">
        <v>2</v>
      </c>
      <c r="E94" t="s">
        <v>436</v>
      </c>
      <c r="F94" t="s">
        <v>13</v>
      </c>
      <c r="G94" t="s">
        <v>525</v>
      </c>
    </row>
    <row r="95" spans="1:7" x14ac:dyDescent="0.3">
      <c r="A95">
        <v>0</v>
      </c>
      <c r="B95" t="s">
        <v>319</v>
      </c>
      <c r="C95" t="s">
        <v>490</v>
      </c>
      <c r="D95" t="s">
        <v>2</v>
      </c>
      <c r="E95" t="s">
        <v>490</v>
      </c>
      <c r="F95" t="s">
        <v>13</v>
      </c>
      <c r="G95" t="s">
        <v>525</v>
      </c>
    </row>
    <row r="96" spans="1:7" x14ac:dyDescent="0.3">
      <c r="A96">
        <v>0</v>
      </c>
      <c r="B96" t="s">
        <v>312</v>
      </c>
      <c r="C96" t="s">
        <v>391</v>
      </c>
      <c r="D96" t="s">
        <v>2</v>
      </c>
      <c r="E96" t="s">
        <v>391</v>
      </c>
      <c r="F96" t="s">
        <v>13</v>
      </c>
      <c r="G96" t="s">
        <v>525</v>
      </c>
    </row>
    <row r="97" spans="1:7" x14ac:dyDescent="0.3">
      <c r="A97">
        <v>0</v>
      </c>
      <c r="B97" t="s">
        <v>312</v>
      </c>
      <c r="C97" t="s">
        <v>235</v>
      </c>
      <c r="D97" t="s">
        <v>2</v>
      </c>
      <c r="E97" t="s">
        <v>235</v>
      </c>
      <c r="F97" t="s">
        <v>13</v>
      </c>
      <c r="G97" t="s">
        <v>525</v>
      </c>
    </row>
    <row r="98" spans="1:7" x14ac:dyDescent="0.3">
      <c r="A98">
        <v>0</v>
      </c>
      <c r="B98" t="s">
        <v>312</v>
      </c>
      <c r="C98" t="s">
        <v>493</v>
      </c>
      <c r="D98" t="s">
        <v>2</v>
      </c>
      <c r="E98" t="s">
        <v>493</v>
      </c>
      <c r="F98" t="s">
        <v>13</v>
      </c>
      <c r="G98" t="s">
        <v>525</v>
      </c>
    </row>
    <row r="99" spans="1:7" x14ac:dyDescent="0.3">
      <c r="A99">
        <v>0</v>
      </c>
      <c r="B99" t="s">
        <v>312</v>
      </c>
      <c r="C99" t="s">
        <v>335</v>
      </c>
      <c r="D99" t="s">
        <v>2</v>
      </c>
      <c r="E99" t="s">
        <v>335</v>
      </c>
      <c r="F99" t="s">
        <v>13</v>
      </c>
      <c r="G99" t="s">
        <v>525</v>
      </c>
    </row>
    <row r="100" spans="1:7" x14ac:dyDescent="0.3">
      <c r="A100">
        <v>0</v>
      </c>
      <c r="B100" t="s">
        <v>312</v>
      </c>
      <c r="C100" t="s">
        <v>354</v>
      </c>
      <c r="D100" t="s">
        <v>2</v>
      </c>
      <c r="E100" t="s">
        <v>354</v>
      </c>
      <c r="F100" t="s">
        <v>13</v>
      </c>
      <c r="G100" t="s">
        <v>525</v>
      </c>
    </row>
    <row r="101" spans="1:7" x14ac:dyDescent="0.3">
      <c r="A101">
        <v>0</v>
      </c>
      <c r="B101" t="s">
        <v>319</v>
      </c>
      <c r="C101" t="s">
        <v>360</v>
      </c>
      <c r="D101" t="s">
        <v>2</v>
      </c>
      <c r="E101" t="s">
        <v>360</v>
      </c>
      <c r="F101" t="s">
        <v>13</v>
      </c>
      <c r="G101" t="s">
        <v>525</v>
      </c>
    </row>
    <row r="102" spans="1:7" x14ac:dyDescent="0.3">
      <c r="A102">
        <v>0</v>
      </c>
      <c r="B102" t="s">
        <v>314</v>
      </c>
      <c r="C102" t="s">
        <v>356</v>
      </c>
      <c r="D102" t="s">
        <v>2</v>
      </c>
      <c r="E102" t="s">
        <v>356</v>
      </c>
      <c r="F102" t="s">
        <v>13</v>
      </c>
      <c r="G102" t="s">
        <v>525</v>
      </c>
    </row>
    <row r="103" spans="1:7" x14ac:dyDescent="0.3">
      <c r="A103">
        <v>0</v>
      </c>
      <c r="B103" t="s">
        <v>312</v>
      </c>
      <c r="C103" t="s">
        <v>405</v>
      </c>
      <c r="D103" t="s">
        <v>2</v>
      </c>
      <c r="E103" t="s">
        <v>405</v>
      </c>
      <c r="F103" t="s">
        <v>13</v>
      </c>
      <c r="G103" t="s">
        <v>525</v>
      </c>
    </row>
    <row r="104" spans="1:7" x14ac:dyDescent="0.3">
      <c r="A104">
        <v>0</v>
      </c>
      <c r="B104" t="s">
        <v>312</v>
      </c>
      <c r="C104" t="s">
        <v>471</v>
      </c>
      <c r="D104" t="s">
        <v>2</v>
      </c>
      <c r="E104" t="s">
        <v>471</v>
      </c>
      <c r="F104" t="s">
        <v>13</v>
      </c>
      <c r="G104" t="s">
        <v>525</v>
      </c>
    </row>
    <row r="105" spans="1:7" x14ac:dyDescent="0.3">
      <c r="A105">
        <v>0</v>
      </c>
      <c r="B105" t="s">
        <v>319</v>
      </c>
      <c r="C105" t="s">
        <v>421</v>
      </c>
      <c r="D105" t="s">
        <v>2</v>
      </c>
      <c r="E105" t="s">
        <v>421</v>
      </c>
      <c r="F105" t="s">
        <v>13</v>
      </c>
      <c r="G105" t="s">
        <v>525</v>
      </c>
    </row>
    <row r="106" spans="1:7" x14ac:dyDescent="0.3">
      <c r="A106">
        <v>0</v>
      </c>
      <c r="B106" t="s">
        <v>312</v>
      </c>
      <c r="C106" t="s">
        <v>321</v>
      </c>
      <c r="D106" t="s">
        <v>2</v>
      </c>
      <c r="E106" t="s">
        <v>321</v>
      </c>
      <c r="F106" t="s">
        <v>13</v>
      </c>
      <c r="G106" t="s">
        <v>525</v>
      </c>
    </row>
    <row r="107" spans="1:7" x14ac:dyDescent="0.3">
      <c r="A107">
        <v>0</v>
      </c>
      <c r="B107" t="s">
        <v>105</v>
      </c>
      <c r="C107" t="s">
        <v>113</v>
      </c>
      <c r="D107" t="s">
        <v>2</v>
      </c>
      <c r="E107" t="s">
        <v>113</v>
      </c>
      <c r="F107" t="s">
        <v>13</v>
      </c>
      <c r="G107" t="s">
        <v>525</v>
      </c>
    </row>
    <row r="108" spans="1:7" x14ac:dyDescent="0.3">
      <c r="A108">
        <v>0</v>
      </c>
      <c r="B108" t="s">
        <v>312</v>
      </c>
      <c r="C108" t="s">
        <v>348</v>
      </c>
      <c r="D108" t="s">
        <v>2</v>
      </c>
      <c r="E108" t="s">
        <v>348</v>
      </c>
      <c r="F108" t="s">
        <v>13</v>
      </c>
      <c r="G108" t="s">
        <v>525</v>
      </c>
    </row>
    <row r="109" spans="1:7" x14ac:dyDescent="0.3">
      <c r="A109">
        <v>0</v>
      </c>
      <c r="B109" t="s">
        <v>105</v>
      </c>
      <c r="C109" t="s">
        <v>469</v>
      </c>
      <c r="D109" t="s">
        <v>2</v>
      </c>
      <c r="E109" t="s">
        <v>469</v>
      </c>
      <c r="F109" t="s">
        <v>13</v>
      </c>
      <c r="G109" t="s">
        <v>525</v>
      </c>
    </row>
    <row r="110" spans="1:7" x14ac:dyDescent="0.3">
      <c r="A110">
        <v>0</v>
      </c>
      <c r="B110" t="s">
        <v>314</v>
      </c>
      <c r="C110" t="s">
        <v>481</v>
      </c>
      <c r="D110" t="s">
        <v>2</v>
      </c>
      <c r="E110" t="s">
        <v>481</v>
      </c>
      <c r="F110" t="s">
        <v>13</v>
      </c>
      <c r="G110" t="s">
        <v>525</v>
      </c>
    </row>
    <row r="111" spans="1:7" x14ac:dyDescent="0.3">
      <c r="A111">
        <v>0</v>
      </c>
      <c r="B111" t="s">
        <v>312</v>
      </c>
      <c r="C111" t="s">
        <v>398</v>
      </c>
      <c r="D111" t="s">
        <v>2</v>
      </c>
      <c r="E111" t="s">
        <v>398</v>
      </c>
      <c r="F111" t="s">
        <v>13</v>
      </c>
      <c r="G111" t="s">
        <v>525</v>
      </c>
    </row>
    <row r="112" spans="1:7" x14ac:dyDescent="0.3">
      <c r="A112">
        <v>0</v>
      </c>
      <c r="B112" t="s">
        <v>314</v>
      </c>
      <c r="C112" t="s">
        <v>342</v>
      </c>
      <c r="D112" t="s">
        <v>2</v>
      </c>
      <c r="E112" t="s">
        <v>342</v>
      </c>
      <c r="F112" t="s">
        <v>13</v>
      </c>
      <c r="G112" t="s">
        <v>525</v>
      </c>
    </row>
    <row r="113" spans="1:7" x14ac:dyDescent="0.3">
      <c r="A113">
        <v>0</v>
      </c>
      <c r="B113" t="s">
        <v>312</v>
      </c>
      <c r="C113" t="s">
        <v>322</v>
      </c>
      <c r="D113" t="s">
        <v>2</v>
      </c>
      <c r="E113" t="s">
        <v>322</v>
      </c>
      <c r="F113" t="s">
        <v>13</v>
      </c>
      <c r="G113" t="s">
        <v>525</v>
      </c>
    </row>
    <row r="114" spans="1:7" x14ac:dyDescent="0.3">
      <c r="A114">
        <v>0</v>
      </c>
      <c r="B114" t="s">
        <v>314</v>
      </c>
      <c r="C114" t="s">
        <v>409</v>
      </c>
      <c r="D114" t="s">
        <v>2</v>
      </c>
      <c r="E114" t="s">
        <v>409</v>
      </c>
      <c r="F114" t="s">
        <v>13</v>
      </c>
      <c r="G114" t="s">
        <v>525</v>
      </c>
    </row>
    <row r="115" spans="1:7" x14ac:dyDescent="0.3">
      <c r="A115">
        <v>0</v>
      </c>
      <c r="B115" t="s">
        <v>314</v>
      </c>
      <c r="C115" t="s">
        <v>480</v>
      </c>
      <c r="D115" t="s">
        <v>2</v>
      </c>
      <c r="E115" t="s">
        <v>480</v>
      </c>
      <c r="F115" t="s">
        <v>13</v>
      </c>
      <c r="G115" t="s">
        <v>525</v>
      </c>
    </row>
    <row r="116" spans="1:7" x14ac:dyDescent="0.3">
      <c r="A116">
        <v>0</v>
      </c>
      <c r="B116" t="s">
        <v>105</v>
      </c>
      <c r="C116" t="s">
        <v>121</v>
      </c>
      <c r="D116" t="s">
        <v>2</v>
      </c>
      <c r="E116" t="s">
        <v>121</v>
      </c>
      <c r="F116" t="s">
        <v>13</v>
      </c>
      <c r="G116" t="s">
        <v>525</v>
      </c>
    </row>
    <row r="117" spans="1:7" x14ac:dyDescent="0.3">
      <c r="A117">
        <v>0</v>
      </c>
      <c r="B117" t="s">
        <v>312</v>
      </c>
      <c r="C117" t="s">
        <v>359</v>
      </c>
      <c r="D117" t="s">
        <v>2</v>
      </c>
      <c r="E117" t="s">
        <v>359</v>
      </c>
      <c r="F117" t="s">
        <v>13</v>
      </c>
      <c r="G117" t="s">
        <v>525</v>
      </c>
    </row>
    <row r="118" spans="1:7" x14ac:dyDescent="0.3">
      <c r="A118">
        <v>0</v>
      </c>
      <c r="B118" t="s">
        <v>319</v>
      </c>
      <c r="C118" t="s">
        <v>468</v>
      </c>
      <c r="D118" t="s">
        <v>2</v>
      </c>
      <c r="E118" t="s">
        <v>468</v>
      </c>
      <c r="F118" t="s">
        <v>13</v>
      </c>
      <c r="G118" t="s">
        <v>525</v>
      </c>
    </row>
    <row r="119" spans="1:7" x14ac:dyDescent="0.3">
      <c r="A119">
        <v>0</v>
      </c>
      <c r="B119" t="s">
        <v>319</v>
      </c>
      <c r="C119" t="s">
        <v>458</v>
      </c>
      <c r="D119" t="s">
        <v>2</v>
      </c>
      <c r="E119" t="s">
        <v>458</v>
      </c>
      <c r="F119" t="s">
        <v>13</v>
      </c>
      <c r="G119" t="s">
        <v>525</v>
      </c>
    </row>
    <row r="120" spans="1:7" x14ac:dyDescent="0.3">
      <c r="A120">
        <v>0</v>
      </c>
      <c r="B120" t="s">
        <v>312</v>
      </c>
      <c r="C120" t="s">
        <v>370</v>
      </c>
      <c r="D120" t="s">
        <v>2</v>
      </c>
      <c r="E120" t="s">
        <v>370</v>
      </c>
      <c r="F120" t="s">
        <v>13</v>
      </c>
      <c r="G120" t="s">
        <v>525</v>
      </c>
    </row>
    <row r="121" spans="1:7" x14ac:dyDescent="0.3">
      <c r="A121">
        <v>0</v>
      </c>
      <c r="B121" t="s">
        <v>57</v>
      </c>
      <c r="C121" t="s">
        <v>114</v>
      </c>
      <c r="D121" t="s">
        <v>2</v>
      </c>
      <c r="E121" t="s">
        <v>114</v>
      </c>
      <c r="F121" t="s">
        <v>13</v>
      </c>
      <c r="G121" t="s">
        <v>525</v>
      </c>
    </row>
    <row r="122" spans="1:7" x14ac:dyDescent="0.3">
      <c r="A122">
        <v>0</v>
      </c>
      <c r="B122" t="s">
        <v>319</v>
      </c>
      <c r="C122" t="s">
        <v>404</v>
      </c>
      <c r="D122" t="s">
        <v>2</v>
      </c>
      <c r="E122" t="s">
        <v>404</v>
      </c>
      <c r="F122" t="s">
        <v>13</v>
      </c>
      <c r="G122" t="s">
        <v>525</v>
      </c>
    </row>
    <row r="123" spans="1:7" x14ac:dyDescent="0.3">
      <c r="A123">
        <v>0</v>
      </c>
      <c r="B123" t="s">
        <v>312</v>
      </c>
      <c r="C123" t="s">
        <v>369</v>
      </c>
      <c r="D123" t="s">
        <v>2</v>
      </c>
      <c r="E123" t="s">
        <v>369</v>
      </c>
      <c r="F123" t="s">
        <v>13</v>
      </c>
      <c r="G123" t="s">
        <v>525</v>
      </c>
    </row>
    <row r="124" spans="1:7" x14ac:dyDescent="0.3">
      <c r="A124">
        <v>0</v>
      </c>
      <c r="B124" t="s">
        <v>57</v>
      </c>
      <c r="C124" t="s">
        <v>122</v>
      </c>
      <c r="D124" t="s">
        <v>2</v>
      </c>
      <c r="E124" t="s">
        <v>122</v>
      </c>
      <c r="F124" t="s">
        <v>13</v>
      </c>
      <c r="G124" t="s">
        <v>525</v>
      </c>
    </row>
    <row r="125" spans="1:7" x14ac:dyDescent="0.3">
      <c r="A125">
        <v>0</v>
      </c>
      <c r="B125" t="s">
        <v>319</v>
      </c>
      <c r="C125" t="s">
        <v>390</v>
      </c>
      <c r="D125" t="s">
        <v>2</v>
      </c>
      <c r="E125" t="s">
        <v>390</v>
      </c>
      <c r="F125" t="s">
        <v>13</v>
      </c>
      <c r="G125" t="s">
        <v>525</v>
      </c>
    </row>
    <row r="126" spans="1:7" x14ac:dyDescent="0.3">
      <c r="A126">
        <v>0</v>
      </c>
      <c r="B126" t="s">
        <v>312</v>
      </c>
      <c r="C126" t="s">
        <v>492</v>
      </c>
      <c r="D126" t="s">
        <v>2</v>
      </c>
      <c r="E126" t="s">
        <v>492</v>
      </c>
      <c r="F126" t="s">
        <v>13</v>
      </c>
      <c r="G126" t="s">
        <v>525</v>
      </c>
    </row>
    <row r="127" spans="1:7" x14ac:dyDescent="0.3">
      <c r="A127">
        <v>0</v>
      </c>
      <c r="B127" t="s">
        <v>312</v>
      </c>
      <c r="C127" t="s">
        <v>345</v>
      </c>
      <c r="D127" t="s">
        <v>2</v>
      </c>
      <c r="E127" t="s">
        <v>345</v>
      </c>
      <c r="F127" t="s">
        <v>13</v>
      </c>
      <c r="G127" t="s">
        <v>525</v>
      </c>
    </row>
    <row r="128" spans="1:7" x14ac:dyDescent="0.3">
      <c r="A128">
        <v>0</v>
      </c>
      <c r="B128" t="s">
        <v>314</v>
      </c>
      <c r="C128" t="s">
        <v>374</v>
      </c>
      <c r="D128" t="s">
        <v>2</v>
      </c>
      <c r="E128" t="s">
        <v>374</v>
      </c>
      <c r="F128" t="s">
        <v>13</v>
      </c>
      <c r="G128" t="s">
        <v>525</v>
      </c>
    </row>
    <row r="129" spans="1:7" x14ac:dyDescent="0.3">
      <c r="A129">
        <v>0</v>
      </c>
      <c r="B129" t="s">
        <v>105</v>
      </c>
      <c r="C129" t="s">
        <v>124</v>
      </c>
      <c r="D129" t="s">
        <v>2</v>
      </c>
      <c r="E129" t="s">
        <v>124</v>
      </c>
      <c r="F129" t="s">
        <v>13</v>
      </c>
      <c r="G129" t="s">
        <v>525</v>
      </c>
    </row>
    <row r="130" spans="1:7" x14ac:dyDescent="0.3">
      <c r="A130">
        <v>0</v>
      </c>
      <c r="B130" t="s">
        <v>312</v>
      </c>
      <c r="C130" t="s">
        <v>440</v>
      </c>
      <c r="D130" t="s">
        <v>2</v>
      </c>
      <c r="E130" t="s">
        <v>440</v>
      </c>
      <c r="F130" t="s">
        <v>13</v>
      </c>
      <c r="G130" t="s">
        <v>525</v>
      </c>
    </row>
    <row r="131" spans="1:7" x14ac:dyDescent="0.3">
      <c r="A131">
        <v>0</v>
      </c>
      <c r="B131" t="s">
        <v>312</v>
      </c>
      <c r="C131" t="s">
        <v>316</v>
      </c>
      <c r="D131" t="s">
        <v>2</v>
      </c>
      <c r="E131" t="s">
        <v>316</v>
      </c>
      <c r="F131" t="s">
        <v>13</v>
      </c>
      <c r="G131" t="s">
        <v>525</v>
      </c>
    </row>
    <row r="132" spans="1:7" x14ac:dyDescent="0.3">
      <c r="A132">
        <v>0</v>
      </c>
      <c r="B132" t="s">
        <v>312</v>
      </c>
      <c r="C132" t="s">
        <v>427</v>
      </c>
      <c r="D132" t="s">
        <v>2</v>
      </c>
      <c r="E132" t="s">
        <v>427</v>
      </c>
      <c r="F132" t="s">
        <v>13</v>
      </c>
      <c r="G132" t="s">
        <v>525</v>
      </c>
    </row>
    <row r="133" spans="1:7" x14ac:dyDescent="0.3">
      <c r="A133">
        <v>0</v>
      </c>
      <c r="B133" t="s">
        <v>312</v>
      </c>
      <c r="C133" t="s">
        <v>332</v>
      </c>
      <c r="D133" t="s">
        <v>2</v>
      </c>
      <c r="E133" t="s">
        <v>332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336</v>
      </c>
      <c r="D134" t="s">
        <v>2</v>
      </c>
      <c r="E134" t="s">
        <v>336</v>
      </c>
      <c r="F134" t="s">
        <v>13</v>
      </c>
      <c r="G134" t="s">
        <v>525</v>
      </c>
    </row>
    <row r="135" spans="1:7" x14ac:dyDescent="0.3">
      <c r="A135">
        <v>0</v>
      </c>
      <c r="B135" t="s">
        <v>314</v>
      </c>
      <c r="C135" t="s">
        <v>393</v>
      </c>
      <c r="D135" t="s">
        <v>2</v>
      </c>
      <c r="E135" t="s">
        <v>393</v>
      </c>
      <c r="F135" t="s">
        <v>13</v>
      </c>
      <c r="G135" t="s">
        <v>525</v>
      </c>
    </row>
    <row r="136" spans="1:7" x14ac:dyDescent="0.3">
      <c r="A136">
        <v>0</v>
      </c>
      <c r="B136" t="s">
        <v>312</v>
      </c>
      <c r="C136" t="s">
        <v>339</v>
      </c>
      <c r="D136" t="s">
        <v>2</v>
      </c>
      <c r="E136" t="s">
        <v>339</v>
      </c>
      <c r="F136" t="s">
        <v>13</v>
      </c>
      <c r="G136" t="s">
        <v>525</v>
      </c>
    </row>
    <row r="137" spans="1:7" x14ac:dyDescent="0.3">
      <c r="A137">
        <v>0</v>
      </c>
      <c r="B137" t="s">
        <v>312</v>
      </c>
      <c r="C137" t="s">
        <v>400</v>
      </c>
      <c r="D137" t="s">
        <v>2</v>
      </c>
      <c r="E137" t="s">
        <v>400</v>
      </c>
      <c r="F137" t="s">
        <v>13</v>
      </c>
      <c r="G137" t="s">
        <v>525</v>
      </c>
    </row>
    <row r="138" spans="1:7" x14ac:dyDescent="0.3">
      <c r="A138">
        <v>0</v>
      </c>
      <c r="B138" t="s">
        <v>312</v>
      </c>
      <c r="C138" t="s">
        <v>380</v>
      </c>
      <c r="D138" t="s">
        <v>2</v>
      </c>
      <c r="E138" t="s">
        <v>380</v>
      </c>
      <c r="F138" t="s">
        <v>13</v>
      </c>
      <c r="G138" t="s">
        <v>525</v>
      </c>
    </row>
    <row r="139" spans="1:7" x14ac:dyDescent="0.3">
      <c r="A139">
        <v>0</v>
      </c>
      <c r="B139" t="s">
        <v>312</v>
      </c>
      <c r="C139" t="s">
        <v>442</v>
      </c>
      <c r="D139" t="s">
        <v>2</v>
      </c>
      <c r="E139" t="s">
        <v>442</v>
      </c>
      <c r="F139" t="s">
        <v>13</v>
      </c>
      <c r="G139" t="s">
        <v>525</v>
      </c>
    </row>
    <row r="140" spans="1:7" x14ac:dyDescent="0.3">
      <c r="A140">
        <v>0</v>
      </c>
      <c r="B140" t="s">
        <v>314</v>
      </c>
      <c r="C140" t="s">
        <v>349</v>
      </c>
      <c r="D140" t="s">
        <v>2</v>
      </c>
      <c r="E140" t="s">
        <v>349</v>
      </c>
      <c r="F140" t="s">
        <v>13</v>
      </c>
      <c r="G140" t="s">
        <v>525</v>
      </c>
    </row>
    <row r="141" spans="1:7" x14ac:dyDescent="0.3">
      <c r="A141">
        <v>0</v>
      </c>
      <c r="B141" t="s">
        <v>57</v>
      </c>
      <c r="C141" t="s">
        <v>470</v>
      </c>
      <c r="D141" t="s">
        <v>2</v>
      </c>
      <c r="E141" t="s">
        <v>470</v>
      </c>
      <c r="F141" t="s">
        <v>13</v>
      </c>
      <c r="G141" t="s">
        <v>525</v>
      </c>
    </row>
    <row r="142" spans="1:7" x14ac:dyDescent="0.3">
      <c r="A142">
        <v>0</v>
      </c>
      <c r="B142" t="s">
        <v>319</v>
      </c>
      <c r="C142" t="s">
        <v>463</v>
      </c>
      <c r="D142" t="s">
        <v>2</v>
      </c>
      <c r="E142" t="s">
        <v>463</v>
      </c>
      <c r="F142" t="s">
        <v>13</v>
      </c>
      <c r="G142" t="s">
        <v>525</v>
      </c>
    </row>
    <row r="143" spans="1:7" x14ac:dyDescent="0.3">
      <c r="A143">
        <v>0</v>
      </c>
      <c r="B143" t="s">
        <v>314</v>
      </c>
      <c r="C143" t="s">
        <v>343</v>
      </c>
      <c r="D143" t="s">
        <v>2</v>
      </c>
      <c r="E143" t="s">
        <v>343</v>
      </c>
      <c r="F143" t="s">
        <v>13</v>
      </c>
      <c r="G143" t="s">
        <v>525</v>
      </c>
    </row>
    <row r="144" spans="1:7" x14ac:dyDescent="0.3">
      <c r="A144">
        <v>0</v>
      </c>
      <c r="B144" t="s">
        <v>312</v>
      </c>
      <c r="C144" t="s">
        <v>371</v>
      </c>
      <c r="D144" t="s">
        <v>2</v>
      </c>
      <c r="E144" t="s">
        <v>371</v>
      </c>
      <c r="F144" t="s">
        <v>13</v>
      </c>
      <c r="G144" t="s">
        <v>525</v>
      </c>
    </row>
    <row r="145" spans="1:7" x14ac:dyDescent="0.3">
      <c r="A145">
        <v>0</v>
      </c>
      <c r="B145" t="s">
        <v>312</v>
      </c>
      <c r="C145" t="s">
        <v>366</v>
      </c>
      <c r="D145" t="s">
        <v>2</v>
      </c>
      <c r="E145" t="s">
        <v>366</v>
      </c>
      <c r="F145" t="s">
        <v>13</v>
      </c>
      <c r="G145" t="s">
        <v>525</v>
      </c>
    </row>
    <row r="146" spans="1:7" x14ac:dyDescent="0.3">
      <c r="A146">
        <v>0</v>
      </c>
      <c r="B146" t="s">
        <v>312</v>
      </c>
      <c r="C146" t="s">
        <v>384</v>
      </c>
      <c r="D146" t="s">
        <v>2</v>
      </c>
      <c r="E146" t="s">
        <v>384</v>
      </c>
      <c r="F146" t="s">
        <v>13</v>
      </c>
      <c r="G146" t="s">
        <v>525</v>
      </c>
    </row>
    <row r="147" spans="1:7" x14ac:dyDescent="0.3">
      <c r="A147">
        <v>0</v>
      </c>
      <c r="B147" t="s">
        <v>319</v>
      </c>
      <c r="C147" t="s">
        <v>464</v>
      </c>
      <c r="D147" t="s">
        <v>2</v>
      </c>
      <c r="E147" t="s">
        <v>464</v>
      </c>
      <c r="F147" t="s">
        <v>13</v>
      </c>
      <c r="G147" t="s">
        <v>525</v>
      </c>
    </row>
    <row r="148" spans="1:7" x14ac:dyDescent="0.3">
      <c r="A148">
        <v>0</v>
      </c>
      <c r="B148" t="s">
        <v>312</v>
      </c>
      <c r="C148" t="s">
        <v>323</v>
      </c>
      <c r="D148" t="s">
        <v>2</v>
      </c>
      <c r="E148" t="s">
        <v>323</v>
      </c>
      <c r="F148" t="s">
        <v>13</v>
      </c>
      <c r="G148" t="s">
        <v>525</v>
      </c>
    </row>
    <row r="149" spans="1:7" x14ac:dyDescent="0.3">
      <c r="A149">
        <v>0</v>
      </c>
      <c r="B149" t="s">
        <v>314</v>
      </c>
      <c r="C149" t="s">
        <v>414</v>
      </c>
      <c r="D149" t="s">
        <v>2</v>
      </c>
      <c r="E149" t="s">
        <v>414</v>
      </c>
      <c r="F149" t="s">
        <v>13</v>
      </c>
      <c r="G149" t="s">
        <v>525</v>
      </c>
    </row>
    <row r="150" spans="1:7" x14ac:dyDescent="0.3">
      <c r="A150">
        <v>0</v>
      </c>
      <c r="B150" t="s">
        <v>312</v>
      </c>
      <c r="C150" t="s">
        <v>261</v>
      </c>
      <c r="D150" t="s">
        <v>2</v>
      </c>
      <c r="E150" t="s">
        <v>261</v>
      </c>
      <c r="F150" t="s">
        <v>13</v>
      </c>
      <c r="G150" t="s">
        <v>525</v>
      </c>
    </row>
    <row r="151" spans="1:7" x14ac:dyDescent="0.3">
      <c r="A151">
        <v>0</v>
      </c>
      <c r="B151" t="s">
        <v>319</v>
      </c>
      <c r="C151" t="s">
        <v>364</v>
      </c>
      <c r="D151" t="s">
        <v>2</v>
      </c>
      <c r="E151" t="s">
        <v>364</v>
      </c>
      <c r="F151" t="s">
        <v>13</v>
      </c>
      <c r="G151" t="s">
        <v>525</v>
      </c>
    </row>
    <row r="152" spans="1:7" x14ac:dyDescent="0.3">
      <c r="A152">
        <v>0</v>
      </c>
      <c r="B152" t="s">
        <v>312</v>
      </c>
      <c r="C152" t="s">
        <v>373</v>
      </c>
      <c r="D152" t="s">
        <v>2</v>
      </c>
      <c r="E152" t="s">
        <v>373</v>
      </c>
      <c r="F152" t="s">
        <v>13</v>
      </c>
      <c r="G152" t="s">
        <v>525</v>
      </c>
    </row>
    <row r="153" spans="1:7" x14ac:dyDescent="0.3">
      <c r="A153">
        <v>0</v>
      </c>
      <c r="B153" t="s">
        <v>312</v>
      </c>
      <c r="C153" t="s">
        <v>482</v>
      </c>
      <c r="D153" t="s">
        <v>2</v>
      </c>
      <c r="E153" t="s">
        <v>482</v>
      </c>
      <c r="F153" t="s">
        <v>13</v>
      </c>
      <c r="G153" t="s">
        <v>525</v>
      </c>
    </row>
    <row r="154" spans="1:7" x14ac:dyDescent="0.3">
      <c r="A154">
        <v>0</v>
      </c>
      <c r="B154" t="s">
        <v>312</v>
      </c>
      <c r="C154" t="s">
        <v>412</v>
      </c>
      <c r="D154" t="s">
        <v>2</v>
      </c>
      <c r="E154" t="s">
        <v>412</v>
      </c>
      <c r="F154" t="s">
        <v>13</v>
      </c>
      <c r="G154" t="s">
        <v>525</v>
      </c>
    </row>
    <row r="155" spans="1:7" x14ac:dyDescent="0.3">
      <c r="A155">
        <v>0</v>
      </c>
      <c r="B155" t="s">
        <v>312</v>
      </c>
      <c r="C155" t="s">
        <v>434</v>
      </c>
      <c r="D155" t="s">
        <v>2</v>
      </c>
      <c r="E155" t="s">
        <v>434</v>
      </c>
      <c r="F155" t="s">
        <v>13</v>
      </c>
      <c r="G155" t="s">
        <v>525</v>
      </c>
    </row>
    <row r="156" spans="1:7" x14ac:dyDescent="0.3">
      <c r="A156">
        <v>0</v>
      </c>
      <c r="B156" t="s">
        <v>314</v>
      </c>
      <c r="C156" t="s">
        <v>443</v>
      </c>
      <c r="D156" t="s">
        <v>2</v>
      </c>
      <c r="E156" t="s">
        <v>443</v>
      </c>
      <c r="F156" t="s">
        <v>13</v>
      </c>
      <c r="G156" t="s">
        <v>525</v>
      </c>
    </row>
    <row r="157" spans="1:7" x14ac:dyDescent="0.3">
      <c r="A157">
        <v>0</v>
      </c>
      <c r="B157" t="s">
        <v>319</v>
      </c>
      <c r="C157" t="s">
        <v>430</v>
      </c>
      <c r="D157" t="s">
        <v>2</v>
      </c>
      <c r="E157" t="s">
        <v>430</v>
      </c>
      <c r="F157" t="s">
        <v>13</v>
      </c>
      <c r="G157" t="s">
        <v>525</v>
      </c>
    </row>
    <row r="158" spans="1:7" x14ac:dyDescent="0.3">
      <c r="A158">
        <v>0</v>
      </c>
      <c r="B158" t="s">
        <v>314</v>
      </c>
      <c r="C158" t="s">
        <v>408</v>
      </c>
      <c r="D158" t="s">
        <v>2</v>
      </c>
      <c r="E158" t="s">
        <v>408</v>
      </c>
      <c r="F158" t="s">
        <v>13</v>
      </c>
      <c r="G158" t="s">
        <v>525</v>
      </c>
    </row>
    <row r="159" spans="1:7" x14ac:dyDescent="0.3">
      <c r="A159">
        <v>0</v>
      </c>
      <c r="B159" t="s">
        <v>312</v>
      </c>
      <c r="C159" t="s">
        <v>138</v>
      </c>
      <c r="D159" t="s">
        <v>2</v>
      </c>
      <c r="E159" t="s">
        <v>138</v>
      </c>
      <c r="F159" t="s">
        <v>13</v>
      </c>
      <c r="G159" t="s">
        <v>525</v>
      </c>
    </row>
    <row r="160" spans="1:7" x14ac:dyDescent="0.3">
      <c r="A160">
        <v>0</v>
      </c>
      <c r="B160" t="s">
        <v>312</v>
      </c>
      <c r="C160" t="s">
        <v>275</v>
      </c>
      <c r="D160" t="s">
        <v>2</v>
      </c>
      <c r="E160" t="s">
        <v>275</v>
      </c>
      <c r="F160" t="s">
        <v>13</v>
      </c>
      <c r="G160" t="s">
        <v>525</v>
      </c>
    </row>
    <row r="161" spans="1:7" x14ac:dyDescent="0.3">
      <c r="A161">
        <v>0</v>
      </c>
      <c r="B161" t="s">
        <v>312</v>
      </c>
      <c r="C161" t="s">
        <v>337</v>
      </c>
      <c r="D161" t="s">
        <v>2</v>
      </c>
      <c r="E161" t="s">
        <v>337</v>
      </c>
      <c r="F161" t="s">
        <v>13</v>
      </c>
      <c r="G161" t="s">
        <v>525</v>
      </c>
    </row>
    <row r="162" spans="1:7" x14ac:dyDescent="0.3">
      <c r="A162">
        <v>0</v>
      </c>
      <c r="B162" t="s">
        <v>312</v>
      </c>
      <c r="C162" t="s">
        <v>331</v>
      </c>
      <c r="D162" t="s">
        <v>2</v>
      </c>
      <c r="E162" t="s">
        <v>331</v>
      </c>
      <c r="F162" t="s">
        <v>13</v>
      </c>
      <c r="G162" t="s">
        <v>525</v>
      </c>
    </row>
    <row r="163" spans="1:7" x14ac:dyDescent="0.3">
      <c r="A163">
        <v>0</v>
      </c>
      <c r="B163" t="s">
        <v>312</v>
      </c>
      <c r="C163" t="s">
        <v>452</v>
      </c>
      <c r="D163" t="s">
        <v>2</v>
      </c>
      <c r="E163" t="s">
        <v>452</v>
      </c>
      <c r="F163" t="s">
        <v>13</v>
      </c>
      <c r="G163" t="s">
        <v>525</v>
      </c>
    </row>
    <row r="164" spans="1:7" x14ac:dyDescent="0.3">
      <c r="A164">
        <v>0</v>
      </c>
      <c r="B164" t="s">
        <v>319</v>
      </c>
      <c r="C164" t="s">
        <v>477</v>
      </c>
      <c r="D164" t="s">
        <v>2</v>
      </c>
      <c r="E164" t="s">
        <v>477</v>
      </c>
      <c r="F164" t="s">
        <v>13</v>
      </c>
      <c r="G164" t="s">
        <v>525</v>
      </c>
    </row>
    <row r="165" spans="1:7" x14ac:dyDescent="0.3">
      <c r="A165">
        <v>0</v>
      </c>
      <c r="B165" t="s">
        <v>312</v>
      </c>
      <c r="C165" t="s">
        <v>446</v>
      </c>
      <c r="D165" t="s">
        <v>2</v>
      </c>
      <c r="E165" t="s">
        <v>446</v>
      </c>
      <c r="F165" t="s">
        <v>13</v>
      </c>
      <c r="G165" t="s">
        <v>525</v>
      </c>
    </row>
    <row r="166" spans="1:7" x14ac:dyDescent="0.3">
      <c r="A166">
        <v>0</v>
      </c>
      <c r="B166" t="s">
        <v>319</v>
      </c>
      <c r="C166" t="s">
        <v>491</v>
      </c>
      <c r="D166" t="s">
        <v>2</v>
      </c>
      <c r="E166" t="s">
        <v>491</v>
      </c>
      <c r="F166" t="s">
        <v>13</v>
      </c>
      <c r="G166" t="s">
        <v>525</v>
      </c>
    </row>
    <row r="167" spans="1:7" x14ac:dyDescent="0.3">
      <c r="A167">
        <v>0</v>
      </c>
      <c r="B167" t="s">
        <v>312</v>
      </c>
      <c r="C167" t="s">
        <v>326</v>
      </c>
      <c r="D167" t="s">
        <v>2</v>
      </c>
      <c r="E167" t="s">
        <v>326</v>
      </c>
      <c r="F167" t="s">
        <v>13</v>
      </c>
      <c r="G167" t="s">
        <v>525</v>
      </c>
    </row>
    <row r="168" spans="1:7" x14ac:dyDescent="0.3">
      <c r="A168">
        <v>0</v>
      </c>
      <c r="B168" t="s">
        <v>319</v>
      </c>
      <c r="C168" t="s">
        <v>415</v>
      </c>
      <c r="D168" t="s">
        <v>2</v>
      </c>
      <c r="E168" t="s">
        <v>415</v>
      </c>
      <c r="F168" t="s">
        <v>13</v>
      </c>
      <c r="G168" t="s">
        <v>525</v>
      </c>
    </row>
    <row r="169" spans="1:7" x14ac:dyDescent="0.3">
      <c r="A169">
        <v>0</v>
      </c>
      <c r="B169" t="s">
        <v>314</v>
      </c>
      <c r="C169" t="s">
        <v>451</v>
      </c>
      <c r="D169" t="s">
        <v>2</v>
      </c>
      <c r="E169" t="s">
        <v>451</v>
      </c>
      <c r="F169" t="s">
        <v>13</v>
      </c>
      <c r="G169" t="s">
        <v>525</v>
      </c>
    </row>
    <row r="170" spans="1:7" x14ac:dyDescent="0.3">
      <c r="A170">
        <v>0</v>
      </c>
      <c r="B170" t="s">
        <v>314</v>
      </c>
      <c r="C170" t="s">
        <v>448</v>
      </c>
      <c r="D170" t="s">
        <v>2</v>
      </c>
      <c r="E170" t="s">
        <v>448</v>
      </c>
      <c r="F170" t="s">
        <v>13</v>
      </c>
      <c r="G170" t="s">
        <v>525</v>
      </c>
    </row>
    <row r="171" spans="1:7" x14ac:dyDescent="0.3">
      <c r="A171">
        <v>0</v>
      </c>
      <c r="B171" t="s">
        <v>312</v>
      </c>
      <c r="C171" t="s">
        <v>423</v>
      </c>
      <c r="D171" t="s">
        <v>2</v>
      </c>
      <c r="E171" t="s">
        <v>423</v>
      </c>
      <c r="F171" t="s">
        <v>13</v>
      </c>
      <c r="G171" t="s">
        <v>525</v>
      </c>
    </row>
    <row r="172" spans="1:7" x14ac:dyDescent="0.3">
      <c r="A172">
        <v>0</v>
      </c>
      <c r="B172" t="s">
        <v>319</v>
      </c>
      <c r="C172" t="s">
        <v>361</v>
      </c>
      <c r="D172" t="s">
        <v>2</v>
      </c>
      <c r="E172" t="s">
        <v>361</v>
      </c>
      <c r="F172" t="s">
        <v>13</v>
      </c>
      <c r="G172" t="s">
        <v>525</v>
      </c>
    </row>
    <row r="173" spans="1:7" x14ac:dyDescent="0.3">
      <c r="A173">
        <v>0</v>
      </c>
      <c r="B173" t="s">
        <v>314</v>
      </c>
      <c r="C173" t="s">
        <v>467</v>
      </c>
      <c r="D173" t="s">
        <v>2</v>
      </c>
      <c r="E173" t="s">
        <v>467</v>
      </c>
      <c r="F173" t="s">
        <v>13</v>
      </c>
      <c r="G173" t="s">
        <v>525</v>
      </c>
    </row>
    <row r="174" spans="1:7" x14ac:dyDescent="0.3">
      <c r="A174">
        <v>0</v>
      </c>
      <c r="B174" t="s">
        <v>319</v>
      </c>
      <c r="C174" t="s">
        <v>420</v>
      </c>
      <c r="D174" t="s">
        <v>2</v>
      </c>
      <c r="E174" t="s">
        <v>420</v>
      </c>
      <c r="F174" t="s">
        <v>13</v>
      </c>
      <c r="G174" t="s">
        <v>525</v>
      </c>
    </row>
    <row r="175" spans="1:7" x14ac:dyDescent="0.3">
      <c r="A175">
        <v>0</v>
      </c>
      <c r="B175" t="s">
        <v>314</v>
      </c>
      <c r="C175" t="s">
        <v>487</v>
      </c>
      <c r="D175" t="s">
        <v>2</v>
      </c>
      <c r="E175" t="s">
        <v>487</v>
      </c>
      <c r="F175" t="s">
        <v>13</v>
      </c>
      <c r="G175" t="s">
        <v>525</v>
      </c>
    </row>
    <row r="176" spans="1:7" x14ac:dyDescent="0.3">
      <c r="A176">
        <v>0</v>
      </c>
      <c r="B176" t="s">
        <v>312</v>
      </c>
      <c r="C176" t="s">
        <v>149</v>
      </c>
      <c r="D176" t="s">
        <v>2</v>
      </c>
      <c r="E176" t="s">
        <v>149</v>
      </c>
      <c r="F176" t="s">
        <v>13</v>
      </c>
      <c r="G176" t="s">
        <v>525</v>
      </c>
    </row>
    <row r="177" spans="1:7" x14ac:dyDescent="0.3">
      <c r="A177">
        <v>0</v>
      </c>
      <c r="B177" t="s">
        <v>314</v>
      </c>
      <c r="C177" t="s">
        <v>377</v>
      </c>
      <c r="D177" t="s">
        <v>2</v>
      </c>
      <c r="E177" t="s">
        <v>377</v>
      </c>
      <c r="F177" t="s">
        <v>13</v>
      </c>
      <c r="G177" t="s">
        <v>525</v>
      </c>
    </row>
    <row r="178" spans="1:7" x14ac:dyDescent="0.3">
      <c r="A178">
        <v>0</v>
      </c>
      <c r="B178" t="s">
        <v>312</v>
      </c>
      <c r="C178" t="s">
        <v>403</v>
      </c>
      <c r="D178" t="s">
        <v>2</v>
      </c>
      <c r="E178" t="s">
        <v>403</v>
      </c>
      <c r="F178" t="s">
        <v>13</v>
      </c>
      <c r="G178" t="s">
        <v>525</v>
      </c>
    </row>
    <row r="179" spans="1:7" x14ac:dyDescent="0.3">
      <c r="A179">
        <v>0</v>
      </c>
      <c r="B179" t="s">
        <v>312</v>
      </c>
      <c r="C179" t="s">
        <v>387</v>
      </c>
      <c r="D179" t="s">
        <v>2</v>
      </c>
      <c r="E179" t="s">
        <v>387</v>
      </c>
      <c r="F179" t="s">
        <v>13</v>
      </c>
      <c r="G179" t="s">
        <v>525</v>
      </c>
    </row>
    <row r="180" spans="1:7" x14ac:dyDescent="0.3">
      <c r="A180">
        <v>0</v>
      </c>
      <c r="B180" t="s">
        <v>312</v>
      </c>
      <c r="C180" t="s">
        <v>431</v>
      </c>
      <c r="D180" t="s">
        <v>2</v>
      </c>
      <c r="E180" t="s">
        <v>431</v>
      </c>
      <c r="F180" t="s">
        <v>13</v>
      </c>
      <c r="G180" t="s">
        <v>525</v>
      </c>
    </row>
    <row r="181" spans="1:7" x14ac:dyDescent="0.3">
      <c r="A181">
        <v>0</v>
      </c>
      <c r="B181" t="s">
        <v>319</v>
      </c>
      <c r="C181" t="s">
        <v>459</v>
      </c>
      <c r="D181" t="s">
        <v>2</v>
      </c>
      <c r="E181" t="s">
        <v>459</v>
      </c>
      <c r="F181" t="s">
        <v>13</v>
      </c>
      <c r="G181" t="s">
        <v>525</v>
      </c>
    </row>
    <row r="182" spans="1:7" x14ac:dyDescent="0.3">
      <c r="A182">
        <v>0</v>
      </c>
      <c r="B182" t="s">
        <v>314</v>
      </c>
      <c r="C182" t="s">
        <v>376</v>
      </c>
      <c r="D182" t="s">
        <v>2</v>
      </c>
      <c r="E182" t="s">
        <v>376</v>
      </c>
      <c r="F182" t="s">
        <v>13</v>
      </c>
      <c r="G182" t="s">
        <v>525</v>
      </c>
    </row>
    <row r="183" spans="1:7" x14ac:dyDescent="0.3">
      <c r="A183">
        <v>0</v>
      </c>
      <c r="B183" t="s">
        <v>312</v>
      </c>
      <c r="C183" t="s">
        <v>379</v>
      </c>
      <c r="D183" t="s">
        <v>2</v>
      </c>
      <c r="E183" t="s">
        <v>379</v>
      </c>
      <c r="F183" t="s">
        <v>13</v>
      </c>
      <c r="G183" t="s">
        <v>525</v>
      </c>
    </row>
    <row r="184" spans="1:7" x14ac:dyDescent="0.3">
      <c r="A184">
        <v>0</v>
      </c>
      <c r="B184" t="s">
        <v>314</v>
      </c>
      <c r="C184" t="s">
        <v>445</v>
      </c>
      <c r="D184" t="s">
        <v>2</v>
      </c>
      <c r="E184" t="s">
        <v>445</v>
      </c>
      <c r="F184" t="s">
        <v>13</v>
      </c>
      <c r="G184" t="s">
        <v>525</v>
      </c>
    </row>
    <row r="185" spans="1:7" x14ac:dyDescent="0.3">
      <c r="A185">
        <v>0</v>
      </c>
      <c r="B185" t="s">
        <v>319</v>
      </c>
      <c r="C185" t="s">
        <v>460</v>
      </c>
      <c r="D185" t="s">
        <v>2</v>
      </c>
      <c r="E185" t="s">
        <v>460</v>
      </c>
      <c r="F185" t="s">
        <v>13</v>
      </c>
      <c r="G185" t="s">
        <v>525</v>
      </c>
    </row>
    <row r="186" spans="1:7" x14ac:dyDescent="0.3">
      <c r="A186">
        <v>0</v>
      </c>
      <c r="B186" t="s">
        <v>314</v>
      </c>
      <c r="C186" t="s">
        <v>450</v>
      </c>
      <c r="D186" t="s">
        <v>2</v>
      </c>
      <c r="E186" t="s">
        <v>450</v>
      </c>
      <c r="F186" t="s">
        <v>13</v>
      </c>
      <c r="G186" t="s">
        <v>525</v>
      </c>
    </row>
    <row r="187" spans="1:7" x14ac:dyDescent="0.3">
      <c r="A187">
        <v>0</v>
      </c>
      <c r="B187" t="s">
        <v>312</v>
      </c>
      <c r="C187" t="s">
        <v>473</v>
      </c>
      <c r="D187" t="s">
        <v>2</v>
      </c>
      <c r="E187" t="s">
        <v>473</v>
      </c>
      <c r="F187" t="s">
        <v>13</v>
      </c>
      <c r="G187" t="s">
        <v>525</v>
      </c>
    </row>
    <row r="188" spans="1:7" x14ac:dyDescent="0.3">
      <c r="A188">
        <v>0</v>
      </c>
      <c r="B188" t="s">
        <v>314</v>
      </c>
      <c r="C188" t="s">
        <v>313</v>
      </c>
      <c r="D188" t="s">
        <v>2</v>
      </c>
      <c r="E188" t="s">
        <v>313</v>
      </c>
      <c r="F188" t="s">
        <v>13</v>
      </c>
      <c r="G188" t="s">
        <v>525</v>
      </c>
    </row>
    <row r="189" spans="1:7" x14ac:dyDescent="0.3">
      <c r="A189">
        <v>0</v>
      </c>
      <c r="B189" t="s">
        <v>312</v>
      </c>
      <c r="C189" t="s">
        <v>472</v>
      </c>
      <c r="D189" t="s">
        <v>2</v>
      </c>
      <c r="E189" t="s">
        <v>472</v>
      </c>
      <c r="F189" t="s">
        <v>13</v>
      </c>
      <c r="G189" t="s">
        <v>525</v>
      </c>
    </row>
    <row r="190" spans="1:7" x14ac:dyDescent="0.3">
      <c r="A190">
        <v>0</v>
      </c>
      <c r="B190" t="s">
        <v>312</v>
      </c>
      <c r="C190" t="s">
        <v>402</v>
      </c>
      <c r="D190" t="s">
        <v>2</v>
      </c>
      <c r="E190" t="s">
        <v>402</v>
      </c>
      <c r="F190" t="s">
        <v>13</v>
      </c>
      <c r="G190" t="s">
        <v>525</v>
      </c>
    </row>
    <row r="191" spans="1:7" x14ac:dyDescent="0.3">
      <c r="A191">
        <v>0</v>
      </c>
      <c r="B191" t="s">
        <v>314</v>
      </c>
      <c r="C191" t="s">
        <v>455</v>
      </c>
      <c r="D191" t="s">
        <v>2</v>
      </c>
      <c r="E191" t="s">
        <v>455</v>
      </c>
      <c r="F191" t="s">
        <v>13</v>
      </c>
      <c r="G191" t="s">
        <v>525</v>
      </c>
    </row>
    <row r="192" spans="1:7" x14ac:dyDescent="0.3">
      <c r="A192">
        <v>0</v>
      </c>
      <c r="B192" t="s">
        <v>312</v>
      </c>
      <c r="C192" t="s">
        <v>411</v>
      </c>
      <c r="D192" t="s">
        <v>2</v>
      </c>
      <c r="E192" t="s">
        <v>411</v>
      </c>
      <c r="F192" t="s">
        <v>13</v>
      </c>
      <c r="G192" t="s">
        <v>525</v>
      </c>
    </row>
    <row r="193" spans="1:7" x14ac:dyDescent="0.3">
      <c r="A193">
        <v>0</v>
      </c>
      <c r="B193" t="s">
        <v>312</v>
      </c>
      <c r="C193" t="s">
        <v>488</v>
      </c>
      <c r="D193" t="s">
        <v>2</v>
      </c>
      <c r="E193" t="s">
        <v>488</v>
      </c>
      <c r="F193" t="s">
        <v>13</v>
      </c>
      <c r="G193" t="s">
        <v>525</v>
      </c>
    </row>
    <row r="194" spans="1:7" x14ac:dyDescent="0.3">
      <c r="A194">
        <v>0</v>
      </c>
      <c r="B194" t="s">
        <v>319</v>
      </c>
      <c r="C194" t="s">
        <v>462</v>
      </c>
      <c r="D194" t="s">
        <v>2</v>
      </c>
      <c r="E194" t="s">
        <v>462</v>
      </c>
      <c r="F194" t="s">
        <v>13</v>
      </c>
      <c r="G194" t="s">
        <v>525</v>
      </c>
    </row>
    <row r="195" spans="1:7" x14ac:dyDescent="0.3">
      <c r="A195">
        <v>0</v>
      </c>
      <c r="B195" t="s">
        <v>312</v>
      </c>
      <c r="C195" t="s">
        <v>246</v>
      </c>
      <c r="D195" t="s">
        <v>2</v>
      </c>
      <c r="E195" t="s">
        <v>246</v>
      </c>
      <c r="F195" t="s">
        <v>13</v>
      </c>
      <c r="G195" t="s">
        <v>525</v>
      </c>
    </row>
    <row r="196" spans="1:7" x14ac:dyDescent="0.3">
      <c r="A196">
        <v>0</v>
      </c>
      <c r="B196" t="s">
        <v>312</v>
      </c>
      <c r="C196" t="s">
        <v>357</v>
      </c>
      <c r="D196" t="s">
        <v>2</v>
      </c>
      <c r="E196" t="s">
        <v>357</v>
      </c>
      <c r="F196" t="s">
        <v>13</v>
      </c>
      <c r="G196" t="s">
        <v>525</v>
      </c>
    </row>
    <row r="197" spans="1:7" x14ac:dyDescent="0.3">
      <c r="A197">
        <v>0</v>
      </c>
      <c r="B197" t="s">
        <v>314</v>
      </c>
      <c r="C197" t="s">
        <v>341</v>
      </c>
      <c r="D197" t="s">
        <v>2</v>
      </c>
      <c r="E197" t="s">
        <v>341</v>
      </c>
      <c r="F197" t="s">
        <v>13</v>
      </c>
      <c r="G197" t="s">
        <v>525</v>
      </c>
    </row>
    <row r="198" spans="1:7" x14ac:dyDescent="0.3">
      <c r="A198">
        <v>0</v>
      </c>
      <c r="B198" t="s">
        <v>319</v>
      </c>
      <c r="C198" t="s">
        <v>466</v>
      </c>
      <c r="D198" t="s">
        <v>2</v>
      </c>
      <c r="E198" t="s">
        <v>466</v>
      </c>
      <c r="F198" t="s">
        <v>13</v>
      </c>
      <c r="G198" t="s">
        <v>525</v>
      </c>
    </row>
    <row r="199" spans="1:7" x14ac:dyDescent="0.3">
      <c r="A199">
        <v>0</v>
      </c>
      <c r="B199" t="s">
        <v>319</v>
      </c>
      <c r="C199" t="s">
        <v>362</v>
      </c>
      <c r="D199" t="s">
        <v>2</v>
      </c>
      <c r="E199" t="s">
        <v>362</v>
      </c>
      <c r="F199" t="s">
        <v>13</v>
      </c>
      <c r="G199" t="s">
        <v>525</v>
      </c>
    </row>
    <row r="200" spans="1:7" x14ac:dyDescent="0.3">
      <c r="A200">
        <v>0</v>
      </c>
      <c r="B200" t="s">
        <v>312</v>
      </c>
      <c r="C200" t="s">
        <v>433</v>
      </c>
      <c r="D200" t="s">
        <v>2</v>
      </c>
      <c r="E200" t="s">
        <v>433</v>
      </c>
      <c r="F200" t="s">
        <v>13</v>
      </c>
      <c r="G200" t="s">
        <v>525</v>
      </c>
    </row>
    <row r="201" spans="1:7" x14ac:dyDescent="0.3">
      <c r="A201">
        <v>0</v>
      </c>
      <c r="B201" t="s">
        <v>312</v>
      </c>
      <c r="C201" t="s">
        <v>397</v>
      </c>
      <c r="D201" t="s">
        <v>2</v>
      </c>
      <c r="E201" t="s">
        <v>397</v>
      </c>
      <c r="F201" t="s">
        <v>13</v>
      </c>
      <c r="G201" t="s">
        <v>525</v>
      </c>
    </row>
    <row r="202" spans="1:7" x14ac:dyDescent="0.3">
      <c r="A202">
        <v>0</v>
      </c>
      <c r="B202" t="s">
        <v>319</v>
      </c>
      <c r="C202" t="s">
        <v>378</v>
      </c>
      <c r="D202" t="s">
        <v>2</v>
      </c>
      <c r="E202" t="s">
        <v>378</v>
      </c>
      <c r="F202" t="s">
        <v>13</v>
      </c>
      <c r="G202" t="s">
        <v>525</v>
      </c>
    </row>
    <row r="203" spans="1:7" x14ac:dyDescent="0.3">
      <c r="A203">
        <v>0</v>
      </c>
      <c r="B203" t="s">
        <v>105</v>
      </c>
      <c r="C203" t="s">
        <v>117</v>
      </c>
      <c r="D203" t="s">
        <v>2</v>
      </c>
      <c r="E203" t="s">
        <v>117</v>
      </c>
      <c r="F203" t="s">
        <v>13</v>
      </c>
      <c r="G203" t="s">
        <v>525</v>
      </c>
    </row>
    <row r="204" spans="1:7" x14ac:dyDescent="0.3">
      <c r="A204">
        <v>0</v>
      </c>
      <c r="B204" t="s">
        <v>312</v>
      </c>
      <c r="C204" t="s">
        <v>476</v>
      </c>
      <c r="D204" t="s">
        <v>2</v>
      </c>
      <c r="E204" t="s">
        <v>476</v>
      </c>
      <c r="F204" t="s">
        <v>13</v>
      </c>
      <c r="G204" t="s">
        <v>525</v>
      </c>
    </row>
    <row r="205" spans="1:7" x14ac:dyDescent="0.3">
      <c r="A205">
        <v>0</v>
      </c>
      <c r="B205" t="s">
        <v>319</v>
      </c>
      <c r="C205" t="s">
        <v>478</v>
      </c>
      <c r="D205" t="s">
        <v>2</v>
      </c>
      <c r="E205" t="s">
        <v>478</v>
      </c>
      <c r="F205" t="s">
        <v>13</v>
      </c>
      <c r="G205" t="s">
        <v>525</v>
      </c>
    </row>
    <row r="206" spans="1:7" x14ac:dyDescent="0.3">
      <c r="A206">
        <v>0</v>
      </c>
      <c r="B206" t="s">
        <v>312</v>
      </c>
      <c r="C206" t="s">
        <v>367</v>
      </c>
      <c r="D206" t="s">
        <v>2</v>
      </c>
      <c r="E206" t="s">
        <v>367</v>
      </c>
      <c r="F206" t="s">
        <v>13</v>
      </c>
      <c r="G206" t="s">
        <v>525</v>
      </c>
    </row>
    <row r="207" spans="1:7" x14ac:dyDescent="0.3">
      <c r="A207">
        <v>0</v>
      </c>
      <c r="B207" t="s">
        <v>312</v>
      </c>
      <c r="C207" t="s">
        <v>346</v>
      </c>
      <c r="D207" t="s">
        <v>2</v>
      </c>
      <c r="E207" t="s">
        <v>346</v>
      </c>
      <c r="F207" t="s">
        <v>13</v>
      </c>
      <c r="G207" t="s">
        <v>525</v>
      </c>
    </row>
    <row r="208" spans="1:7" x14ac:dyDescent="0.3">
      <c r="A208">
        <v>0</v>
      </c>
      <c r="B208" t="s">
        <v>105</v>
      </c>
      <c r="C208" t="s">
        <v>119</v>
      </c>
      <c r="D208" t="s">
        <v>2</v>
      </c>
      <c r="E208" t="s">
        <v>119</v>
      </c>
      <c r="F208" t="s">
        <v>13</v>
      </c>
      <c r="G208" t="s">
        <v>525</v>
      </c>
    </row>
    <row r="209" spans="1:7" x14ac:dyDescent="0.3">
      <c r="A209">
        <v>0</v>
      </c>
      <c r="B209" t="s">
        <v>312</v>
      </c>
      <c r="C209" t="s">
        <v>385</v>
      </c>
      <c r="D209" t="s">
        <v>2</v>
      </c>
      <c r="E209" t="s">
        <v>385</v>
      </c>
      <c r="F209" t="s">
        <v>13</v>
      </c>
      <c r="G209" t="s">
        <v>525</v>
      </c>
    </row>
    <row r="210" spans="1:7" x14ac:dyDescent="0.3">
      <c r="A210">
        <v>0</v>
      </c>
      <c r="B210" t="s">
        <v>57</v>
      </c>
      <c r="C210" t="s">
        <v>120</v>
      </c>
      <c r="D210" t="s">
        <v>2</v>
      </c>
      <c r="E210" t="s">
        <v>120</v>
      </c>
      <c r="F210" t="s">
        <v>13</v>
      </c>
      <c r="G210" t="s">
        <v>525</v>
      </c>
    </row>
    <row r="211" spans="1:7" x14ac:dyDescent="0.3">
      <c r="A211">
        <v>0</v>
      </c>
      <c r="B211" t="s">
        <v>312</v>
      </c>
      <c r="C211" t="s">
        <v>324</v>
      </c>
      <c r="D211" t="s">
        <v>2</v>
      </c>
      <c r="E211" t="s">
        <v>324</v>
      </c>
      <c r="F211" t="s">
        <v>13</v>
      </c>
      <c r="G211" t="s">
        <v>525</v>
      </c>
    </row>
    <row r="212" spans="1:7" x14ac:dyDescent="0.3">
      <c r="A212">
        <v>0</v>
      </c>
      <c r="B212" t="s">
        <v>312</v>
      </c>
      <c r="C212" t="s">
        <v>327</v>
      </c>
      <c r="D212" t="s">
        <v>2</v>
      </c>
      <c r="E212" t="s">
        <v>327</v>
      </c>
      <c r="F212" t="s">
        <v>13</v>
      </c>
      <c r="G212" t="s">
        <v>525</v>
      </c>
    </row>
    <row r="213" spans="1:7" x14ac:dyDescent="0.3">
      <c r="A213">
        <v>0</v>
      </c>
      <c r="B213" t="s">
        <v>314</v>
      </c>
      <c r="C213" t="s">
        <v>441</v>
      </c>
      <c r="D213" t="s">
        <v>2</v>
      </c>
      <c r="E213" t="s">
        <v>441</v>
      </c>
      <c r="F213" t="s">
        <v>13</v>
      </c>
      <c r="G213" t="s">
        <v>525</v>
      </c>
    </row>
    <row r="214" spans="1:7" x14ac:dyDescent="0.3">
      <c r="A214">
        <v>0</v>
      </c>
      <c r="B214" t="s">
        <v>105</v>
      </c>
      <c r="C214" t="s">
        <v>115</v>
      </c>
      <c r="D214" t="s">
        <v>2</v>
      </c>
      <c r="E214" t="s">
        <v>115</v>
      </c>
      <c r="F214" t="s">
        <v>13</v>
      </c>
      <c r="G214" t="s">
        <v>525</v>
      </c>
    </row>
    <row r="215" spans="1:7" x14ac:dyDescent="0.3">
      <c r="A215">
        <v>0</v>
      </c>
      <c r="B215" t="s">
        <v>312</v>
      </c>
      <c r="C215" t="s">
        <v>484</v>
      </c>
      <c r="D215" t="s">
        <v>2</v>
      </c>
      <c r="E215" t="s">
        <v>484</v>
      </c>
      <c r="F215" t="s">
        <v>13</v>
      </c>
      <c r="G215" t="s">
        <v>525</v>
      </c>
    </row>
    <row r="216" spans="1:7" x14ac:dyDescent="0.3">
      <c r="A216">
        <v>0</v>
      </c>
      <c r="B216" t="s">
        <v>312</v>
      </c>
      <c r="C216" t="s">
        <v>311</v>
      </c>
      <c r="D216" t="s">
        <v>2</v>
      </c>
      <c r="E216" t="s">
        <v>311</v>
      </c>
      <c r="F216" t="s">
        <v>13</v>
      </c>
      <c r="G216" t="s">
        <v>525</v>
      </c>
    </row>
    <row r="217" spans="1:7" x14ac:dyDescent="0.3">
      <c r="A217">
        <v>0</v>
      </c>
      <c r="B217" t="s">
        <v>312</v>
      </c>
      <c r="C217" t="s">
        <v>365</v>
      </c>
      <c r="D217" t="s">
        <v>2</v>
      </c>
      <c r="E217" t="s">
        <v>365</v>
      </c>
      <c r="F217" t="s">
        <v>13</v>
      </c>
      <c r="G217" t="s">
        <v>525</v>
      </c>
    </row>
    <row r="218" spans="1:7" x14ac:dyDescent="0.3">
      <c r="A218">
        <v>0</v>
      </c>
      <c r="B218" t="s">
        <v>314</v>
      </c>
      <c r="C218" t="s">
        <v>350</v>
      </c>
      <c r="D218" t="s">
        <v>2</v>
      </c>
      <c r="E218" t="s">
        <v>350</v>
      </c>
      <c r="F218" t="s">
        <v>13</v>
      </c>
      <c r="G218" t="s">
        <v>525</v>
      </c>
    </row>
    <row r="219" spans="1:7" x14ac:dyDescent="0.3">
      <c r="A219">
        <v>0</v>
      </c>
      <c r="B219" t="s">
        <v>105</v>
      </c>
      <c r="C219" t="s">
        <v>123</v>
      </c>
      <c r="D219" t="s">
        <v>2</v>
      </c>
      <c r="E219" t="s">
        <v>123</v>
      </c>
      <c r="F219" t="s">
        <v>13</v>
      </c>
      <c r="G219" t="s">
        <v>525</v>
      </c>
    </row>
    <row r="220" spans="1:7" x14ac:dyDescent="0.3">
      <c r="A220">
        <v>0</v>
      </c>
      <c r="B220" t="s">
        <v>312</v>
      </c>
      <c r="C220" t="s">
        <v>396</v>
      </c>
      <c r="D220" t="s">
        <v>2</v>
      </c>
      <c r="E220" t="s">
        <v>396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428</v>
      </c>
      <c r="D221" t="s">
        <v>2</v>
      </c>
      <c r="E221" t="s">
        <v>428</v>
      </c>
      <c r="F221" t="s">
        <v>13</v>
      </c>
      <c r="G221" t="s">
        <v>525</v>
      </c>
    </row>
    <row r="222" spans="1:7" x14ac:dyDescent="0.3">
      <c r="A222">
        <v>0</v>
      </c>
      <c r="B222" t="s">
        <v>312</v>
      </c>
      <c r="C222" t="s">
        <v>383</v>
      </c>
      <c r="D222" t="s">
        <v>2</v>
      </c>
      <c r="E222" t="s">
        <v>383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426</v>
      </c>
      <c r="D223" t="s">
        <v>2</v>
      </c>
      <c r="E223" t="s">
        <v>426</v>
      </c>
      <c r="F223" t="s">
        <v>13</v>
      </c>
      <c r="G223" t="s">
        <v>525</v>
      </c>
    </row>
    <row r="224" spans="1:7" x14ac:dyDescent="0.3">
      <c r="A224">
        <v>0</v>
      </c>
      <c r="B224" t="s">
        <v>312</v>
      </c>
      <c r="C224" t="s">
        <v>437</v>
      </c>
      <c r="D224" t="s">
        <v>2</v>
      </c>
      <c r="E224" t="s">
        <v>437</v>
      </c>
      <c r="F224" t="s">
        <v>13</v>
      </c>
      <c r="G224" t="s">
        <v>525</v>
      </c>
    </row>
    <row r="225" spans="1:7" x14ac:dyDescent="0.3">
      <c r="A225">
        <v>0</v>
      </c>
      <c r="B225" t="s">
        <v>312</v>
      </c>
      <c r="C225" t="s">
        <v>454</v>
      </c>
      <c r="D225" t="s">
        <v>2</v>
      </c>
      <c r="E225" t="s">
        <v>454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425</v>
      </c>
      <c r="D226" t="s">
        <v>2</v>
      </c>
      <c r="E226" t="s">
        <v>425</v>
      </c>
      <c r="F226" t="s">
        <v>13</v>
      </c>
      <c r="G226" t="s">
        <v>525</v>
      </c>
    </row>
    <row r="227" spans="1:7" x14ac:dyDescent="0.3">
      <c r="A227">
        <v>0</v>
      </c>
      <c r="B227" t="s">
        <v>312</v>
      </c>
      <c r="C227" t="s">
        <v>344</v>
      </c>
      <c r="D227" t="s">
        <v>2</v>
      </c>
      <c r="E227" t="s">
        <v>344</v>
      </c>
      <c r="F227" t="s">
        <v>13</v>
      </c>
      <c r="G227" t="s">
        <v>525</v>
      </c>
    </row>
    <row r="228" spans="1:7" x14ac:dyDescent="0.3">
      <c r="A228">
        <v>0</v>
      </c>
      <c r="B228" t="s">
        <v>312</v>
      </c>
      <c r="C228" t="s">
        <v>407</v>
      </c>
      <c r="D228" t="s">
        <v>2</v>
      </c>
      <c r="E228" t="s">
        <v>407</v>
      </c>
      <c r="F228" t="s">
        <v>13</v>
      </c>
      <c r="G228" t="s">
        <v>525</v>
      </c>
    </row>
    <row r="229" spans="1:7" x14ac:dyDescent="0.3">
      <c r="A229">
        <v>0</v>
      </c>
      <c r="B229" t="s">
        <v>314</v>
      </c>
      <c r="C229" t="s">
        <v>413</v>
      </c>
      <c r="D229" t="s">
        <v>2</v>
      </c>
      <c r="E229" t="s">
        <v>413</v>
      </c>
      <c r="F229" t="s">
        <v>13</v>
      </c>
      <c r="G229" t="s">
        <v>525</v>
      </c>
    </row>
    <row r="230" spans="1:7" x14ac:dyDescent="0.3">
      <c r="A230">
        <v>0</v>
      </c>
      <c r="B230" t="s">
        <v>312</v>
      </c>
      <c r="C230" t="s">
        <v>392</v>
      </c>
      <c r="D230" t="s">
        <v>2</v>
      </c>
      <c r="E230" t="s">
        <v>392</v>
      </c>
      <c r="F230" t="s">
        <v>13</v>
      </c>
      <c r="G230" t="s">
        <v>525</v>
      </c>
    </row>
    <row r="231" spans="1:7" x14ac:dyDescent="0.3">
      <c r="A231">
        <v>0</v>
      </c>
      <c r="B231" t="s">
        <v>319</v>
      </c>
      <c r="C231" t="s">
        <v>422</v>
      </c>
      <c r="D231" t="s">
        <v>2</v>
      </c>
      <c r="E231" t="s">
        <v>422</v>
      </c>
      <c r="F231" t="s">
        <v>13</v>
      </c>
      <c r="G231" t="s">
        <v>525</v>
      </c>
    </row>
    <row r="232" spans="1:7" x14ac:dyDescent="0.3">
      <c r="A232">
        <v>0</v>
      </c>
      <c r="B232" t="s">
        <v>314</v>
      </c>
      <c r="C232" t="s">
        <v>495</v>
      </c>
      <c r="D232" t="s">
        <v>494</v>
      </c>
      <c r="E232" t="s">
        <v>495</v>
      </c>
      <c r="F232" t="s">
        <v>13</v>
      </c>
      <c r="G232" t="s">
        <v>525</v>
      </c>
    </row>
    <row r="233" spans="1:7" x14ac:dyDescent="0.3">
      <c r="A233">
        <v>0</v>
      </c>
      <c r="B233" t="s">
        <v>314</v>
      </c>
      <c r="C233" t="s">
        <v>497</v>
      </c>
      <c r="D233" t="s">
        <v>494</v>
      </c>
      <c r="E233" t="s">
        <v>497</v>
      </c>
      <c r="F233" t="s">
        <v>13</v>
      </c>
      <c r="G233" t="s">
        <v>525</v>
      </c>
    </row>
    <row r="234" spans="1:7" x14ac:dyDescent="0.3">
      <c r="A234">
        <v>0</v>
      </c>
      <c r="B234" t="s">
        <v>314</v>
      </c>
      <c r="C234" t="s">
        <v>496</v>
      </c>
      <c r="D234" t="s">
        <v>494</v>
      </c>
      <c r="E234" t="s">
        <v>496</v>
      </c>
      <c r="F234" t="s">
        <v>13</v>
      </c>
      <c r="G234" t="s">
        <v>525</v>
      </c>
    </row>
    <row r="235" spans="1:7" x14ac:dyDescent="0.3">
      <c r="A235">
        <v>0</v>
      </c>
      <c r="B235" t="s">
        <v>312</v>
      </c>
      <c r="C235" t="s">
        <v>513</v>
      </c>
      <c r="D235" t="s">
        <v>498</v>
      </c>
      <c r="E235" t="s">
        <v>513</v>
      </c>
      <c r="F235" t="s">
        <v>13</v>
      </c>
      <c r="G235" t="s">
        <v>525</v>
      </c>
    </row>
    <row r="236" spans="1:7" x14ac:dyDescent="0.3">
      <c r="A236">
        <v>0</v>
      </c>
      <c r="B236" t="s">
        <v>312</v>
      </c>
      <c r="C236" t="s">
        <v>515</v>
      </c>
      <c r="D236" t="s">
        <v>498</v>
      </c>
      <c r="E236" t="s">
        <v>515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509</v>
      </c>
      <c r="D237" t="s">
        <v>498</v>
      </c>
      <c r="E237" t="s">
        <v>509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502</v>
      </c>
      <c r="D238" t="s">
        <v>498</v>
      </c>
      <c r="E238" t="s">
        <v>502</v>
      </c>
      <c r="F238" t="s">
        <v>13</v>
      </c>
      <c r="G238" t="s">
        <v>525</v>
      </c>
    </row>
    <row r="239" spans="1:7" x14ac:dyDescent="0.3">
      <c r="A239">
        <v>0</v>
      </c>
      <c r="B239" t="s">
        <v>312</v>
      </c>
      <c r="C239" t="s">
        <v>500</v>
      </c>
      <c r="D239" t="s">
        <v>498</v>
      </c>
      <c r="E239" t="s">
        <v>500</v>
      </c>
      <c r="F239" t="s">
        <v>13</v>
      </c>
      <c r="G239" t="s">
        <v>525</v>
      </c>
    </row>
    <row r="240" spans="1:7" x14ac:dyDescent="0.3">
      <c r="A240">
        <v>0</v>
      </c>
      <c r="B240" t="s">
        <v>507</v>
      </c>
      <c r="C240" t="s">
        <v>506</v>
      </c>
      <c r="D240" t="s">
        <v>498</v>
      </c>
      <c r="E240" t="s">
        <v>506</v>
      </c>
      <c r="F240" t="s">
        <v>13</v>
      </c>
      <c r="G240" t="s">
        <v>525</v>
      </c>
    </row>
    <row r="241" spans="1:7" x14ac:dyDescent="0.3">
      <c r="A241">
        <v>0</v>
      </c>
      <c r="B241" t="s">
        <v>312</v>
      </c>
      <c r="C241" t="s">
        <v>514</v>
      </c>
      <c r="D241" t="s">
        <v>498</v>
      </c>
      <c r="E241" t="s">
        <v>514</v>
      </c>
      <c r="F241" t="s">
        <v>13</v>
      </c>
      <c r="G241" t="s">
        <v>525</v>
      </c>
    </row>
    <row r="242" spans="1:7" x14ac:dyDescent="0.3">
      <c r="A242">
        <v>0</v>
      </c>
      <c r="B242" t="s">
        <v>312</v>
      </c>
      <c r="C242" t="s">
        <v>499</v>
      </c>
      <c r="D242" t="s">
        <v>498</v>
      </c>
      <c r="E242" t="s">
        <v>499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508</v>
      </c>
      <c r="D243" t="s">
        <v>498</v>
      </c>
      <c r="E243" t="s">
        <v>508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519</v>
      </c>
      <c r="D244" t="s">
        <v>498</v>
      </c>
      <c r="E244" t="s">
        <v>519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t="s">
        <v>510</v>
      </c>
      <c r="D245" t="s">
        <v>498</v>
      </c>
      <c r="E245" t="s">
        <v>510</v>
      </c>
      <c r="F245" t="s">
        <v>13</v>
      </c>
      <c r="G245" t="s">
        <v>525</v>
      </c>
    </row>
    <row r="246" spans="1:7" x14ac:dyDescent="0.3">
      <c r="A246">
        <v>0</v>
      </c>
      <c r="B246" t="s">
        <v>312</v>
      </c>
      <c r="C246" t="s">
        <v>521</v>
      </c>
      <c r="D246" t="s">
        <v>498</v>
      </c>
      <c r="E246" t="s">
        <v>521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501</v>
      </c>
      <c r="D247" t="s">
        <v>498</v>
      </c>
      <c r="E247" t="s">
        <v>501</v>
      </c>
      <c r="F247" t="s">
        <v>13</v>
      </c>
      <c r="G247" t="s">
        <v>525</v>
      </c>
    </row>
    <row r="248" spans="1:7" x14ac:dyDescent="0.3">
      <c r="A248">
        <v>0</v>
      </c>
      <c r="B248" t="s">
        <v>312</v>
      </c>
      <c r="C248" t="s">
        <v>504</v>
      </c>
      <c r="D248" t="s">
        <v>498</v>
      </c>
      <c r="E248" t="s">
        <v>504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520</v>
      </c>
      <c r="D249" t="s">
        <v>498</v>
      </c>
      <c r="E249" t="s">
        <v>520</v>
      </c>
      <c r="F249" t="s">
        <v>13</v>
      </c>
      <c r="G249" t="s">
        <v>525</v>
      </c>
    </row>
    <row r="250" spans="1:7" x14ac:dyDescent="0.3">
      <c r="A250">
        <v>0</v>
      </c>
      <c r="B250" t="s">
        <v>312</v>
      </c>
      <c r="C250" t="s">
        <v>523</v>
      </c>
      <c r="D250" t="s">
        <v>498</v>
      </c>
      <c r="E250" t="s">
        <v>523</v>
      </c>
      <c r="F250" t="s">
        <v>13</v>
      </c>
      <c r="G250" t="s">
        <v>525</v>
      </c>
    </row>
    <row r="251" spans="1:7" x14ac:dyDescent="0.3">
      <c r="A251">
        <v>0</v>
      </c>
      <c r="B251" t="s">
        <v>312</v>
      </c>
      <c r="C251" t="s">
        <v>503</v>
      </c>
      <c r="D251" t="s">
        <v>498</v>
      </c>
      <c r="E251" t="s">
        <v>503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512</v>
      </c>
      <c r="D252" t="s">
        <v>498</v>
      </c>
      <c r="E252" t="s">
        <v>512</v>
      </c>
      <c r="F252" t="s">
        <v>13</v>
      </c>
      <c r="G252" t="s">
        <v>525</v>
      </c>
    </row>
    <row r="253" spans="1:7" x14ac:dyDescent="0.3">
      <c r="A253">
        <v>0</v>
      </c>
      <c r="B253" t="s">
        <v>312</v>
      </c>
      <c r="C253" t="s">
        <v>505</v>
      </c>
      <c r="D253" t="s">
        <v>498</v>
      </c>
      <c r="E253" t="s">
        <v>505</v>
      </c>
      <c r="F253" t="s">
        <v>13</v>
      </c>
      <c r="G253" t="s">
        <v>525</v>
      </c>
    </row>
    <row r="254" spans="1:7" x14ac:dyDescent="0.3">
      <c r="A254">
        <v>0</v>
      </c>
      <c r="B254" t="s">
        <v>312</v>
      </c>
      <c r="C254" t="s">
        <v>518</v>
      </c>
      <c r="D254" t="s">
        <v>498</v>
      </c>
      <c r="E254" t="s">
        <v>518</v>
      </c>
      <c r="F254" t="s">
        <v>13</v>
      </c>
      <c r="G254" t="s">
        <v>525</v>
      </c>
    </row>
    <row r="255" spans="1:7" x14ac:dyDescent="0.3">
      <c r="A255">
        <v>0</v>
      </c>
      <c r="B255" t="s">
        <v>312</v>
      </c>
      <c r="C255" t="s">
        <v>522</v>
      </c>
      <c r="D255" t="s">
        <v>498</v>
      </c>
      <c r="E255" t="s">
        <v>522</v>
      </c>
      <c r="F255" t="s">
        <v>13</v>
      </c>
      <c r="G255" t="s">
        <v>525</v>
      </c>
    </row>
    <row r="256" spans="1:7" x14ac:dyDescent="0.3">
      <c r="A256">
        <v>0</v>
      </c>
      <c r="B256" t="s">
        <v>312</v>
      </c>
      <c r="C256" t="s">
        <v>516</v>
      </c>
      <c r="D256" t="s">
        <v>498</v>
      </c>
      <c r="E256" t="s">
        <v>516</v>
      </c>
      <c r="F256" t="s">
        <v>13</v>
      </c>
      <c r="G256" t="s">
        <v>525</v>
      </c>
    </row>
    <row r="257" spans="1:7" x14ac:dyDescent="0.3">
      <c r="A257">
        <v>0</v>
      </c>
      <c r="B257" t="s">
        <v>312</v>
      </c>
      <c r="C257" t="s">
        <v>517</v>
      </c>
      <c r="D257" t="s">
        <v>498</v>
      </c>
      <c r="E257" t="s">
        <v>517</v>
      </c>
      <c r="F257" t="s">
        <v>13</v>
      </c>
      <c r="G257" t="s">
        <v>525</v>
      </c>
    </row>
    <row r="258" spans="1:7" x14ac:dyDescent="0.3">
      <c r="A258">
        <v>0</v>
      </c>
      <c r="B258" t="s">
        <v>16</v>
      </c>
      <c r="C258" s="2" t="s">
        <v>22</v>
      </c>
      <c r="D258" t="s">
        <v>2</v>
      </c>
      <c r="E258" s="2" t="s">
        <v>22</v>
      </c>
      <c r="F258" t="s">
        <v>13</v>
      </c>
      <c r="G258" t="s">
        <v>525</v>
      </c>
    </row>
    <row r="259" spans="1:7" x14ac:dyDescent="0.3">
      <c r="A259">
        <v>0</v>
      </c>
      <c r="B259" t="s">
        <v>16</v>
      </c>
      <c r="C259" s="2" t="s">
        <v>49</v>
      </c>
      <c r="D259" t="s">
        <v>2</v>
      </c>
      <c r="E259" s="2" t="s">
        <v>49</v>
      </c>
      <c r="F259" t="s">
        <v>13</v>
      </c>
      <c r="G259" t="s">
        <v>525</v>
      </c>
    </row>
    <row r="260" spans="1:7" x14ac:dyDescent="0.3">
      <c r="A260">
        <v>0</v>
      </c>
      <c r="B260" t="s">
        <v>312</v>
      </c>
      <c r="C260" s="2" t="s">
        <v>55</v>
      </c>
      <c r="D260" t="s">
        <v>2</v>
      </c>
      <c r="E260" s="2" t="s">
        <v>55</v>
      </c>
      <c r="F260" t="s">
        <v>13</v>
      </c>
      <c r="G260" t="s">
        <v>525</v>
      </c>
    </row>
    <row r="261" spans="1:7" x14ac:dyDescent="0.3">
      <c r="A261">
        <v>0</v>
      </c>
      <c r="B261" t="s">
        <v>312</v>
      </c>
      <c r="C261" t="s">
        <v>59</v>
      </c>
      <c r="D261" t="s">
        <v>2</v>
      </c>
      <c r="E261" t="s">
        <v>59</v>
      </c>
      <c r="F261" t="s">
        <v>13</v>
      </c>
      <c r="G261" t="s">
        <v>525</v>
      </c>
    </row>
    <row r="262" spans="1:7" x14ac:dyDescent="0.3">
      <c r="A262">
        <v>0</v>
      </c>
      <c r="B262" t="s">
        <v>16</v>
      </c>
      <c r="C262" s="2" t="s">
        <v>61</v>
      </c>
      <c r="D262" t="s">
        <v>2</v>
      </c>
      <c r="E262" s="2" t="s">
        <v>61</v>
      </c>
      <c r="F262" t="s">
        <v>13</v>
      </c>
      <c r="G262" t="s">
        <v>525</v>
      </c>
    </row>
    <row r="263" spans="1:7" x14ac:dyDescent="0.3">
      <c r="A263">
        <v>0</v>
      </c>
      <c r="B263" t="s">
        <v>312</v>
      </c>
      <c r="C263" s="2" t="s">
        <v>67</v>
      </c>
      <c r="D263" t="s">
        <v>2</v>
      </c>
      <c r="E263" s="2" t="s">
        <v>67</v>
      </c>
      <c r="F263" t="s">
        <v>13</v>
      </c>
      <c r="G263" t="s">
        <v>525</v>
      </c>
    </row>
    <row r="264" spans="1:7" x14ac:dyDescent="0.3">
      <c r="A264">
        <v>0</v>
      </c>
      <c r="B264" t="s">
        <v>312</v>
      </c>
      <c r="C264" t="s">
        <v>73</v>
      </c>
      <c r="D264" t="s">
        <v>2</v>
      </c>
      <c r="E264" t="s">
        <v>73</v>
      </c>
      <c r="F264" t="s">
        <v>13</v>
      </c>
      <c r="G264" t="s">
        <v>525</v>
      </c>
    </row>
    <row r="265" spans="1:7" x14ac:dyDescent="0.3">
      <c r="A265">
        <v>0</v>
      </c>
      <c r="B265" t="s">
        <v>312</v>
      </c>
      <c r="C265" t="s">
        <v>79</v>
      </c>
      <c r="D265" t="s">
        <v>2</v>
      </c>
      <c r="E265" t="s">
        <v>79</v>
      </c>
      <c r="F265" t="s">
        <v>13</v>
      </c>
      <c r="G265" t="s">
        <v>525</v>
      </c>
    </row>
    <row r="266" spans="1:7" x14ac:dyDescent="0.3">
      <c r="A266">
        <v>0</v>
      </c>
      <c r="B266" t="s">
        <v>312</v>
      </c>
      <c r="C266" t="s">
        <v>82</v>
      </c>
      <c r="D266" t="s">
        <v>2</v>
      </c>
      <c r="E266" t="s">
        <v>82</v>
      </c>
      <c r="F266" t="s">
        <v>13</v>
      </c>
      <c r="G266" t="s">
        <v>525</v>
      </c>
    </row>
    <row r="267" spans="1:7" x14ac:dyDescent="0.3">
      <c r="A267">
        <v>0</v>
      </c>
      <c r="B267" t="s">
        <v>312</v>
      </c>
      <c r="C267" t="s">
        <v>85</v>
      </c>
      <c r="D267" t="s">
        <v>2</v>
      </c>
      <c r="E267" t="s">
        <v>85</v>
      </c>
      <c r="F267" t="s">
        <v>13</v>
      </c>
      <c r="G267" t="s">
        <v>525</v>
      </c>
    </row>
    <row r="268" spans="1:7" x14ac:dyDescent="0.3">
      <c r="A268">
        <v>0</v>
      </c>
      <c r="B268" t="s">
        <v>312</v>
      </c>
      <c r="C268" t="s">
        <v>88</v>
      </c>
      <c r="D268" t="s">
        <v>2</v>
      </c>
      <c r="E268" t="s">
        <v>88</v>
      </c>
      <c r="F268" t="s">
        <v>13</v>
      </c>
      <c r="G268" t="s">
        <v>525</v>
      </c>
    </row>
    <row r="269" spans="1:7" x14ac:dyDescent="0.3">
      <c r="A269">
        <v>0</v>
      </c>
      <c r="B269" t="s">
        <v>312</v>
      </c>
      <c r="C269" t="s">
        <v>91</v>
      </c>
      <c r="D269" t="s">
        <v>2</v>
      </c>
      <c r="E269" t="s">
        <v>91</v>
      </c>
      <c r="F269" t="s">
        <v>13</v>
      </c>
      <c r="G269" t="s">
        <v>525</v>
      </c>
    </row>
    <row r="270" spans="1:7" x14ac:dyDescent="0.3">
      <c r="A270">
        <v>0</v>
      </c>
      <c r="B270" t="s">
        <v>312</v>
      </c>
      <c r="C270" t="s">
        <v>94</v>
      </c>
      <c r="D270" t="s">
        <v>2</v>
      </c>
      <c r="E270" t="s">
        <v>94</v>
      </c>
      <c r="F270" t="s">
        <v>13</v>
      </c>
      <c r="G270" t="s">
        <v>525</v>
      </c>
    </row>
    <row r="271" spans="1:7" x14ac:dyDescent="0.3">
      <c r="A271">
        <v>0</v>
      </c>
      <c r="B271" t="s">
        <v>312</v>
      </c>
      <c r="C271" t="s">
        <v>97</v>
      </c>
      <c r="D271" t="s">
        <v>2</v>
      </c>
      <c r="E271" t="s">
        <v>97</v>
      </c>
      <c r="F271" t="s">
        <v>13</v>
      </c>
      <c r="G271" t="s">
        <v>525</v>
      </c>
    </row>
    <row r="272" spans="1:7" x14ac:dyDescent="0.3">
      <c r="A272">
        <v>0</v>
      </c>
      <c r="B272" t="s">
        <v>312</v>
      </c>
      <c r="C272" t="s">
        <v>100</v>
      </c>
      <c r="D272" t="s">
        <v>2</v>
      </c>
      <c r="E272" t="s">
        <v>100</v>
      </c>
      <c r="F272" t="s">
        <v>13</v>
      </c>
      <c r="G272" t="s">
        <v>525</v>
      </c>
    </row>
  </sheetData>
  <pageMargins left="0.75" right="0.75" top="1" bottom="1" header="0.5" footer="0.5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268"/>
  <sheetViews>
    <sheetView topLeftCell="A274" workbookViewId="0">
      <selection activeCell="A2" sqref="A2:H268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1.1299999999999999</v>
      </c>
      <c r="B2" t="s">
        <v>57</v>
      </c>
      <c r="C2" t="s">
        <v>690</v>
      </c>
      <c r="D2" t="s">
        <v>2</v>
      </c>
      <c r="E2" t="s">
        <v>79</v>
      </c>
      <c r="F2" s="4" t="s">
        <v>13</v>
      </c>
      <c r="G2" t="s">
        <v>525</v>
      </c>
      <c r="H2" t="s">
        <v>626</v>
      </c>
    </row>
    <row r="3" spans="1:9" x14ac:dyDescent="0.3">
      <c r="A3">
        <v>1.6016713091922004</v>
      </c>
      <c r="B3" t="s">
        <v>57</v>
      </c>
      <c r="C3" t="s">
        <v>665</v>
      </c>
      <c r="D3" t="s">
        <v>2</v>
      </c>
      <c r="E3" t="s">
        <v>149</v>
      </c>
      <c r="F3" t="s">
        <v>13</v>
      </c>
      <c r="G3" t="s">
        <v>525</v>
      </c>
      <c r="H3" t="s">
        <v>626</v>
      </c>
    </row>
    <row r="4" spans="1:9" x14ac:dyDescent="0.3">
      <c r="A4">
        <v>5.0139275766016712E-2</v>
      </c>
      <c r="B4" t="s">
        <v>57</v>
      </c>
      <c r="C4" t="s">
        <v>693</v>
      </c>
      <c r="D4" t="s">
        <v>2</v>
      </c>
      <c r="E4" t="s">
        <v>112</v>
      </c>
      <c r="F4" t="s">
        <v>13</v>
      </c>
      <c r="G4" t="s">
        <v>525</v>
      </c>
      <c r="H4" t="s">
        <v>626</v>
      </c>
    </row>
    <row r="5" spans="1:9" x14ac:dyDescent="0.3">
      <c r="A5">
        <v>0.34818941504178275</v>
      </c>
      <c r="B5" t="s">
        <v>57</v>
      </c>
      <c r="C5" t="s">
        <v>666</v>
      </c>
      <c r="D5" t="s">
        <v>2</v>
      </c>
      <c r="E5" t="s">
        <v>149</v>
      </c>
      <c r="F5" t="s">
        <v>13</v>
      </c>
      <c r="G5" t="s">
        <v>525</v>
      </c>
      <c r="H5" t="s">
        <v>626</v>
      </c>
    </row>
    <row r="6" spans="1:9" x14ac:dyDescent="0.3">
      <c r="A6">
        <f>$A$2*6.99825076938254E-07</f>
        <v>7.9080233694022692E-7</v>
      </c>
      <c r="B6" t="s">
        <v>314</v>
      </c>
      <c r="C6" t="s">
        <v>620</v>
      </c>
      <c r="D6" t="s">
        <v>2</v>
      </c>
      <c r="E6" s="2" t="s">
        <v>455</v>
      </c>
      <c r="F6" t="s">
        <v>13</v>
      </c>
      <c r="G6" t="s">
        <v>525</v>
      </c>
      <c r="H6" t="s">
        <v>621</v>
      </c>
    </row>
    <row r="7" spans="1:9" x14ac:dyDescent="0.3">
      <c r="A7">
        <f>$A$2*'[1]MGS prod'!I12</f>
        <v>1.3819057173058638E-7</v>
      </c>
      <c r="B7" t="s">
        <v>314</v>
      </c>
      <c r="C7" t="s">
        <v>622</v>
      </c>
      <c r="D7" t="s">
        <v>2</v>
      </c>
      <c r="E7" s="2" t="s">
        <v>409</v>
      </c>
      <c r="F7" t="s">
        <v>13</v>
      </c>
      <c r="G7" t="s">
        <v>525</v>
      </c>
      <c r="H7" t="s">
        <v>621</v>
      </c>
    </row>
    <row r="8" spans="1:9" x14ac:dyDescent="0.3">
      <c r="A8">
        <f>$A$2*'[1]MGS prod'!I13</f>
        <v>1.8538851659853049E-7</v>
      </c>
      <c r="B8" t="s">
        <v>314</v>
      </c>
      <c r="C8" t="s">
        <v>623</v>
      </c>
      <c r="D8" t="s">
        <v>2</v>
      </c>
      <c r="E8" s="2" t="s">
        <v>443</v>
      </c>
      <c r="F8" t="s">
        <v>13</v>
      </c>
      <c r="G8" t="s">
        <v>525</v>
      </c>
      <c r="H8" t="s">
        <v>621</v>
      </c>
    </row>
    <row r="9" spans="1:9" x14ac:dyDescent="0.3">
      <c r="A9">
        <v>49</v>
      </c>
      <c r="B9" t="s">
        <v>542</v>
      </c>
      <c r="C9" t="s">
        <v>648</v>
      </c>
      <c r="D9" t="s">
        <v>2</v>
      </c>
      <c r="E9" t="s">
        <v>111</v>
      </c>
      <c r="F9" t="s">
        <v>13</v>
      </c>
      <c r="G9" t="s">
        <v>525</v>
      </c>
      <c r="H9" t="s">
        <v>626</v>
      </c>
    </row>
    <row r="10" spans="1:9" x14ac:dyDescent="0.3">
      <c r="A10">
        <v>28.8</v>
      </c>
      <c r="B10" t="s">
        <v>527</v>
      </c>
      <c r="C10" t="s">
        <v>725</v>
      </c>
      <c r="D10" t="s">
        <v>2</v>
      </c>
      <c r="E10" t="s">
        <v>469</v>
      </c>
      <c r="F10" t="s">
        <v>13</v>
      </c>
      <c r="G10" t="s">
        <v>525</v>
      </c>
      <c r="H10" t="s">
        <v>626</v>
      </c>
    </row>
    <row r="11" spans="1:9" x14ac:dyDescent="0.3">
      <c r="A11">
        <v>2.9956135658500056E-7</v>
      </c>
      <c r="B11" t="s">
        <v>314</v>
      </c>
      <c r="C11" t="s">
        <v>654</v>
      </c>
      <c r="D11" t="s">
        <v>2</v>
      </c>
      <c r="E11" s="2" t="s">
        <v>449</v>
      </c>
      <c r="F11" t="s">
        <v>13</v>
      </c>
      <c r="G11" t="s">
        <v>525</v>
      </c>
      <c r="H11" t="s">
        <v>655</v>
      </c>
    </row>
    <row r="12" spans="1:9" x14ac:dyDescent="0.3">
      <c r="A12">
        <v>1.6475874612175031E-6</v>
      </c>
      <c r="B12" t="s">
        <v>314</v>
      </c>
      <c r="C12" t="s">
        <v>656</v>
      </c>
      <c r="D12" t="s">
        <v>2</v>
      </c>
      <c r="E12" s="2" t="s">
        <v>487</v>
      </c>
      <c r="F12" t="s">
        <v>13</v>
      </c>
      <c r="G12" t="s">
        <v>525</v>
      </c>
      <c r="H12" t="s">
        <v>655</v>
      </c>
    </row>
    <row r="13" spans="1:9" x14ac:dyDescent="0.3">
      <c r="A13">
        <v>6.0268891979601298E-7</v>
      </c>
      <c r="B13" t="s">
        <v>314</v>
      </c>
      <c r="C13" t="s">
        <v>495</v>
      </c>
      <c r="D13" t="s">
        <v>494</v>
      </c>
      <c r="E13" t="s">
        <v>495</v>
      </c>
      <c r="F13" t="s">
        <v>13</v>
      </c>
      <c r="G13" t="s">
        <v>525</v>
      </c>
      <c r="H13" t="s">
        <v>655</v>
      </c>
    </row>
    <row r="14" spans="1:9" x14ac:dyDescent="0.3">
      <c r="A14">
        <v>2.9670839128419101E-6</v>
      </c>
      <c r="B14" t="s">
        <v>314</v>
      </c>
      <c r="C14" t="s">
        <v>496</v>
      </c>
      <c r="D14" t="s">
        <v>494</v>
      </c>
      <c r="E14" s="2" t="s">
        <v>496</v>
      </c>
      <c r="F14" t="s">
        <v>13</v>
      </c>
      <c r="G14" t="s">
        <v>525</v>
      </c>
      <c r="H14" t="s">
        <v>655</v>
      </c>
    </row>
    <row r="15" spans="1:9" x14ac:dyDescent="0.3">
      <c r="A15">
        <v>2.5961984237366715E-6</v>
      </c>
      <c r="B15" t="s">
        <v>314</v>
      </c>
      <c r="C15" t="s">
        <v>497</v>
      </c>
      <c r="D15" t="s">
        <v>494</v>
      </c>
      <c r="E15" s="2" t="s">
        <v>497</v>
      </c>
      <c r="F15" t="s">
        <v>13</v>
      </c>
      <c r="G15" t="s">
        <v>525</v>
      </c>
      <c r="H15" t="s">
        <v>655</v>
      </c>
    </row>
    <row r="16" spans="1:9" x14ac:dyDescent="0.3">
      <c r="A16" s="5">
        <v>5.0000000000000004E-8</v>
      </c>
      <c r="B16" t="s">
        <v>507</v>
      </c>
      <c r="C16" t="s">
        <v>506</v>
      </c>
      <c r="D16" t="s">
        <v>498</v>
      </c>
      <c r="E16" s="2" t="s">
        <v>506</v>
      </c>
      <c r="F16" t="s">
        <v>13</v>
      </c>
      <c r="G16" t="s">
        <v>525</v>
      </c>
      <c r="H16" t="s">
        <v>655</v>
      </c>
    </row>
    <row r="17" spans="1:8" x14ac:dyDescent="0.3">
      <c r="A17">
        <v>3.5991174853372436E-2</v>
      </c>
      <c r="B17" t="s">
        <v>57</v>
      </c>
      <c r="C17" t="s">
        <v>694</v>
      </c>
      <c r="D17" t="s">
        <v>498</v>
      </c>
      <c r="E17" t="s">
        <v>516</v>
      </c>
      <c r="F17" t="s">
        <v>13</v>
      </c>
      <c r="G17" t="s">
        <v>525</v>
      </c>
      <c r="H17" t="s">
        <v>726</v>
      </c>
    </row>
    <row r="18" spans="1:8" x14ac:dyDescent="0.3">
      <c r="A18">
        <v>1.0235520527859239E-7</v>
      </c>
      <c r="B18" t="s">
        <v>57</v>
      </c>
      <c r="C18" t="s">
        <v>695</v>
      </c>
      <c r="D18" t="s">
        <v>498</v>
      </c>
      <c r="E18" t="s">
        <v>505</v>
      </c>
      <c r="F18" t="s">
        <v>13</v>
      </c>
      <c r="G18" t="s">
        <v>525</v>
      </c>
      <c r="H18" t="s">
        <v>726</v>
      </c>
    </row>
    <row r="19" spans="1:8" x14ac:dyDescent="0.3">
      <c r="A19">
        <v>2.0751466275659822E-4</v>
      </c>
      <c r="B19" t="s">
        <v>57</v>
      </c>
      <c r="C19" t="s">
        <v>696</v>
      </c>
      <c r="D19" t="s">
        <v>498</v>
      </c>
      <c r="E19" t="s">
        <v>510</v>
      </c>
      <c r="F19" t="s">
        <v>13</v>
      </c>
      <c r="G19" t="s">
        <v>525</v>
      </c>
      <c r="H19" t="s">
        <v>726</v>
      </c>
    </row>
    <row r="20" spans="1:8" x14ac:dyDescent="0.3">
      <c r="A20">
        <v>2.8042521994134892E-6</v>
      </c>
      <c r="B20" t="s">
        <v>57</v>
      </c>
      <c r="C20" t="s">
        <v>697</v>
      </c>
      <c r="D20" t="s">
        <v>498</v>
      </c>
      <c r="E20" t="s">
        <v>517</v>
      </c>
      <c r="F20" t="s">
        <v>13</v>
      </c>
      <c r="G20" t="s">
        <v>525</v>
      </c>
      <c r="H20" t="s">
        <v>726</v>
      </c>
    </row>
    <row r="21" spans="1:8" x14ac:dyDescent="0.3">
      <c r="A21">
        <v>3.3789836876832846E-2</v>
      </c>
      <c r="B21" t="s">
        <v>57</v>
      </c>
      <c r="C21" t="s">
        <v>698</v>
      </c>
      <c r="D21" t="s">
        <v>498</v>
      </c>
      <c r="E21" t="s">
        <v>516</v>
      </c>
      <c r="F21" t="s">
        <v>13</v>
      </c>
      <c r="G21" t="s">
        <v>525</v>
      </c>
      <c r="H21" t="s">
        <v>726</v>
      </c>
    </row>
    <row r="22" spans="1:8" x14ac:dyDescent="0.3">
      <c r="A22">
        <v>1.9629765395894428E-6</v>
      </c>
      <c r="B22" t="s">
        <v>57</v>
      </c>
      <c r="C22" t="s">
        <v>699</v>
      </c>
      <c r="D22" t="s">
        <v>498</v>
      </c>
      <c r="E22" t="s">
        <v>523</v>
      </c>
      <c r="F22" t="s">
        <v>13</v>
      </c>
      <c r="G22" t="s">
        <v>525</v>
      </c>
      <c r="H22" t="s">
        <v>726</v>
      </c>
    </row>
    <row r="23" spans="1:8" x14ac:dyDescent="0.3">
      <c r="A23">
        <v>5.6085043988269784E-6</v>
      </c>
      <c r="B23" t="s">
        <v>57</v>
      </c>
      <c r="C23" t="s">
        <v>700</v>
      </c>
      <c r="D23" t="s">
        <v>498</v>
      </c>
      <c r="E23" t="s">
        <v>516</v>
      </c>
      <c r="F23" t="s">
        <v>13</v>
      </c>
      <c r="G23" t="s">
        <v>525</v>
      </c>
      <c r="H23" t="s">
        <v>726</v>
      </c>
    </row>
    <row r="24" spans="1:8" x14ac:dyDescent="0.3">
      <c r="A24">
        <v>0</v>
      </c>
      <c r="B24" t="s">
        <v>312</v>
      </c>
      <c r="C24" t="s">
        <v>483</v>
      </c>
      <c r="D24" t="s">
        <v>2</v>
      </c>
      <c r="E24" t="s">
        <v>483</v>
      </c>
      <c r="F24" t="s">
        <v>13</v>
      </c>
      <c r="G24" t="s">
        <v>525</v>
      </c>
    </row>
    <row r="25" spans="1:8" x14ac:dyDescent="0.3">
      <c r="A25">
        <v>0</v>
      </c>
      <c r="B25" t="s">
        <v>105</v>
      </c>
      <c r="C25" t="s">
        <v>125</v>
      </c>
      <c r="D25" t="s">
        <v>2</v>
      </c>
      <c r="E25" t="s">
        <v>125</v>
      </c>
      <c r="F25" t="s">
        <v>13</v>
      </c>
      <c r="G25" t="s">
        <v>525</v>
      </c>
    </row>
    <row r="26" spans="1:8" x14ac:dyDescent="0.3">
      <c r="A26">
        <v>0</v>
      </c>
      <c r="B26" t="s">
        <v>319</v>
      </c>
      <c r="C26" t="s">
        <v>461</v>
      </c>
      <c r="D26" t="s">
        <v>2</v>
      </c>
      <c r="E26" t="s">
        <v>461</v>
      </c>
      <c r="F26" t="s">
        <v>13</v>
      </c>
      <c r="G26" t="s">
        <v>525</v>
      </c>
    </row>
    <row r="27" spans="1:8" x14ac:dyDescent="0.3">
      <c r="A27">
        <v>0</v>
      </c>
      <c r="B27" t="s">
        <v>314</v>
      </c>
      <c r="C27" t="s">
        <v>395</v>
      </c>
      <c r="D27" t="s">
        <v>2</v>
      </c>
      <c r="E27" t="s">
        <v>395</v>
      </c>
      <c r="F27" t="s">
        <v>13</v>
      </c>
      <c r="G27" t="s">
        <v>525</v>
      </c>
    </row>
    <row r="28" spans="1:8" x14ac:dyDescent="0.3">
      <c r="A28">
        <v>0</v>
      </c>
      <c r="B28" t="s">
        <v>312</v>
      </c>
      <c r="C28" t="s">
        <v>399</v>
      </c>
      <c r="D28" t="s">
        <v>2</v>
      </c>
      <c r="E28" t="s">
        <v>399</v>
      </c>
      <c r="F28" t="s">
        <v>13</v>
      </c>
      <c r="G28" t="s">
        <v>525</v>
      </c>
    </row>
    <row r="29" spans="1:8" x14ac:dyDescent="0.3">
      <c r="A29">
        <v>0</v>
      </c>
      <c r="B29" t="s">
        <v>314</v>
      </c>
      <c r="C29" t="s">
        <v>432</v>
      </c>
      <c r="D29" t="s">
        <v>2</v>
      </c>
      <c r="E29" t="s">
        <v>432</v>
      </c>
      <c r="F29" t="s">
        <v>13</v>
      </c>
      <c r="G29" t="s">
        <v>525</v>
      </c>
    </row>
    <row r="30" spans="1:8" x14ac:dyDescent="0.3">
      <c r="A30">
        <v>0</v>
      </c>
      <c r="B30" t="s">
        <v>312</v>
      </c>
      <c r="C30" t="s">
        <v>325</v>
      </c>
      <c r="D30" t="s">
        <v>2</v>
      </c>
      <c r="E30" t="s">
        <v>325</v>
      </c>
      <c r="F30" t="s">
        <v>13</v>
      </c>
      <c r="G30" t="s">
        <v>525</v>
      </c>
    </row>
    <row r="31" spans="1:8" x14ac:dyDescent="0.3">
      <c r="A31">
        <v>0</v>
      </c>
      <c r="B31" t="s">
        <v>314</v>
      </c>
      <c r="C31" t="s">
        <v>372</v>
      </c>
      <c r="D31" t="s">
        <v>2</v>
      </c>
      <c r="E31" t="s">
        <v>372</v>
      </c>
      <c r="F31" t="s">
        <v>13</v>
      </c>
      <c r="G31" t="s">
        <v>525</v>
      </c>
    </row>
    <row r="32" spans="1:8" x14ac:dyDescent="0.3">
      <c r="A32">
        <v>0</v>
      </c>
      <c r="B32" t="s">
        <v>314</v>
      </c>
      <c r="C32" t="s">
        <v>260</v>
      </c>
      <c r="D32" t="s">
        <v>2</v>
      </c>
      <c r="E32" t="s">
        <v>260</v>
      </c>
      <c r="F32" t="s">
        <v>13</v>
      </c>
      <c r="G32" t="s">
        <v>525</v>
      </c>
    </row>
    <row r="33" spans="1:7" x14ac:dyDescent="0.3">
      <c r="A33">
        <v>0</v>
      </c>
      <c r="B33" t="s">
        <v>312</v>
      </c>
      <c r="C33" t="s">
        <v>330</v>
      </c>
      <c r="D33" t="s">
        <v>2</v>
      </c>
      <c r="E33" t="s">
        <v>330</v>
      </c>
      <c r="F33" t="s">
        <v>13</v>
      </c>
      <c r="G33" t="s">
        <v>525</v>
      </c>
    </row>
    <row r="34" spans="1:7" x14ac:dyDescent="0.3">
      <c r="A34">
        <v>0</v>
      </c>
      <c r="B34" t="s">
        <v>105</v>
      </c>
      <c r="C34" t="s">
        <v>401</v>
      </c>
      <c r="D34" t="s">
        <v>2</v>
      </c>
      <c r="E34" t="s">
        <v>401</v>
      </c>
      <c r="F34" t="s">
        <v>13</v>
      </c>
      <c r="G34" t="s">
        <v>525</v>
      </c>
    </row>
    <row r="35" spans="1:7" x14ac:dyDescent="0.3">
      <c r="A35">
        <v>0</v>
      </c>
      <c r="B35" t="s">
        <v>312</v>
      </c>
      <c r="C35" t="s">
        <v>416</v>
      </c>
      <c r="D35" t="s">
        <v>2</v>
      </c>
      <c r="E35" t="s">
        <v>416</v>
      </c>
      <c r="F35" t="s">
        <v>13</v>
      </c>
      <c r="G35" t="s">
        <v>525</v>
      </c>
    </row>
    <row r="36" spans="1:7" x14ac:dyDescent="0.3">
      <c r="A36">
        <v>0</v>
      </c>
      <c r="B36" t="s">
        <v>319</v>
      </c>
      <c r="C36" t="s">
        <v>375</v>
      </c>
      <c r="D36" t="s">
        <v>2</v>
      </c>
      <c r="E36" t="s">
        <v>375</v>
      </c>
      <c r="F36" t="s">
        <v>13</v>
      </c>
      <c r="G36" t="s">
        <v>525</v>
      </c>
    </row>
    <row r="37" spans="1:7" x14ac:dyDescent="0.3">
      <c r="A37">
        <v>0</v>
      </c>
      <c r="B37" t="s">
        <v>312</v>
      </c>
      <c r="C37" t="s">
        <v>333</v>
      </c>
      <c r="D37" t="s">
        <v>2</v>
      </c>
      <c r="E37" t="s">
        <v>333</v>
      </c>
      <c r="F37" t="s">
        <v>13</v>
      </c>
      <c r="G37" t="s">
        <v>525</v>
      </c>
    </row>
    <row r="38" spans="1:7" x14ac:dyDescent="0.3">
      <c r="A38">
        <v>0</v>
      </c>
      <c r="B38" t="s">
        <v>57</v>
      </c>
      <c r="C38" t="s">
        <v>118</v>
      </c>
      <c r="D38" t="s">
        <v>2</v>
      </c>
      <c r="E38" t="s">
        <v>118</v>
      </c>
      <c r="F38" t="s">
        <v>13</v>
      </c>
      <c r="G38" t="s">
        <v>525</v>
      </c>
    </row>
    <row r="39" spans="1:7" x14ac:dyDescent="0.3">
      <c r="A39">
        <v>0</v>
      </c>
      <c r="B39" t="s">
        <v>312</v>
      </c>
      <c r="C39" t="s">
        <v>406</v>
      </c>
      <c r="D39" t="s">
        <v>2</v>
      </c>
      <c r="E39" t="s">
        <v>406</v>
      </c>
      <c r="F39" t="s">
        <v>13</v>
      </c>
      <c r="G39" t="s">
        <v>525</v>
      </c>
    </row>
    <row r="40" spans="1:7" x14ac:dyDescent="0.3">
      <c r="A40">
        <v>0</v>
      </c>
      <c r="B40" t="s">
        <v>312</v>
      </c>
      <c r="C40" t="s">
        <v>315</v>
      </c>
      <c r="D40" t="s">
        <v>2</v>
      </c>
      <c r="E40" t="s">
        <v>315</v>
      </c>
      <c r="F40" t="s">
        <v>13</v>
      </c>
      <c r="G40" t="s">
        <v>525</v>
      </c>
    </row>
    <row r="41" spans="1:7" x14ac:dyDescent="0.3">
      <c r="A41">
        <v>0</v>
      </c>
      <c r="B41" t="s">
        <v>312</v>
      </c>
      <c r="C41" t="s">
        <v>358</v>
      </c>
      <c r="D41" t="s">
        <v>2</v>
      </c>
      <c r="E41" t="s">
        <v>358</v>
      </c>
      <c r="F41" t="s">
        <v>13</v>
      </c>
      <c r="G41" t="s">
        <v>525</v>
      </c>
    </row>
    <row r="42" spans="1:7" x14ac:dyDescent="0.3">
      <c r="A42">
        <v>0</v>
      </c>
      <c r="B42" t="s">
        <v>314</v>
      </c>
      <c r="C42" t="s">
        <v>444</v>
      </c>
      <c r="D42" t="s">
        <v>2</v>
      </c>
      <c r="E42" t="s">
        <v>444</v>
      </c>
      <c r="F42" t="s">
        <v>13</v>
      </c>
      <c r="G42" t="s">
        <v>525</v>
      </c>
    </row>
    <row r="43" spans="1:7" x14ac:dyDescent="0.3">
      <c r="A43">
        <v>0</v>
      </c>
      <c r="B43" t="s">
        <v>312</v>
      </c>
      <c r="C43" t="s">
        <v>439</v>
      </c>
      <c r="D43" t="s">
        <v>2</v>
      </c>
      <c r="E43" t="s">
        <v>439</v>
      </c>
      <c r="F43" t="s">
        <v>13</v>
      </c>
      <c r="G43" t="s">
        <v>525</v>
      </c>
    </row>
    <row r="44" spans="1:7" x14ac:dyDescent="0.3">
      <c r="A44">
        <v>0</v>
      </c>
      <c r="B44" t="s">
        <v>312</v>
      </c>
      <c r="C44" t="s">
        <v>381</v>
      </c>
      <c r="D44" t="s">
        <v>2</v>
      </c>
      <c r="E44" t="s">
        <v>381</v>
      </c>
      <c r="F44" t="s">
        <v>13</v>
      </c>
      <c r="G44" t="s">
        <v>525</v>
      </c>
    </row>
    <row r="45" spans="1:7" x14ac:dyDescent="0.3">
      <c r="A45">
        <v>0</v>
      </c>
      <c r="B45" t="s">
        <v>312</v>
      </c>
      <c r="C45" t="s">
        <v>418</v>
      </c>
      <c r="D45" t="s">
        <v>2</v>
      </c>
      <c r="E45" t="s">
        <v>418</v>
      </c>
      <c r="F45" t="s">
        <v>13</v>
      </c>
      <c r="G45" t="s">
        <v>525</v>
      </c>
    </row>
    <row r="46" spans="1:7" x14ac:dyDescent="0.3">
      <c r="A46">
        <v>0</v>
      </c>
      <c r="B46" t="s">
        <v>314</v>
      </c>
      <c r="C46" t="s">
        <v>465</v>
      </c>
      <c r="D46" t="s">
        <v>2</v>
      </c>
      <c r="E46" t="s">
        <v>465</v>
      </c>
      <c r="F46" t="s">
        <v>13</v>
      </c>
      <c r="G46" t="s">
        <v>525</v>
      </c>
    </row>
    <row r="47" spans="1:7" x14ac:dyDescent="0.3">
      <c r="A47">
        <v>0</v>
      </c>
      <c r="B47" t="s">
        <v>105</v>
      </c>
      <c r="C47" t="s">
        <v>103</v>
      </c>
      <c r="D47" t="s">
        <v>2</v>
      </c>
      <c r="E47" t="s">
        <v>103</v>
      </c>
      <c r="F47" t="s">
        <v>13</v>
      </c>
      <c r="G47" t="s">
        <v>525</v>
      </c>
    </row>
    <row r="48" spans="1:7" x14ac:dyDescent="0.3">
      <c r="A48">
        <v>0</v>
      </c>
      <c r="B48" t="s">
        <v>312</v>
      </c>
      <c r="C48" t="s">
        <v>320</v>
      </c>
      <c r="D48" t="s">
        <v>2</v>
      </c>
      <c r="E48" t="s">
        <v>320</v>
      </c>
      <c r="F48" t="s">
        <v>13</v>
      </c>
      <c r="G48" t="s">
        <v>525</v>
      </c>
    </row>
    <row r="49" spans="1:7" x14ac:dyDescent="0.3">
      <c r="A49">
        <v>0</v>
      </c>
      <c r="B49" t="s">
        <v>312</v>
      </c>
      <c r="C49" t="s">
        <v>334</v>
      </c>
      <c r="D49" t="s">
        <v>2</v>
      </c>
      <c r="E49" t="s">
        <v>334</v>
      </c>
      <c r="F49" t="s">
        <v>13</v>
      </c>
      <c r="G49" t="s">
        <v>525</v>
      </c>
    </row>
    <row r="50" spans="1:7" x14ac:dyDescent="0.3">
      <c r="A50">
        <v>0</v>
      </c>
      <c r="B50" t="s">
        <v>312</v>
      </c>
      <c r="C50" t="s">
        <v>435</v>
      </c>
      <c r="D50" t="s">
        <v>2</v>
      </c>
      <c r="E50" t="s">
        <v>435</v>
      </c>
      <c r="F50" t="s">
        <v>13</v>
      </c>
      <c r="G50" t="s">
        <v>525</v>
      </c>
    </row>
    <row r="51" spans="1:7" x14ac:dyDescent="0.3">
      <c r="A51">
        <v>0</v>
      </c>
      <c r="B51" t="s">
        <v>319</v>
      </c>
      <c r="C51" t="s">
        <v>456</v>
      </c>
      <c r="D51" t="s">
        <v>2</v>
      </c>
      <c r="E51" t="s">
        <v>456</v>
      </c>
      <c r="F51" t="s">
        <v>13</v>
      </c>
      <c r="G51" t="s">
        <v>525</v>
      </c>
    </row>
    <row r="52" spans="1:7" x14ac:dyDescent="0.3">
      <c r="A52">
        <v>0</v>
      </c>
      <c r="B52" t="s">
        <v>312</v>
      </c>
      <c r="C52" t="s">
        <v>474</v>
      </c>
      <c r="D52" t="s">
        <v>2</v>
      </c>
      <c r="E52" t="s">
        <v>474</v>
      </c>
      <c r="F52" t="s">
        <v>13</v>
      </c>
      <c r="G52" t="s">
        <v>525</v>
      </c>
    </row>
    <row r="53" spans="1:7" x14ac:dyDescent="0.3">
      <c r="A53">
        <v>0</v>
      </c>
      <c r="B53" t="s">
        <v>319</v>
      </c>
      <c r="C53" t="s">
        <v>318</v>
      </c>
      <c r="D53" t="s">
        <v>2</v>
      </c>
      <c r="E53" t="s">
        <v>318</v>
      </c>
      <c r="F53" t="s">
        <v>13</v>
      </c>
      <c r="G53" t="s">
        <v>525</v>
      </c>
    </row>
    <row r="54" spans="1:7" x14ac:dyDescent="0.3">
      <c r="A54">
        <v>0</v>
      </c>
      <c r="B54" t="s">
        <v>314</v>
      </c>
      <c r="C54" t="s">
        <v>475</v>
      </c>
      <c r="D54" t="s">
        <v>2</v>
      </c>
      <c r="E54" t="s">
        <v>475</v>
      </c>
      <c r="F54" t="s">
        <v>13</v>
      </c>
      <c r="G54" t="s">
        <v>525</v>
      </c>
    </row>
    <row r="55" spans="1:7" x14ac:dyDescent="0.3">
      <c r="A55">
        <v>0</v>
      </c>
      <c r="B55" t="s">
        <v>314</v>
      </c>
      <c r="C55" t="s">
        <v>449</v>
      </c>
      <c r="D55" t="s">
        <v>2</v>
      </c>
      <c r="E55" t="s">
        <v>449</v>
      </c>
      <c r="F55" t="s">
        <v>13</v>
      </c>
      <c r="G55" t="s">
        <v>525</v>
      </c>
    </row>
    <row r="56" spans="1:7" x14ac:dyDescent="0.3">
      <c r="A56">
        <v>0</v>
      </c>
      <c r="B56" t="s">
        <v>314</v>
      </c>
      <c r="C56" t="s">
        <v>176</v>
      </c>
      <c r="D56" t="s">
        <v>2</v>
      </c>
      <c r="E56" t="s">
        <v>176</v>
      </c>
      <c r="F56" t="s">
        <v>13</v>
      </c>
      <c r="G56" t="s">
        <v>525</v>
      </c>
    </row>
    <row r="57" spans="1:7" x14ac:dyDescent="0.3">
      <c r="A57">
        <v>0</v>
      </c>
      <c r="B57" t="s">
        <v>312</v>
      </c>
      <c r="C57" t="s">
        <v>388</v>
      </c>
      <c r="D57" t="s">
        <v>2</v>
      </c>
      <c r="E57" t="s">
        <v>388</v>
      </c>
      <c r="F57" t="s">
        <v>13</v>
      </c>
      <c r="G57" t="s">
        <v>525</v>
      </c>
    </row>
    <row r="58" spans="1:7" x14ac:dyDescent="0.3">
      <c r="A58">
        <v>0</v>
      </c>
      <c r="B58" t="s">
        <v>319</v>
      </c>
      <c r="C58" t="s">
        <v>429</v>
      </c>
      <c r="D58" t="s">
        <v>2</v>
      </c>
      <c r="E58" t="s">
        <v>429</v>
      </c>
      <c r="F58" t="s">
        <v>13</v>
      </c>
      <c r="G58" t="s">
        <v>525</v>
      </c>
    </row>
    <row r="59" spans="1:7" x14ac:dyDescent="0.3">
      <c r="A59">
        <v>0</v>
      </c>
      <c r="B59" t="s">
        <v>312</v>
      </c>
      <c r="C59" t="s">
        <v>272</v>
      </c>
      <c r="D59" t="s">
        <v>2</v>
      </c>
      <c r="E59" t="s">
        <v>272</v>
      </c>
      <c r="F59" t="s">
        <v>13</v>
      </c>
      <c r="G59" t="s">
        <v>525</v>
      </c>
    </row>
    <row r="60" spans="1:7" x14ac:dyDescent="0.3">
      <c r="A60">
        <v>0</v>
      </c>
      <c r="B60" t="s">
        <v>312</v>
      </c>
      <c r="C60" t="s">
        <v>410</v>
      </c>
      <c r="D60" t="s">
        <v>2</v>
      </c>
      <c r="E60" t="s">
        <v>410</v>
      </c>
      <c r="F60" t="s">
        <v>13</v>
      </c>
      <c r="G60" t="s">
        <v>525</v>
      </c>
    </row>
    <row r="61" spans="1:7" x14ac:dyDescent="0.3">
      <c r="A61">
        <v>0</v>
      </c>
      <c r="B61" t="s">
        <v>319</v>
      </c>
      <c r="C61" t="s">
        <v>363</v>
      </c>
      <c r="D61" t="s">
        <v>2</v>
      </c>
      <c r="E61" t="s">
        <v>363</v>
      </c>
      <c r="F61" t="s">
        <v>13</v>
      </c>
      <c r="G61" t="s">
        <v>525</v>
      </c>
    </row>
    <row r="62" spans="1:7" x14ac:dyDescent="0.3">
      <c r="A62">
        <v>0</v>
      </c>
      <c r="B62" t="s">
        <v>312</v>
      </c>
      <c r="C62" t="s">
        <v>382</v>
      </c>
      <c r="D62" t="s">
        <v>2</v>
      </c>
      <c r="E62" t="s">
        <v>382</v>
      </c>
      <c r="F62" t="s">
        <v>13</v>
      </c>
      <c r="G62" t="s">
        <v>525</v>
      </c>
    </row>
    <row r="63" spans="1:7" x14ac:dyDescent="0.3">
      <c r="A63">
        <v>0</v>
      </c>
      <c r="B63" t="s">
        <v>312</v>
      </c>
      <c r="C63" t="s">
        <v>424</v>
      </c>
      <c r="D63" t="s">
        <v>2</v>
      </c>
      <c r="E63" t="s">
        <v>424</v>
      </c>
      <c r="F63" t="s">
        <v>13</v>
      </c>
      <c r="G63" t="s">
        <v>525</v>
      </c>
    </row>
    <row r="64" spans="1:7" x14ac:dyDescent="0.3">
      <c r="A64">
        <v>0</v>
      </c>
      <c r="B64" t="s">
        <v>314</v>
      </c>
      <c r="C64" t="s">
        <v>351</v>
      </c>
      <c r="D64" t="s">
        <v>2</v>
      </c>
      <c r="E64" t="s">
        <v>351</v>
      </c>
      <c r="F64" t="s">
        <v>13</v>
      </c>
      <c r="G64" t="s">
        <v>525</v>
      </c>
    </row>
    <row r="65" spans="1:7" x14ac:dyDescent="0.3">
      <c r="A65">
        <v>0</v>
      </c>
      <c r="B65" t="s">
        <v>312</v>
      </c>
      <c r="C65" t="s">
        <v>347</v>
      </c>
      <c r="D65" t="s">
        <v>2</v>
      </c>
      <c r="E65" t="s">
        <v>347</v>
      </c>
      <c r="F65" t="s">
        <v>13</v>
      </c>
      <c r="G65" t="s">
        <v>525</v>
      </c>
    </row>
    <row r="66" spans="1:7" x14ac:dyDescent="0.3">
      <c r="A66">
        <v>0</v>
      </c>
      <c r="B66" t="s">
        <v>314</v>
      </c>
      <c r="C66" t="s">
        <v>453</v>
      </c>
      <c r="D66" t="s">
        <v>2</v>
      </c>
      <c r="E66" t="s">
        <v>453</v>
      </c>
      <c r="F66" t="s">
        <v>13</v>
      </c>
      <c r="G66" t="s">
        <v>525</v>
      </c>
    </row>
    <row r="67" spans="1:7" x14ac:dyDescent="0.3">
      <c r="A67">
        <v>0</v>
      </c>
      <c r="B67" t="s">
        <v>319</v>
      </c>
      <c r="C67" t="s">
        <v>457</v>
      </c>
      <c r="D67" t="s">
        <v>2</v>
      </c>
      <c r="E67" t="s">
        <v>457</v>
      </c>
      <c r="F67" t="s">
        <v>13</v>
      </c>
      <c r="G67" t="s">
        <v>525</v>
      </c>
    </row>
    <row r="68" spans="1:7" x14ac:dyDescent="0.3">
      <c r="A68">
        <v>0</v>
      </c>
      <c r="B68" t="s">
        <v>312</v>
      </c>
      <c r="C68" t="s">
        <v>485</v>
      </c>
      <c r="D68" t="s">
        <v>2</v>
      </c>
      <c r="E68" t="s">
        <v>485</v>
      </c>
      <c r="F68" t="s">
        <v>13</v>
      </c>
      <c r="G68" t="s">
        <v>525</v>
      </c>
    </row>
    <row r="69" spans="1:7" x14ac:dyDescent="0.3">
      <c r="A69">
        <v>0</v>
      </c>
      <c r="B69" t="s">
        <v>312</v>
      </c>
      <c r="C69" t="s">
        <v>355</v>
      </c>
      <c r="D69" t="s">
        <v>2</v>
      </c>
      <c r="E69" t="s">
        <v>355</v>
      </c>
      <c r="F69" t="s">
        <v>13</v>
      </c>
      <c r="G69" t="s">
        <v>525</v>
      </c>
    </row>
    <row r="70" spans="1:7" x14ac:dyDescent="0.3">
      <c r="A70">
        <v>0</v>
      </c>
      <c r="B70" t="s">
        <v>312</v>
      </c>
      <c r="C70" t="s">
        <v>338</v>
      </c>
      <c r="D70" t="s">
        <v>2</v>
      </c>
      <c r="E70" t="s">
        <v>338</v>
      </c>
      <c r="F70" t="s">
        <v>13</v>
      </c>
      <c r="G70" t="s">
        <v>525</v>
      </c>
    </row>
    <row r="71" spans="1:7" x14ac:dyDescent="0.3">
      <c r="A71">
        <v>0</v>
      </c>
      <c r="B71" t="s">
        <v>312</v>
      </c>
      <c r="C71" t="s">
        <v>394</v>
      </c>
      <c r="D71" t="s">
        <v>2</v>
      </c>
      <c r="E71" t="s">
        <v>394</v>
      </c>
      <c r="F71" t="s">
        <v>13</v>
      </c>
      <c r="G71" t="s">
        <v>525</v>
      </c>
    </row>
    <row r="72" spans="1:7" x14ac:dyDescent="0.3">
      <c r="A72">
        <v>0</v>
      </c>
      <c r="B72" t="s">
        <v>312</v>
      </c>
      <c r="C72" t="s">
        <v>438</v>
      </c>
      <c r="D72" t="s">
        <v>2</v>
      </c>
      <c r="E72" t="s">
        <v>438</v>
      </c>
      <c r="F72" t="s">
        <v>13</v>
      </c>
      <c r="G72" t="s">
        <v>525</v>
      </c>
    </row>
    <row r="73" spans="1:7" x14ac:dyDescent="0.3">
      <c r="A73">
        <v>0</v>
      </c>
      <c r="B73" t="s">
        <v>312</v>
      </c>
      <c r="C73" t="s">
        <v>486</v>
      </c>
      <c r="D73" t="s">
        <v>2</v>
      </c>
      <c r="E73" t="s">
        <v>486</v>
      </c>
      <c r="F73" t="s">
        <v>13</v>
      </c>
      <c r="G73" t="s">
        <v>525</v>
      </c>
    </row>
    <row r="74" spans="1:7" x14ac:dyDescent="0.3">
      <c r="A74">
        <v>0</v>
      </c>
      <c r="B74" t="s">
        <v>319</v>
      </c>
      <c r="C74" t="s">
        <v>419</v>
      </c>
      <c r="D74" t="s">
        <v>2</v>
      </c>
      <c r="E74" t="s">
        <v>419</v>
      </c>
      <c r="F74" t="s">
        <v>13</v>
      </c>
      <c r="G74" t="s">
        <v>525</v>
      </c>
    </row>
    <row r="75" spans="1:7" x14ac:dyDescent="0.3">
      <c r="A75">
        <v>0</v>
      </c>
      <c r="B75" t="s">
        <v>57</v>
      </c>
      <c r="C75" t="s">
        <v>353</v>
      </c>
      <c r="D75" t="s">
        <v>2</v>
      </c>
      <c r="E75" t="s">
        <v>353</v>
      </c>
      <c r="F75" t="s">
        <v>13</v>
      </c>
      <c r="G75" t="s">
        <v>525</v>
      </c>
    </row>
    <row r="76" spans="1:7" x14ac:dyDescent="0.3">
      <c r="A76">
        <v>0</v>
      </c>
      <c r="B76" t="s">
        <v>319</v>
      </c>
      <c r="C76" t="s">
        <v>489</v>
      </c>
      <c r="D76" t="s">
        <v>2</v>
      </c>
      <c r="E76" t="s">
        <v>489</v>
      </c>
      <c r="F76" t="s">
        <v>13</v>
      </c>
      <c r="G76" t="s">
        <v>525</v>
      </c>
    </row>
    <row r="77" spans="1:7" x14ac:dyDescent="0.3">
      <c r="A77">
        <v>0</v>
      </c>
      <c r="B77" t="s">
        <v>312</v>
      </c>
      <c r="C77" t="s">
        <v>386</v>
      </c>
      <c r="D77" t="s">
        <v>2</v>
      </c>
      <c r="E77" t="s">
        <v>386</v>
      </c>
      <c r="F77" t="s">
        <v>13</v>
      </c>
      <c r="G77" t="s">
        <v>525</v>
      </c>
    </row>
    <row r="78" spans="1:7" x14ac:dyDescent="0.3">
      <c r="A78">
        <v>0</v>
      </c>
      <c r="B78" t="s">
        <v>319</v>
      </c>
      <c r="C78" t="s">
        <v>389</v>
      </c>
      <c r="D78" t="s">
        <v>2</v>
      </c>
      <c r="E78" t="s">
        <v>389</v>
      </c>
      <c r="F78" t="s">
        <v>13</v>
      </c>
      <c r="G78" t="s">
        <v>525</v>
      </c>
    </row>
    <row r="79" spans="1:7" x14ac:dyDescent="0.3">
      <c r="A79">
        <v>0</v>
      </c>
      <c r="B79" t="s">
        <v>312</v>
      </c>
      <c r="C79" t="s">
        <v>340</v>
      </c>
      <c r="D79" t="s">
        <v>2</v>
      </c>
      <c r="E79" t="s">
        <v>340</v>
      </c>
      <c r="F79" t="s">
        <v>13</v>
      </c>
      <c r="G79" t="s">
        <v>525</v>
      </c>
    </row>
    <row r="80" spans="1:7" x14ac:dyDescent="0.3">
      <c r="A80">
        <v>0</v>
      </c>
      <c r="B80" t="s">
        <v>312</v>
      </c>
      <c r="C80" t="s">
        <v>368</v>
      </c>
      <c r="D80" t="s">
        <v>2</v>
      </c>
      <c r="E80" t="s">
        <v>368</v>
      </c>
      <c r="F80" t="s">
        <v>13</v>
      </c>
      <c r="G80" t="s">
        <v>525</v>
      </c>
    </row>
    <row r="81" spans="1:7" x14ac:dyDescent="0.3">
      <c r="A81">
        <v>0</v>
      </c>
      <c r="B81" t="s">
        <v>312</v>
      </c>
      <c r="C81" t="s">
        <v>328</v>
      </c>
      <c r="D81" t="s">
        <v>2</v>
      </c>
      <c r="E81" t="s">
        <v>328</v>
      </c>
      <c r="F81" t="s">
        <v>13</v>
      </c>
      <c r="G81" t="s">
        <v>525</v>
      </c>
    </row>
    <row r="82" spans="1:7" x14ac:dyDescent="0.3">
      <c r="A82">
        <v>0</v>
      </c>
      <c r="B82" t="s">
        <v>312</v>
      </c>
      <c r="C82" t="s">
        <v>479</v>
      </c>
      <c r="D82" t="s">
        <v>2</v>
      </c>
      <c r="E82" t="s">
        <v>479</v>
      </c>
      <c r="F82" t="s">
        <v>13</v>
      </c>
      <c r="G82" t="s">
        <v>525</v>
      </c>
    </row>
    <row r="83" spans="1:7" x14ac:dyDescent="0.3">
      <c r="A83">
        <v>0</v>
      </c>
      <c r="B83" t="s">
        <v>57</v>
      </c>
      <c r="C83" t="s">
        <v>116</v>
      </c>
      <c r="D83" t="s">
        <v>2</v>
      </c>
      <c r="E83" t="s">
        <v>116</v>
      </c>
      <c r="F83" t="s">
        <v>13</v>
      </c>
      <c r="G83" t="s">
        <v>525</v>
      </c>
    </row>
    <row r="84" spans="1:7" x14ac:dyDescent="0.3">
      <c r="A84">
        <v>0</v>
      </c>
      <c r="B84" t="s">
        <v>312</v>
      </c>
      <c r="C84" t="s">
        <v>352</v>
      </c>
      <c r="D84" t="s">
        <v>2</v>
      </c>
      <c r="E84" t="s">
        <v>352</v>
      </c>
      <c r="F84" t="s">
        <v>13</v>
      </c>
      <c r="G84" t="s">
        <v>525</v>
      </c>
    </row>
    <row r="85" spans="1:7" x14ac:dyDescent="0.3">
      <c r="A85">
        <v>0</v>
      </c>
      <c r="B85" t="s">
        <v>312</v>
      </c>
      <c r="C85" t="s">
        <v>417</v>
      </c>
      <c r="D85" t="s">
        <v>2</v>
      </c>
      <c r="E85" t="s">
        <v>417</v>
      </c>
      <c r="F85" t="s">
        <v>13</v>
      </c>
      <c r="G85" t="s">
        <v>525</v>
      </c>
    </row>
    <row r="86" spans="1:7" x14ac:dyDescent="0.3">
      <c r="A86">
        <v>0</v>
      </c>
      <c r="B86" t="s">
        <v>312</v>
      </c>
      <c r="C86" t="s">
        <v>447</v>
      </c>
      <c r="D86" t="s">
        <v>2</v>
      </c>
      <c r="E86" t="s">
        <v>447</v>
      </c>
      <c r="F86" t="s">
        <v>13</v>
      </c>
      <c r="G86" t="s">
        <v>525</v>
      </c>
    </row>
    <row r="87" spans="1:7" x14ac:dyDescent="0.3">
      <c r="A87">
        <v>0</v>
      </c>
      <c r="B87" t="s">
        <v>319</v>
      </c>
      <c r="C87" t="s">
        <v>329</v>
      </c>
      <c r="D87" t="s">
        <v>2</v>
      </c>
      <c r="E87" t="s">
        <v>329</v>
      </c>
      <c r="F87" t="s">
        <v>13</v>
      </c>
      <c r="G87" t="s">
        <v>525</v>
      </c>
    </row>
    <row r="88" spans="1:7" x14ac:dyDescent="0.3">
      <c r="A88">
        <v>0</v>
      </c>
      <c r="B88" t="s">
        <v>312</v>
      </c>
      <c r="C88" t="s">
        <v>252</v>
      </c>
      <c r="D88" t="s">
        <v>2</v>
      </c>
      <c r="E88" t="s">
        <v>252</v>
      </c>
      <c r="F88" t="s">
        <v>13</v>
      </c>
      <c r="G88" t="s">
        <v>525</v>
      </c>
    </row>
    <row r="89" spans="1:7" x14ac:dyDescent="0.3">
      <c r="A89">
        <v>0</v>
      </c>
      <c r="B89" t="s">
        <v>312</v>
      </c>
      <c r="C89" t="s">
        <v>317</v>
      </c>
      <c r="D89" t="s">
        <v>2</v>
      </c>
      <c r="E89" t="s">
        <v>317</v>
      </c>
      <c r="F89" t="s">
        <v>13</v>
      </c>
      <c r="G89" t="s">
        <v>525</v>
      </c>
    </row>
    <row r="90" spans="1:7" x14ac:dyDescent="0.3">
      <c r="A90">
        <v>0</v>
      </c>
      <c r="B90" t="s">
        <v>312</v>
      </c>
      <c r="C90" t="s">
        <v>436</v>
      </c>
      <c r="D90" t="s">
        <v>2</v>
      </c>
      <c r="E90" t="s">
        <v>436</v>
      </c>
      <c r="F90" t="s">
        <v>13</v>
      </c>
      <c r="G90" t="s">
        <v>525</v>
      </c>
    </row>
    <row r="91" spans="1:7" x14ac:dyDescent="0.3">
      <c r="A91">
        <v>0</v>
      </c>
      <c r="B91" t="s">
        <v>319</v>
      </c>
      <c r="C91" t="s">
        <v>490</v>
      </c>
      <c r="D91" t="s">
        <v>2</v>
      </c>
      <c r="E91" t="s">
        <v>490</v>
      </c>
      <c r="F91" t="s">
        <v>13</v>
      </c>
      <c r="G91" t="s">
        <v>525</v>
      </c>
    </row>
    <row r="92" spans="1:7" x14ac:dyDescent="0.3">
      <c r="A92">
        <v>0</v>
      </c>
      <c r="B92" t="s">
        <v>312</v>
      </c>
      <c r="C92" t="s">
        <v>391</v>
      </c>
      <c r="D92" t="s">
        <v>2</v>
      </c>
      <c r="E92" t="s">
        <v>391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235</v>
      </c>
      <c r="D93" t="s">
        <v>2</v>
      </c>
      <c r="E93" t="s">
        <v>235</v>
      </c>
      <c r="F93" t="s">
        <v>13</v>
      </c>
      <c r="G93" t="s">
        <v>525</v>
      </c>
    </row>
    <row r="94" spans="1:7" x14ac:dyDescent="0.3">
      <c r="A94">
        <v>0</v>
      </c>
      <c r="B94" t="s">
        <v>312</v>
      </c>
      <c r="C94" t="s">
        <v>493</v>
      </c>
      <c r="D94" t="s">
        <v>2</v>
      </c>
      <c r="E94" t="s">
        <v>493</v>
      </c>
      <c r="F94" t="s">
        <v>13</v>
      </c>
      <c r="G94" t="s">
        <v>525</v>
      </c>
    </row>
    <row r="95" spans="1:7" x14ac:dyDescent="0.3">
      <c r="A95">
        <v>0</v>
      </c>
      <c r="B95" t="s">
        <v>312</v>
      </c>
      <c r="C95" t="s">
        <v>335</v>
      </c>
      <c r="D95" t="s">
        <v>2</v>
      </c>
      <c r="E95" t="s">
        <v>335</v>
      </c>
      <c r="F95" t="s">
        <v>13</v>
      </c>
      <c r="G95" t="s">
        <v>525</v>
      </c>
    </row>
    <row r="96" spans="1:7" x14ac:dyDescent="0.3">
      <c r="A96">
        <v>0</v>
      </c>
      <c r="B96" t="s">
        <v>312</v>
      </c>
      <c r="C96" t="s">
        <v>354</v>
      </c>
      <c r="D96" t="s">
        <v>2</v>
      </c>
      <c r="E96" t="s">
        <v>354</v>
      </c>
      <c r="F96" t="s">
        <v>13</v>
      </c>
      <c r="G96" t="s">
        <v>525</v>
      </c>
    </row>
    <row r="97" spans="1:7" x14ac:dyDescent="0.3">
      <c r="A97">
        <v>0</v>
      </c>
      <c r="B97" t="s">
        <v>319</v>
      </c>
      <c r="C97" t="s">
        <v>360</v>
      </c>
      <c r="D97" t="s">
        <v>2</v>
      </c>
      <c r="E97" t="s">
        <v>360</v>
      </c>
      <c r="F97" t="s">
        <v>13</v>
      </c>
      <c r="G97" t="s">
        <v>525</v>
      </c>
    </row>
    <row r="98" spans="1:7" x14ac:dyDescent="0.3">
      <c r="A98">
        <v>0</v>
      </c>
      <c r="B98" t="s">
        <v>314</v>
      </c>
      <c r="C98" t="s">
        <v>356</v>
      </c>
      <c r="D98" t="s">
        <v>2</v>
      </c>
      <c r="E98" t="s">
        <v>356</v>
      </c>
      <c r="F98" t="s">
        <v>13</v>
      </c>
      <c r="G98" t="s">
        <v>525</v>
      </c>
    </row>
    <row r="99" spans="1:7" x14ac:dyDescent="0.3">
      <c r="A99">
        <v>0</v>
      </c>
      <c r="B99" t="s">
        <v>312</v>
      </c>
      <c r="C99" t="s">
        <v>405</v>
      </c>
      <c r="D99" t="s">
        <v>2</v>
      </c>
      <c r="E99" t="s">
        <v>405</v>
      </c>
      <c r="F99" t="s">
        <v>13</v>
      </c>
      <c r="G99" t="s">
        <v>525</v>
      </c>
    </row>
    <row r="100" spans="1:7" x14ac:dyDescent="0.3">
      <c r="A100">
        <v>0</v>
      </c>
      <c r="B100" t="s">
        <v>312</v>
      </c>
      <c r="C100" t="s">
        <v>471</v>
      </c>
      <c r="D100" t="s">
        <v>2</v>
      </c>
      <c r="E100" t="s">
        <v>471</v>
      </c>
      <c r="F100" t="s">
        <v>13</v>
      </c>
      <c r="G100" t="s">
        <v>525</v>
      </c>
    </row>
    <row r="101" spans="1:7" x14ac:dyDescent="0.3">
      <c r="A101">
        <v>0</v>
      </c>
      <c r="B101" t="s">
        <v>319</v>
      </c>
      <c r="C101" t="s">
        <v>421</v>
      </c>
      <c r="D101" t="s">
        <v>2</v>
      </c>
      <c r="E101" t="s">
        <v>421</v>
      </c>
      <c r="F101" t="s">
        <v>13</v>
      </c>
      <c r="G101" t="s">
        <v>525</v>
      </c>
    </row>
    <row r="102" spans="1:7" x14ac:dyDescent="0.3">
      <c r="A102">
        <v>0</v>
      </c>
      <c r="B102" t="s">
        <v>312</v>
      </c>
      <c r="C102" t="s">
        <v>321</v>
      </c>
      <c r="D102" t="s">
        <v>2</v>
      </c>
      <c r="E102" t="s">
        <v>321</v>
      </c>
      <c r="F102" t="s">
        <v>13</v>
      </c>
      <c r="G102" t="s">
        <v>525</v>
      </c>
    </row>
    <row r="103" spans="1:7" x14ac:dyDescent="0.3">
      <c r="A103">
        <v>0</v>
      </c>
      <c r="B103" t="s">
        <v>105</v>
      </c>
      <c r="C103" t="s">
        <v>113</v>
      </c>
      <c r="D103" t="s">
        <v>2</v>
      </c>
      <c r="E103" t="s">
        <v>113</v>
      </c>
      <c r="F103" t="s">
        <v>13</v>
      </c>
      <c r="G103" t="s">
        <v>525</v>
      </c>
    </row>
    <row r="104" spans="1:7" x14ac:dyDescent="0.3">
      <c r="A104">
        <v>0</v>
      </c>
      <c r="B104" t="s">
        <v>312</v>
      </c>
      <c r="C104" t="s">
        <v>348</v>
      </c>
      <c r="D104" t="s">
        <v>2</v>
      </c>
      <c r="E104" t="s">
        <v>348</v>
      </c>
      <c r="F104" t="s">
        <v>13</v>
      </c>
      <c r="G104" t="s">
        <v>525</v>
      </c>
    </row>
    <row r="105" spans="1:7" x14ac:dyDescent="0.3">
      <c r="A105">
        <v>0</v>
      </c>
      <c r="B105" t="s">
        <v>105</v>
      </c>
      <c r="C105" t="s">
        <v>469</v>
      </c>
      <c r="D105" t="s">
        <v>2</v>
      </c>
      <c r="E105" t="s">
        <v>469</v>
      </c>
      <c r="F105" t="s">
        <v>13</v>
      </c>
      <c r="G105" t="s">
        <v>525</v>
      </c>
    </row>
    <row r="106" spans="1:7" x14ac:dyDescent="0.3">
      <c r="A106">
        <v>0</v>
      </c>
      <c r="B106" t="s">
        <v>314</v>
      </c>
      <c r="C106" t="s">
        <v>481</v>
      </c>
      <c r="D106" t="s">
        <v>2</v>
      </c>
      <c r="E106" t="s">
        <v>481</v>
      </c>
      <c r="F106" t="s">
        <v>13</v>
      </c>
      <c r="G106" t="s">
        <v>525</v>
      </c>
    </row>
    <row r="107" spans="1:7" x14ac:dyDescent="0.3">
      <c r="A107">
        <v>0</v>
      </c>
      <c r="B107" t="s">
        <v>312</v>
      </c>
      <c r="C107" t="s">
        <v>398</v>
      </c>
      <c r="D107" t="s">
        <v>2</v>
      </c>
      <c r="E107" t="s">
        <v>398</v>
      </c>
      <c r="F107" t="s">
        <v>13</v>
      </c>
      <c r="G107" t="s">
        <v>525</v>
      </c>
    </row>
    <row r="108" spans="1:7" x14ac:dyDescent="0.3">
      <c r="A108">
        <v>0</v>
      </c>
      <c r="B108" t="s">
        <v>314</v>
      </c>
      <c r="C108" t="s">
        <v>342</v>
      </c>
      <c r="D108" t="s">
        <v>2</v>
      </c>
      <c r="E108" t="s">
        <v>342</v>
      </c>
      <c r="F108" t="s">
        <v>13</v>
      </c>
      <c r="G108" t="s">
        <v>525</v>
      </c>
    </row>
    <row r="109" spans="1:7" x14ac:dyDescent="0.3">
      <c r="A109">
        <v>0</v>
      </c>
      <c r="B109" t="s">
        <v>312</v>
      </c>
      <c r="C109" t="s">
        <v>322</v>
      </c>
      <c r="D109" t="s">
        <v>2</v>
      </c>
      <c r="E109" t="s">
        <v>322</v>
      </c>
      <c r="F109" t="s">
        <v>13</v>
      </c>
      <c r="G109" t="s">
        <v>525</v>
      </c>
    </row>
    <row r="110" spans="1:7" x14ac:dyDescent="0.3">
      <c r="A110">
        <v>0</v>
      </c>
      <c r="B110" t="s">
        <v>314</v>
      </c>
      <c r="C110" t="s">
        <v>409</v>
      </c>
      <c r="D110" t="s">
        <v>2</v>
      </c>
      <c r="E110" t="s">
        <v>409</v>
      </c>
      <c r="F110" t="s">
        <v>13</v>
      </c>
      <c r="G110" t="s">
        <v>525</v>
      </c>
    </row>
    <row r="111" spans="1:7" x14ac:dyDescent="0.3">
      <c r="A111">
        <v>0</v>
      </c>
      <c r="B111" t="s">
        <v>314</v>
      </c>
      <c r="C111" t="s">
        <v>480</v>
      </c>
      <c r="D111" t="s">
        <v>2</v>
      </c>
      <c r="E111" t="s">
        <v>480</v>
      </c>
      <c r="F111" t="s">
        <v>13</v>
      </c>
      <c r="G111" t="s">
        <v>525</v>
      </c>
    </row>
    <row r="112" spans="1:7" x14ac:dyDescent="0.3">
      <c r="A112">
        <v>0</v>
      </c>
      <c r="B112" t="s">
        <v>105</v>
      </c>
      <c r="C112" t="s">
        <v>121</v>
      </c>
      <c r="D112" t="s">
        <v>2</v>
      </c>
      <c r="E112" t="s">
        <v>121</v>
      </c>
      <c r="F112" t="s">
        <v>13</v>
      </c>
      <c r="G112" t="s">
        <v>525</v>
      </c>
    </row>
    <row r="113" spans="1:7" x14ac:dyDescent="0.3">
      <c r="A113">
        <v>0</v>
      </c>
      <c r="B113" t="s">
        <v>312</v>
      </c>
      <c r="C113" t="s">
        <v>359</v>
      </c>
      <c r="D113" t="s">
        <v>2</v>
      </c>
      <c r="E113" t="s">
        <v>359</v>
      </c>
      <c r="F113" t="s">
        <v>13</v>
      </c>
      <c r="G113" t="s">
        <v>525</v>
      </c>
    </row>
    <row r="114" spans="1:7" x14ac:dyDescent="0.3">
      <c r="A114">
        <v>0</v>
      </c>
      <c r="B114" t="s">
        <v>319</v>
      </c>
      <c r="C114" t="s">
        <v>468</v>
      </c>
      <c r="D114" t="s">
        <v>2</v>
      </c>
      <c r="E114" t="s">
        <v>468</v>
      </c>
      <c r="F114" t="s">
        <v>13</v>
      </c>
      <c r="G114" t="s">
        <v>525</v>
      </c>
    </row>
    <row r="115" spans="1:7" x14ac:dyDescent="0.3">
      <c r="A115">
        <v>0</v>
      </c>
      <c r="B115" t="s">
        <v>319</v>
      </c>
      <c r="C115" t="s">
        <v>458</v>
      </c>
      <c r="D115" t="s">
        <v>2</v>
      </c>
      <c r="E115" t="s">
        <v>458</v>
      </c>
      <c r="F115" t="s">
        <v>13</v>
      </c>
      <c r="G115" t="s">
        <v>525</v>
      </c>
    </row>
    <row r="116" spans="1:7" x14ac:dyDescent="0.3">
      <c r="A116">
        <v>0</v>
      </c>
      <c r="B116" t="s">
        <v>312</v>
      </c>
      <c r="C116" t="s">
        <v>370</v>
      </c>
      <c r="D116" t="s">
        <v>2</v>
      </c>
      <c r="E116" t="s">
        <v>370</v>
      </c>
      <c r="F116" t="s">
        <v>13</v>
      </c>
      <c r="G116" t="s">
        <v>525</v>
      </c>
    </row>
    <row r="117" spans="1:7" x14ac:dyDescent="0.3">
      <c r="A117">
        <v>0</v>
      </c>
      <c r="B117" t="s">
        <v>57</v>
      </c>
      <c r="C117" t="s">
        <v>114</v>
      </c>
      <c r="D117" t="s">
        <v>2</v>
      </c>
      <c r="E117" t="s">
        <v>114</v>
      </c>
      <c r="F117" t="s">
        <v>13</v>
      </c>
      <c r="G117" t="s">
        <v>525</v>
      </c>
    </row>
    <row r="118" spans="1:7" x14ac:dyDescent="0.3">
      <c r="A118">
        <v>0</v>
      </c>
      <c r="B118" t="s">
        <v>319</v>
      </c>
      <c r="C118" t="s">
        <v>404</v>
      </c>
      <c r="D118" t="s">
        <v>2</v>
      </c>
      <c r="E118" t="s">
        <v>404</v>
      </c>
      <c r="F118" t="s">
        <v>13</v>
      </c>
      <c r="G118" t="s">
        <v>525</v>
      </c>
    </row>
    <row r="119" spans="1:7" x14ac:dyDescent="0.3">
      <c r="A119">
        <v>0</v>
      </c>
      <c r="B119" t="s">
        <v>312</v>
      </c>
      <c r="C119" t="s">
        <v>369</v>
      </c>
      <c r="D119" t="s">
        <v>2</v>
      </c>
      <c r="E119" t="s">
        <v>369</v>
      </c>
      <c r="F119" t="s">
        <v>13</v>
      </c>
      <c r="G119" t="s">
        <v>525</v>
      </c>
    </row>
    <row r="120" spans="1:7" x14ac:dyDescent="0.3">
      <c r="A120">
        <v>0</v>
      </c>
      <c r="B120" t="s">
        <v>57</v>
      </c>
      <c r="C120" t="s">
        <v>122</v>
      </c>
      <c r="D120" t="s">
        <v>2</v>
      </c>
      <c r="E120" t="s">
        <v>122</v>
      </c>
      <c r="F120" t="s">
        <v>13</v>
      </c>
      <c r="G120" t="s">
        <v>525</v>
      </c>
    </row>
    <row r="121" spans="1:7" x14ac:dyDescent="0.3">
      <c r="A121">
        <v>0</v>
      </c>
      <c r="B121" t="s">
        <v>319</v>
      </c>
      <c r="C121" t="s">
        <v>390</v>
      </c>
      <c r="D121" t="s">
        <v>2</v>
      </c>
      <c r="E121" t="s">
        <v>390</v>
      </c>
      <c r="F121" t="s">
        <v>13</v>
      </c>
      <c r="G121" t="s">
        <v>525</v>
      </c>
    </row>
    <row r="122" spans="1:7" x14ac:dyDescent="0.3">
      <c r="A122">
        <v>0</v>
      </c>
      <c r="B122" t="s">
        <v>312</v>
      </c>
      <c r="C122" t="s">
        <v>492</v>
      </c>
      <c r="D122" t="s">
        <v>2</v>
      </c>
      <c r="E122" t="s">
        <v>492</v>
      </c>
      <c r="F122" t="s">
        <v>13</v>
      </c>
      <c r="G122" t="s">
        <v>525</v>
      </c>
    </row>
    <row r="123" spans="1:7" x14ac:dyDescent="0.3">
      <c r="A123">
        <v>0</v>
      </c>
      <c r="B123" t="s">
        <v>312</v>
      </c>
      <c r="C123" t="s">
        <v>345</v>
      </c>
      <c r="D123" t="s">
        <v>2</v>
      </c>
      <c r="E123" t="s">
        <v>345</v>
      </c>
      <c r="F123" t="s">
        <v>13</v>
      </c>
      <c r="G123" t="s">
        <v>525</v>
      </c>
    </row>
    <row r="124" spans="1:7" x14ac:dyDescent="0.3">
      <c r="A124">
        <v>0</v>
      </c>
      <c r="B124" t="s">
        <v>314</v>
      </c>
      <c r="C124" t="s">
        <v>374</v>
      </c>
      <c r="D124" t="s">
        <v>2</v>
      </c>
      <c r="E124" t="s">
        <v>374</v>
      </c>
      <c r="F124" t="s">
        <v>13</v>
      </c>
      <c r="G124" t="s">
        <v>525</v>
      </c>
    </row>
    <row r="125" spans="1:7" x14ac:dyDescent="0.3">
      <c r="A125">
        <v>0</v>
      </c>
      <c r="B125" t="s">
        <v>105</v>
      </c>
      <c r="C125" t="s">
        <v>124</v>
      </c>
      <c r="D125" t="s">
        <v>2</v>
      </c>
      <c r="E125" t="s">
        <v>124</v>
      </c>
      <c r="F125" t="s">
        <v>13</v>
      </c>
      <c r="G125" t="s">
        <v>525</v>
      </c>
    </row>
    <row r="126" spans="1:7" x14ac:dyDescent="0.3">
      <c r="A126">
        <v>0</v>
      </c>
      <c r="B126" t="s">
        <v>312</v>
      </c>
      <c r="C126" t="s">
        <v>440</v>
      </c>
      <c r="D126" t="s">
        <v>2</v>
      </c>
      <c r="E126" t="s">
        <v>440</v>
      </c>
      <c r="F126" t="s">
        <v>13</v>
      </c>
      <c r="G126" t="s">
        <v>525</v>
      </c>
    </row>
    <row r="127" spans="1:7" x14ac:dyDescent="0.3">
      <c r="A127">
        <v>0</v>
      </c>
      <c r="B127" t="s">
        <v>312</v>
      </c>
      <c r="C127" t="s">
        <v>316</v>
      </c>
      <c r="D127" t="s">
        <v>2</v>
      </c>
      <c r="E127" t="s">
        <v>316</v>
      </c>
      <c r="F127" t="s">
        <v>13</v>
      </c>
      <c r="G127" t="s">
        <v>525</v>
      </c>
    </row>
    <row r="128" spans="1:7" x14ac:dyDescent="0.3">
      <c r="A128">
        <v>0</v>
      </c>
      <c r="B128" t="s">
        <v>312</v>
      </c>
      <c r="C128" t="s">
        <v>427</v>
      </c>
      <c r="D128" t="s">
        <v>2</v>
      </c>
      <c r="E128" t="s">
        <v>427</v>
      </c>
      <c r="F128" t="s">
        <v>13</v>
      </c>
      <c r="G128" t="s">
        <v>525</v>
      </c>
    </row>
    <row r="129" spans="1:7" x14ac:dyDescent="0.3">
      <c r="A129">
        <v>0</v>
      </c>
      <c r="B129" t="s">
        <v>312</v>
      </c>
      <c r="C129" t="s">
        <v>332</v>
      </c>
      <c r="D129" t="s">
        <v>2</v>
      </c>
      <c r="E129" t="s">
        <v>332</v>
      </c>
      <c r="F129" t="s">
        <v>13</v>
      </c>
      <c r="G129" t="s">
        <v>525</v>
      </c>
    </row>
    <row r="130" spans="1:7" x14ac:dyDescent="0.3">
      <c r="A130">
        <v>0</v>
      </c>
      <c r="B130" t="s">
        <v>312</v>
      </c>
      <c r="C130" t="s">
        <v>336</v>
      </c>
      <c r="D130" t="s">
        <v>2</v>
      </c>
      <c r="E130" t="s">
        <v>336</v>
      </c>
      <c r="F130" t="s">
        <v>13</v>
      </c>
      <c r="G130" t="s">
        <v>525</v>
      </c>
    </row>
    <row r="131" spans="1:7" x14ac:dyDescent="0.3">
      <c r="A131">
        <v>0</v>
      </c>
      <c r="B131" t="s">
        <v>314</v>
      </c>
      <c r="C131" t="s">
        <v>393</v>
      </c>
      <c r="D131" t="s">
        <v>2</v>
      </c>
      <c r="E131" t="s">
        <v>393</v>
      </c>
      <c r="F131" t="s">
        <v>13</v>
      </c>
      <c r="G131" t="s">
        <v>525</v>
      </c>
    </row>
    <row r="132" spans="1:7" x14ac:dyDescent="0.3">
      <c r="A132">
        <v>0</v>
      </c>
      <c r="B132" t="s">
        <v>312</v>
      </c>
      <c r="C132" t="s">
        <v>339</v>
      </c>
      <c r="D132" t="s">
        <v>2</v>
      </c>
      <c r="E132" t="s">
        <v>339</v>
      </c>
      <c r="F132" t="s">
        <v>13</v>
      </c>
      <c r="G132" t="s">
        <v>525</v>
      </c>
    </row>
    <row r="133" spans="1:7" x14ac:dyDescent="0.3">
      <c r="A133">
        <v>0</v>
      </c>
      <c r="B133" t="s">
        <v>312</v>
      </c>
      <c r="C133" t="s">
        <v>400</v>
      </c>
      <c r="D133" t="s">
        <v>2</v>
      </c>
      <c r="E133" t="s">
        <v>400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380</v>
      </c>
      <c r="D134" t="s">
        <v>2</v>
      </c>
      <c r="E134" t="s">
        <v>380</v>
      </c>
      <c r="F134" t="s">
        <v>13</v>
      </c>
      <c r="G134" t="s">
        <v>525</v>
      </c>
    </row>
    <row r="135" spans="1:7" x14ac:dyDescent="0.3">
      <c r="A135">
        <v>0</v>
      </c>
      <c r="B135" t="s">
        <v>312</v>
      </c>
      <c r="C135" t="s">
        <v>442</v>
      </c>
      <c r="D135" t="s">
        <v>2</v>
      </c>
      <c r="E135" t="s">
        <v>442</v>
      </c>
      <c r="F135" t="s">
        <v>13</v>
      </c>
      <c r="G135" t="s">
        <v>525</v>
      </c>
    </row>
    <row r="136" spans="1:7" x14ac:dyDescent="0.3">
      <c r="A136">
        <v>0</v>
      </c>
      <c r="B136" t="s">
        <v>314</v>
      </c>
      <c r="C136" t="s">
        <v>349</v>
      </c>
      <c r="D136" t="s">
        <v>2</v>
      </c>
      <c r="E136" t="s">
        <v>349</v>
      </c>
      <c r="F136" t="s">
        <v>13</v>
      </c>
      <c r="G136" t="s">
        <v>525</v>
      </c>
    </row>
    <row r="137" spans="1:7" x14ac:dyDescent="0.3">
      <c r="A137">
        <v>0</v>
      </c>
      <c r="B137" t="s">
        <v>57</v>
      </c>
      <c r="C137" t="s">
        <v>470</v>
      </c>
      <c r="D137" t="s">
        <v>2</v>
      </c>
      <c r="E137" t="s">
        <v>470</v>
      </c>
      <c r="F137" t="s">
        <v>13</v>
      </c>
      <c r="G137" t="s">
        <v>525</v>
      </c>
    </row>
    <row r="138" spans="1:7" x14ac:dyDescent="0.3">
      <c r="A138">
        <v>0</v>
      </c>
      <c r="B138" t="s">
        <v>319</v>
      </c>
      <c r="C138" t="s">
        <v>463</v>
      </c>
      <c r="D138" t="s">
        <v>2</v>
      </c>
      <c r="E138" t="s">
        <v>463</v>
      </c>
      <c r="F138" t="s">
        <v>13</v>
      </c>
      <c r="G138" t="s">
        <v>525</v>
      </c>
    </row>
    <row r="139" spans="1:7" x14ac:dyDescent="0.3">
      <c r="A139">
        <v>0</v>
      </c>
      <c r="B139" t="s">
        <v>314</v>
      </c>
      <c r="C139" t="s">
        <v>343</v>
      </c>
      <c r="D139" t="s">
        <v>2</v>
      </c>
      <c r="E139" t="s">
        <v>343</v>
      </c>
      <c r="F139" t="s">
        <v>13</v>
      </c>
      <c r="G139" t="s">
        <v>525</v>
      </c>
    </row>
    <row r="140" spans="1:7" x14ac:dyDescent="0.3">
      <c r="A140">
        <v>0</v>
      </c>
      <c r="B140" t="s">
        <v>312</v>
      </c>
      <c r="C140" t="s">
        <v>371</v>
      </c>
      <c r="D140" t="s">
        <v>2</v>
      </c>
      <c r="E140" t="s">
        <v>371</v>
      </c>
      <c r="F140" t="s">
        <v>13</v>
      </c>
      <c r="G140" t="s">
        <v>525</v>
      </c>
    </row>
    <row r="141" spans="1:7" x14ac:dyDescent="0.3">
      <c r="A141">
        <v>0</v>
      </c>
      <c r="B141" t="s">
        <v>312</v>
      </c>
      <c r="C141" t="s">
        <v>366</v>
      </c>
      <c r="D141" t="s">
        <v>2</v>
      </c>
      <c r="E141" t="s">
        <v>366</v>
      </c>
      <c r="F141" t="s">
        <v>13</v>
      </c>
      <c r="G141" t="s">
        <v>525</v>
      </c>
    </row>
    <row r="142" spans="1:7" x14ac:dyDescent="0.3">
      <c r="A142">
        <v>0</v>
      </c>
      <c r="B142" t="s">
        <v>312</v>
      </c>
      <c r="C142" t="s">
        <v>384</v>
      </c>
      <c r="D142" t="s">
        <v>2</v>
      </c>
      <c r="E142" t="s">
        <v>384</v>
      </c>
      <c r="F142" t="s">
        <v>13</v>
      </c>
      <c r="G142" t="s">
        <v>525</v>
      </c>
    </row>
    <row r="143" spans="1:7" x14ac:dyDescent="0.3">
      <c r="A143">
        <v>0</v>
      </c>
      <c r="B143" t="s">
        <v>319</v>
      </c>
      <c r="C143" t="s">
        <v>464</v>
      </c>
      <c r="D143" t="s">
        <v>2</v>
      </c>
      <c r="E143" t="s">
        <v>464</v>
      </c>
      <c r="F143" t="s">
        <v>13</v>
      </c>
      <c r="G143" t="s">
        <v>525</v>
      </c>
    </row>
    <row r="144" spans="1:7" x14ac:dyDescent="0.3">
      <c r="A144">
        <v>0</v>
      </c>
      <c r="B144" t="s">
        <v>312</v>
      </c>
      <c r="C144" t="s">
        <v>323</v>
      </c>
      <c r="D144" t="s">
        <v>2</v>
      </c>
      <c r="E144" t="s">
        <v>323</v>
      </c>
      <c r="F144" t="s">
        <v>13</v>
      </c>
      <c r="G144" t="s">
        <v>525</v>
      </c>
    </row>
    <row r="145" spans="1:7" x14ac:dyDescent="0.3">
      <c r="A145">
        <v>0</v>
      </c>
      <c r="B145" t="s">
        <v>314</v>
      </c>
      <c r="C145" t="s">
        <v>414</v>
      </c>
      <c r="D145" t="s">
        <v>2</v>
      </c>
      <c r="E145" t="s">
        <v>414</v>
      </c>
      <c r="F145" t="s">
        <v>13</v>
      </c>
      <c r="G145" t="s">
        <v>525</v>
      </c>
    </row>
    <row r="146" spans="1:7" x14ac:dyDescent="0.3">
      <c r="A146">
        <v>0</v>
      </c>
      <c r="B146" t="s">
        <v>312</v>
      </c>
      <c r="C146" t="s">
        <v>261</v>
      </c>
      <c r="D146" t="s">
        <v>2</v>
      </c>
      <c r="E146" t="s">
        <v>261</v>
      </c>
      <c r="F146" t="s">
        <v>13</v>
      </c>
      <c r="G146" t="s">
        <v>525</v>
      </c>
    </row>
    <row r="147" spans="1:7" x14ac:dyDescent="0.3">
      <c r="A147">
        <v>0</v>
      </c>
      <c r="B147" t="s">
        <v>319</v>
      </c>
      <c r="C147" t="s">
        <v>364</v>
      </c>
      <c r="D147" t="s">
        <v>2</v>
      </c>
      <c r="E147" t="s">
        <v>364</v>
      </c>
      <c r="F147" t="s">
        <v>13</v>
      </c>
      <c r="G147" t="s">
        <v>525</v>
      </c>
    </row>
    <row r="148" spans="1:7" x14ac:dyDescent="0.3">
      <c r="A148">
        <v>0</v>
      </c>
      <c r="B148" t="s">
        <v>312</v>
      </c>
      <c r="C148" t="s">
        <v>373</v>
      </c>
      <c r="D148" t="s">
        <v>2</v>
      </c>
      <c r="E148" t="s">
        <v>373</v>
      </c>
      <c r="F148" t="s">
        <v>13</v>
      </c>
      <c r="G148" t="s">
        <v>525</v>
      </c>
    </row>
    <row r="149" spans="1:7" x14ac:dyDescent="0.3">
      <c r="A149">
        <v>0</v>
      </c>
      <c r="B149" t="s">
        <v>312</v>
      </c>
      <c r="C149" t="s">
        <v>482</v>
      </c>
      <c r="D149" t="s">
        <v>2</v>
      </c>
      <c r="E149" t="s">
        <v>482</v>
      </c>
      <c r="F149" t="s">
        <v>13</v>
      </c>
      <c r="G149" t="s">
        <v>525</v>
      </c>
    </row>
    <row r="150" spans="1:7" x14ac:dyDescent="0.3">
      <c r="A150">
        <v>0</v>
      </c>
      <c r="B150" t="s">
        <v>312</v>
      </c>
      <c r="C150" t="s">
        <v>412</v>
      </c>
      <c r="D150" t="s">
        <v>2</v>
      </c>
      <c r="E150" t="s">
        <v>412</v>
      </c>
      <c r="F150" t="s">
        <v>13</v>
      </c>
      <c r="G150" t="s">
        <v>525</v>
      </c>
    </row>
    <row r="151" spans="1:7" x14ac:dyDescent="0.3">
      <c r="A151">
        <v>0</v>
      </c>
      <c r="B151" t="s">
        <v>312</v>
      </c>
      <c r="C151" t="s">
        <v>434</v>
      </c>
      <c r="D151" t="s">
        <v>2</v>
      </c>
      <c r="E151" t="s">
        <v>434</v>
      </c>
      <c r="F151" t="s">
        <v>13</v>
      </c>
      <c r="G151" t="s">
        <v>525</v>
      </c>
    </row>
    <row r="152" spans="1:7" x14ac:dyDescent="0.3">
      <c r="A152">
        <v>0</v>
      </c>
      <c r="B152" t="s">
        <v>314</v>
      </c>
      <c r="C152" t="s">
        <v>443</v>
      </c>
      <c r="D152" t="s">
        <v>2</v>
      </c>
      <c r="E152" t="s">
        <v>443</v>
      </c>
      <c r="F152" t="s">
        <v>13</v>
      </c>
      <c r="G152" t="s">
        <v>525</v>
      </c>
    </row>
    <row r="153" spans="1:7" x14ac:dyDescent="0.3">
      <c r="A153">
        <v>0</v>
      </c>
      <c r="B153" t="s">
        <v>319</v>
      </c>
      <c r="C153" t="s">
        <v>430</v>
      </c>
      <c r="D153" t="s">
        <v>2</v>
      </c>
      <c r="E153" t="s">
        <v>430</v>
      </c>
      <c r="F153" t="s">
        <v>13</v>
      </c>
      <c r="G153" t="s">
        <v>525</v>
      </c>
    </row>
    <row r="154" spans="1:7" x14ac:dyDescent="0.3">
      <c r="A154">
        <v>0</v>
      </c>
      <c r="B154" t="s">
        <v>314</v>
      </c>
      <c r="C154" t="s">
        <v>408</v>
      </c>
      <c r="D154" t="s">
        <v>2</v>
      </c>
      <c r="E154" t="s">
        <v>408</v>
      </c>
      <c r="F154" t="s">
        <v>13</v>
      </c>
      <c r="G154" t="s">
        <v>525</v>
      </c>
    </row>
    <row r="155" spans="1:7" x14ac:dyDescent="0.3">
      <c r="A155">
        <v>0</v>
      </c>
      <c r="B155" t="s">
        <v>312</v>
      </c>
      <c r="C155" t="s">
        <v>138</v>
      </c>
      <c r="D155" t="s">
        <v>2</v>
      </c>
      <c r="E155" t="s">
        <v>138</v>
      </c>
      <c r="F155" t="s">
        <v>13</v>
      </c>
      <c r="G155" t="s">
        <v>525</v>
      </c>
    </row>
    <row r="156" spans="1:7" x14ac:dyDescent="0.3">
      <c r="A156">
        <v>0</v>
      </c>
      <c r="B156" t="s">
        <v>312</v>
      </c>
      <c r="C156" t="s">
        <v>275</v>
      </c>
      <c r="D156" t="s">
        <v>2</v>
      </c>
      <c r="E156" t="s">
        <v>275</v>
      </c>
      <c r="F156" t="s">
        <v>13</v>
      </c>
      <c r="G156" t="s">
        <v>525</v>
      </c>
    </row>
    <row r="157" spans="1:7" x14ac:dyDescent="0.3">
      <c r="A157">
        <v>0</v>
      </c>
      <c r="B157" t="s">
        <v>312</v>
      </c>
      <c r="C157" t="s">
        <v>337</v>
      </c>
      <c r="D157" t="s">
        <v>2</v>
      </c>
      <c r="E157" t="s">
        <v>337</v>
      </c>
      <c r="F157" t="s">
        <v>13</v>
      </c>
      <c r="G157" t="s">
        <v>525</v>
      </c>
    </row>
    <row r="158" spans="1:7" x14ac:dyDescent="0.3">
      <c r="A158">
        <v>0</v>
      </c>
      <c r="B158" t="s">
        <v>312</v>
      </c>
      <c r="C158" t="s">
        <v>331</v>
      </c>
      <c r="D158" t="s">
        <v>2</v>
      </c>
      <c r="E158" t="s">
        <v>331</v>
      </c>
      <c r="F158" t="s">
        <v>13</v>
      </c>
      <c r="G158" t="s">
        <v>525</v>
      </c>
    </row>
    <row r="159" spans="1:7" x14ac:dyDescent="0.3">
      <c r="A159">
        <v>0</v>
      </c>
      <c r="B159" t="s">
        <v>312</v>
      </c>
      <c r="C159" t="s">
        <v>452</v>
      </c>
      <c r="D159" t="s">
        <v>2</v>
      </c>
      <c r="E159" t="s">
        <v>452</v>
      </c>
      <c r="F159" t="s">
        <v>13</v>
      </c>
      <c r="G159" t="s">
        <v>525</v>
      </c>
    </row>
    <row r="160" spans="1:7" x14ac:dyDescent="0.3">
      <c r="A160">
        <v>0</v>
      </c>
      <c r="B160" t="s">
        <v>319</v>
      </c>
      <c r="C160" t="s">
        <v>477</v>
      </c>
      <c r="D160" t="s">
        <v>2</v>
      </c>
      <c r="E160" t="s">
        <v>477</v>
      </c>
      <c r="F160" t="s">
        <v>13</v>
      </c>
      <c r="G160" t="s">
        <v>525</v>
      </c>
    </row>
    <row r="161" spans="1:7" x14ac:dyDescent="0.3">
      <c r="A161">
        <v>0</v>
      </c>
      <c r="B161" t="s">
        <v>312</v>
      </c>
      <c r="C161" t="s">
        <v>446</v>
      </c>
      <c r="D161" t="s">
        <v>2</v>
      </c>
      <c r="E161" t="s">
        <v>446</v>
      </c>
      <c r="F161" t="s">
        <v>13</v>
      </c>
      <c r="G161" t="s">
        <v>525</v>
      </c>
    </row>
    <row r="162" spans="1:7" x14ac:dyDescent="0.3">
      <c r="A162">
        <v>0</v>
      </c>
      <c r="B162" t="s">
        <v>319</v>
      </c>
      <c r="C162" t="s">
        <v>491</v>
      </c>
      <c r="D162" t="s">
        <v>2</v>
      </c>
      <c r="E162" t="s">
        <v>491</v>
      </c>
      <c r="F162" t="s">
        <v>13</v>
      </c>
      <c r="G162" t="s">
        <v>525</v>
      </c>
    </row>
    <row r="163" spans="1:7" x14ac:dyDescent="0.3">
      <c r="A163">
        <v>0</v>
      </c>
      <c r="B163" t="s">
        <v>312</v>
      </c>
      <c r="C163" t="s">
        <v>326</v>
      </c>
      <c r="D163" t="s">
        <v>2</v>
      </c>
      <c r="E163" t="s">
        <v>326</v>
      </c>
      <c r="F163" t="s">
        <v>13</v>
      </c>
      <c r="G163" t="s">
        <v>525</v>
      </c>
    </row>
    <row r="164" spans="1:7" x14ac:dyDescent="0.3">
      <c r="A164">
        <v>0</v>
      </c>
      <c r="B164" t="s">
        <v>319</v>
      </c>
      <c r="C164" t="s">
        <v>415</v>
      </c>
      <c r="D164" t="s">
        <v>2</v>
      </c>
      <c r="E164" t="s">
        <v>415</v>
      </c>
      <c r="F164" t="s">
        <v>13</v>
      </c>
      <c r="G164" t="s">
        <v>525</v>
      </c>
    </row>
    <row r="165" spans="1:7" x14ac:dyDescent="0.3">
      <c r="A165">
        <v>0</v>
      </c>
      <c r="B165" t="s">
        <v>314</v>
      </c>
      <c r="C165" t="s">
        <v>451</v>
      </c>
      <c r="D165" t="s">
        <v>2</v>
      </c>
      <c r="E165" t="s">
        <v>451</v>
      </c>
      <c r="F165" t="s">
        <v>13</v>
      </c>
      <c r="G165" t="s">
        <v>525</v>
      </c>
    </row>
    <row r="166" spans="1:7" x14ac:dyDescent="0.3">
      <c r="A166">
        <v>0</v>
      </c>
      <c r="B166" t="s">
        <v>314</v>
      </c>
      <c r="C166" t="s">
        <v>448</v>
      </c>
      <c r="D166" t="s">
        <v>2</v>
      </c>
      <c r="E166" t="s">
        <v>448</v>
      </c>
      <c r="F166" t="s">
        <v>13</v>
      </c>
      <c r="G166" t="s">
        <v>525</v>
      </c>
    </row>
    <row r="167" spans="1:7" x14ac:dyDescent="0.3">
      <c r="A167">
        <v>0</v>
      </c>
      <c r="B167" t="s">
        <v>312</v>
      </c>
      <c r="C167" t="s">
        <v>423</v>
      </c>
      <c r="D167" t="s">
        <v>2</v>
      </c>
      <c r="E167" t="s">
        <v>423</v>
      </c>
      <c r="F167" t="s">
        <v>13</v>
      </c>
      <c r="G167" t="s">
        <v>525</v>
      </c>
    </row>
    <row r="168" spans="1:7" x14ac:dyDescent="0.3">
      <c r="A168">
        <v>0</v>
      </c>
      <c r="B168" t="s">
        <v>319</v>
      </c>
      <c r="C168" t="s">
        <v>361</v>
      </c>
      <c r="D168" t="s">
        <v>2</v>
      </c>
      <c r="E168" t="s">
        <v>361</v>
      </c>
      <c r="F168" t="s">
        <v>13</v>
      </c>
      <c r="G168" t="s">
        <v>525</v>
      </c>
    </row>
    <row r="169" spans="1:7" x14ac:dyDescent="0.3">
      <c r="A169">
        <v>0</v>
      </c>
      <c r="B169" t="s">
        <v>314</v>
      </c>
      <c r="C169" t="s">
        <v>467</v>
      </c>
      <c r="D169" t="s">
        <v>2</v>
      </c>
      <c r="E169" t="s">
        <v>467</v>
      </c>
      <c r="F169" t="s">
        <v>13</v>
      </c>
      <c r="G169" t="s">
        <v>525</v>
      </c>
    </row>
    <row r="170" spans="1:7" x14ac:dyDescent="0.3">
      <c r="A170">
        <v>0</v>
      </c>
      <c r="B170" t="s">
        <v>319</v>
      </c>
      <c r="C170" t="s">
        <v>420</v>
      </c>
      <c r="D170" t="s">
        <v>2</v>
      </c>
      <c r="E170" t="s">
        <v>420</v>
      </c>
      <c r="F170" t="s">
        <v>13</v>
      </c>
      <c r="G170" t="s">
        <v>525</v>
      </c>
    </row>
    <row r="171" spans="1:7" x14ac:dyDescent="0.3">
      <c r="A171">
        <v>0</v>
      </c>
      <c r="B171" t="s">
        <v>314</v>
      </c>
      <c r="C171" t="s">
        <v>487</v>
      </c>
      <c r="D171" t="s">
        <v>2</v>
      </c>
      <c r="E171" t="s">
        <v>487</v>
      </c>
      <c r="F171" t="s">
        <v>13</v>
      </c>
      <c r="G171" t="s">
        <v>525</v>
      </c>
    </row>
    <row r="172" spans="1:7" x14ac:dyDescent="0.3">
      <c r="A172">
        <v>0</v>
      </c>
      <c r="B172" t="s">
        <v>312</v>
      </c>
      <c r="C172" t="s">
        <v>149</v>
      </c>
      <c r="D172" t="s">
        <v>2</v>
      </c>
      <c r="E172" t="s">
        <v>149</v>
      </c>
      <c r="F172" t="s">
        <v>13</v>
      </c>
      <c r="G172" t="s">
        <v>525</v>
      </c>
    </row>
    <row r="173" spans="1:7" x14ac:dyDescent="0.3">
      <c r="A173">
        <v>0</v>
      </c>
      <c r="B173" t="s">
        <v>314</v>
      </c>
      <c r="C173" t="s">
        <v>377</v>
      </c>
      <c r="D173" t="s">
        <v>2</v>
      </c>
      <c r="E173" t="s">
        <v>377</v>
      </c>
      <c r="F173" t="s">
        <v>13</v>
      </c>
      <c r="G173" t="s">
        <v>525</v>
      </c>
    </row>
    <row r="174" spans="1:7" x14ac:dyDescent="0.3">
      <c r="A174">
        <v>0</v>
      </c>
      <c r="B174" t="s">
        <v>312</v>
      </c>
      <c r="C174" t="s">
        <v>403</v>
      </c>
      <c r="D174" t="s">
        <v>2</v>
      </c>
      <c r="E174" t="s">
        <v>403</v>
      </c>
      <c r="F174" t="s">
        <v>13</v>
      </c>
      <c r="G174" t="s">
        <v>525</v>
      </c>
    </row>
    <row r="175" spans="1:7" x14ac:dyDescent="0.3">
      <c r="A175">
        <v>0</v>
      </c>
      <c r="B175" t="s">
        <v>312</v>
      </c>
      <c r="C175" t="s">
        <v>387</v>
      </c>
      <c r="D175" t="s">
        <v>2</v>
      </c>
      <c r="E175" t="s">
        <v>387</v>
      </c>
      <c r="F175" t="s">
        <v>13</v>
      </c>
      <c r="G175" t="s">
        <v>525</v>
      </c>
    </row>
    <row r="176" spans="1:7" x14ac:dyDescent="0.3">
      <c r="A176">
        <v>0</v>
      </c>
      <c r="B176" t="s">
        <v>312</v>
      </c>
      <c r="C176" t="s">
        <v>431</v>
      </c>
      <c r="D176" t="s">
        <v>2</v>
      </c>
      <c r="E176" t="s">
        <v>431</v>
      </c>
      <c r="F176" t="s">
        <v>13</v>
      </c>
      <c r="G176" t="s">
        <v>525</v>
      </c>
    </row>
    <row r="177" spans="1:7" x14ac:dyDescent="0.3">
      <c r="A177">
        <v>0</v>
      </c>
      <c r="B177" t="s">
        <v>319</v>
      </c>
      <c r="C177" t="s">
        <v>459</v>
      </c>
      <c r="D177" t="s">
        <v>2</v>
      </c>
      <c r="E177" t="s">
        <v>459</v>
      </c>
      <c r="F177" t="s">
        <v>13</v>
      </c>
      <c r="G177" t="s">
        <v>525</v>
      </c>
    </row>
    <row r="178" spans="1:7" x14ac:dyDescent="0.3">
      <c r="A178">
        <v>0</v>
      </c>
      <c r="B178" t="s">
        <v>314</v>
      </c>
      <c r="C178" t="s">
        <v>376</v>
      </c>
      <c r="D178" t="s">
        <v>2</v>
      </c>
      <c r="E178" t="s">
        <v>376</v>
      </c>
      <c r="F178" t="s">
        <v>13</v>
      </c>
      <c r="G178" t="s">
        <v>525</v>
      </c>
    </row>
    <row r="179" spans="1:7" x14ac:dyDescent="0.3">
      <c r="A179">
        <v>0</v>
      </c>
      <c r="B179" t="s">
        <v>312</v>
      </c>
      <c r="C179" t="s">
        <v>379</v>
      </c>
      <c r="D179" t="s">
        <v>2</v>
      </c>
      <c r="E179" t="s">
        <v>379</v>
      </c>
      <c r="F179" t="s">
        <v>13</v>
      </c>
      <c r="G179" t="s">
        <v>525</v>
      </c>
    </row>
    <row r="180" spans="1:7" x14ac:dyDescent="0.3">
      <c r="A180">
        <v>0</v>
      </c>
      <c r="B180" t="s">
        <v>314</v>
      </c>
      <c r="C180" t="s">
        <v>445</v>
      </c>
      <c r="D180" t="s">
        <v>2</v>
      </c>
      <c r="E180" t="s">
        <v>445</v>
      </c>
      <c r="F180" t="s">
        <v>13</v>
      </c>
      <c r="G180" t="s">
        <v>525</v>
      </c>
    </row>
    <row r="181" spans="1:7" x14ac:dyDescent="0.3">
      <c r="A181">
        <v>0</v>
      </c>
      <c r="B181" t="s">
        <v>319</v>
      </c>
      <c r="C181" t="s">
        <v>460</v>
      </c>
      <c r="D181" t="s">
        <v>2</v>
      </c>
      <c r="E181" t="s">
        <v>460</v>
      </c>
      <c r="F181" t="s">
        <v>13</v>
      </c>
      <c r="G181" t="s">
        <v>525</v>
      </c>
    </row>
    <row r="182" spans="1:7" x14ac:dyDescent="0.3">
      <c r="A182">
        <v>0</v>
      </c>
      <c r="B182" t="s">
        <v>314</v>
      </c>
      <c r="C182" t="s">
        <v>450</v>
      </c>
      <c r="D182" t="s">
        <v>2</v>
      </c>
      <c r="E182" t="s">
        <v>450</v>
      </c>
      <c r="F182" t="s">
        <v>13</v>
      </c>
      <c r="G182" t="s">
        <v>525</v>
      </c>
    </row>
    <row r="183" spans="1:7" x14ac:dyDescent="0.3">
      <c r="A183">
        <v>0</v>
      </c>
      <c r="B183" t="s">
        <v>312</v>
      </c>
      <c r="C183" t="s">
        <v>473</v>
      </c>
      <c r="D183" t="s">
        <v>2</v>
      </c>
      <c r="E183" t="s">
        <v>473</v>
      </c>
      <c r="F183" t="s">
        <v>13</v>
      </c>
      <c r="G183" t="s">
        <v>525</v>
      </c>
    </row>
    <row r="184" spans="1:7" x14ac:dyDescent="0.3">
      <c r="A184">
        <v>0</v>
      </c>
      <c r="B184" t="s">
        <v>314</v>
      </c>
      <c r="C184" t="s">
        <v>313</v>
      </c>
      <c r="D184" t="s">
        <v>2</v>
      </c>
      <c r="E184" t="s">
        <v>313</v>
      </c>
      <c r="F184" t="s">
        <v>13</v>
      </c>
      <c r="G184" t="s">
        <v>525</v>
      </c>
    </row>
    <row r="185" spans="1:7" x14ac:dyDescent="0.3">
      <c r="A185">
        <v>0</v>
      </c>
      <c r="B185" t="s">
        <v>312</v>
      </c>
      <c r="C185" t="s">
        <v>472</v>
      </c>
      <c r="D185" t="s">
        <v>2</v>
      </c>
      <c r="E185" t="s">
        <v>472</v>
      </c>
      <c r="F185" t="s">
        <v>13</v>
      </c>
      <c r="G185" t="s">
        <v>525</v>
      </c>
    </row>
    <row r="186" spans="1:7" x14ac:dyDescent="0.3">
      <c r="A186">
        <v>0</v>
      </c>
      <c r="B186" t="s">
        <v>312</v>
      </c>
      <c r="C186" t="s">
        <v>402</v>
      </c>
      <c r="D186" t="s">
        <v>2</v>
      </c>
      <c r="E186" t="s">
        <v>402</v>
      </c>
      <c r="F186" t="s">
        <v>13</v>
      </c>
      <c r="G186" t="s">
        <v>525</v>
      </c>
    </row>
    <row r="187" spans="1:7" x14ac:dyDescent="0.3">
      <c r="A187">
        <v>0</v>
      </c>
      <c r="B187" t="s">
        <v>314</v>
      </c>
      <c r="C187" t="s">
        <v>455</v>
      </c>
      <c r="D187" t="s">
        <v>2</v>
      </c>
      <c r="E187" t="s">
        <v>455</v>
      </c>
      <c r="F187" t="s">
        <v>13</v>
      </c>
      <c r="G187" t="s">
        <v>525</v>
      </c>
    </row>
    <row r="188" spans="1:7" x14ac:dyDescent="0.3">
      <c r="A188">
        <v>0</v>
      </c>
      <c r="B188" t="s">
        <v>312</v>
      </c>
      <c r="C188" t="s">
        <v>411</v>
      </c>
      <c r="D188" t="s">
        <v>2</v>
      </c>
      <c r="E188" t="s">
        <v>411</v>
      </c>
      <c r="F188" t="s">
        <v>13</v>
      </c>
      <c r="G188" t="s">
        <v>525</v>
      </c>
    </row>
    <row r="189" spans="1:7" x14ac:dyDescent="0.3">
      <c r="A189">
        <v>0</v>
      </c>
      <c r="B189" t="s">
        <v>312</v>
      </c>
      <c r="C189" t="s">
        <v>488</v>
      </c>
      <c r="D189" t="s">
        <v>2</v>
      </c>
      <c r="E189" t="s">
        <v>488</v>
      </c>
      <c r="F189" t="s">
        <v>13</v>
      </c>
      <c r="G189" t="s">
        <v>525</v>
      </c>
    </row>
    <row r="190" spans="1:7" x14ac:dyDescent="0.3">
      <c r="A190">
        <v>0</v>
      </c>
      <c r="B190" t="s">
        <v>319</v>
      </c>
      <c r="C190" t="s">
        <v>462</v>
      </c>
      <c r="D190" t="s">
        <v>2</v>
      </c>
      <c r="E190" t="s">
        <v>462</v>
      </c>
      <c r="F190" t="s">
        <v>13</v>
      </c>
      <c r="G190" t="s">
        <v>525</v>
      </c>
    </row>
    <row r="191" spans="1:7" x14ac:dyDescent="0.3">
      <c r="A191">
        <v>0</v>
      </c>
      <c r="B191" t="s">
        <v>312</v>
      </c>
      <c r="C191" t="s">
        <v>246</v>
      </c>
      <c r="D191" t="s">
        <v>2</v>
      </c>
      <c r="E191" t="s">
        <v>246</v>
      </c>
      <c r="F191" t="s">
        <v>13</v>
      </c>
      <c r="G191" t="s">
        <v>525</v>
      </c>
    </row>
    <row r="192" spans="1:7" x14ac:dyDescent="0.3">
      <c r="A192">
        <v>0</v>
      </c>
      <c r="B192" t="s">
        <v>312</v>
      </c>
      <c r="C192" t="s">
        <v>357</v>
      </c>
      <c r="D192" t="s">
        <v>2</v>
      </c>
      <c r="E192" t="s">
        <v>357</v>
      </c>
      <c r="F192" t="s">
        <v>13</v>
      </c>
      <c r="G192" t="s">
        <v>525</v>
      </c>
    </row>
    <row r="193" spans="1:7" x14ac:dyDescent="0.3">
      <c r="A193">
        <v>0</v>
      </c>
      <c r="B193" t="s">
        <v>314</v>
      </c>
      <c r="C193" t="s">
        <v>341</v>
      </c>
      <c r="D193" t="s">
        <v>2</v>
      </c>
      <c r="E193" t="s">
        <v>341</v>
      </c>
      <c r="F193" t="s">
        <v>13</v>
      </c>
      <c r="G193" t="s">
        <v>525</v>
      </c>
    </row>
    <row r="194" spans="1:7" x14ac:dyDescent="0.3">
      <c r="A194">
        <v>0</v>
      </c>
      <c r="B194" t="s">
        <v>319</v>
      </c>
      <c r="C194" t="s">
        <v>466</v>
      </c>
      <c r="D194" t="s">
        <v>2</v>
      </c>
      <c r="E194" t="s">
        <v>466</v>
      </c>
      <c r="F194" t="s">
        <v>13</v>
      </c>
      <c r="G194" t="s">
        <v>525</v>
      </c>
    </row>
    <row r="195" spans="1:7" x14ac:dyDescent="0.3">
      <c r="A195">
        <v>0</v>
      </c>
      <c r="B195" t="s">
        <v>319</v>
      </c>
      <c r="C195" t="s">
        <v>362</v>
      </c>
      <c r="D195" t="s">
        <v>2</v>
      </c>
      <c r="E195" t="s">
        <v>362</v>
      </c>
      <c r="F195" t="s">
        <v>13</v>
      </c>
      <c r="G195" t="s">
        <v>525</v>
      </c>
    </row>
    <row r="196" spans="1:7" x14ac:dyDescent="0.3">
      <c r="A196">
        <v>0</v>
      </c>
      <c r="B196" t="s">
        <v>312</v>
      </c>
      <c r="C196" t="s">
        <v>433</v>
      </c>
      <c r="D196" t="s">
        <v>2</v>
      </c>
      <c r="E196" t="s">
        <v>433</v>
      </c>
      <c r="F196" t="s">
        <v>13</v>
      </c>
      <c r="G196" t="s">
        <v>525</v>
      </c>
    </row>
    <row r="197" spans="1:7" x14ac:dyDescent="0.3">
      <c r="A197">
        <v>0</v>
      </c>
      <c r="B197" t="s">
        <v>312</v>
      </c>
      <c r="C197" t="s">
        <v>397</v>
      </c>
      <c r="D197" t="s">
        <v>2</v>
      </c>
      <c r="E197" t="s">
        <v>397</v>
      </c>
      <c r="F197" t="s">
        <v>13</v>
      </c>
      <c r="G197" t="s">
        <v>525</v>
      </c>
    </row>
    <row r="198" spans="1:7" x14ac:dyDescent="0.3">
      <c r="A198">
        <v>0</v>
      </c>
      <c r="B198" t="s">
        <v>319</v>
      </c>
      <c r="C198" t="s">
        <v>378</v>
      </c>
      <c r="D198" t="s">
        <v>2</v>
      </c>
      <c r="E198" t="s">
        <v>378</v>
      </c>
      <c r="F198" t="s">
        <v>13</v>
      </c>
      <c r="G198" t="s">
        <v>525</v>
      </c>
    </row>
    <row r="199" spans="1:7" x14ac:dyDescent="0.3">
      <c r="A199">
        <v>0</v>
      </c>
      <c r="B199" t="s">
        <v>105</v>
      </c>
      <c r="C199" t="s">
        <v>117</v>
      </c>
      <c r="D199" t="s">
        <v>2</v>
      </c>
      <c r="E199" t="s">
        <v>117</v>
      </c>
      <c r="F199" t="s">
        <v>13</v>
      </c>
      <c r="G199" t="s">
        <v>525</v>
      </c>
    </row>
    <row r="200" spans="1:7" x14ac:dyDescent="0.3">
      <c r="A200">
        <v>0</v>
      </c>
      <c r="B200" t="s">
        <v>312</v>
      </c>
      <c r="C200" t="s">
        <v>476</v>
      </c>
      <c r="D200" t="s">
        <v>2</v>
      </c>
      <c r="E200" t="s">
        <v>476</v>
      </c>
      <c r="F200" t="s">
        <v>13</v>
      </c>
      <c r="G200" t="s">
        <v>525</v>
      </c>
    </row>
    <row r="201" spans="1:7" x14ac:dyDescent="0.3">
      <c r="A201">
        <v>0</v>
      </c>
      <c r="B201" t="s">
        <v>319</v>
      </c>
      <c r="C201" t="s">
        <v>478</v>
      </c>
      <c r="D201" t="s">
        <v>2</v>
      </c>
      <c r="E201" t="s">
        <v>478</v>
      </c>
      <c r="F201" t="s">
        <v>13</v>
      </c>
      <c r="G201" t="s">
        <v>525</v>
      </c>
    </row>
    <row r="202" spans="1:7" x14ac:dyDescent="0.3">
      <c r="A202">
        <v>0</v>
      </c>
      <c r="B202" t="s">
        <v>312</v>
      </c>
      <c r="C202" t="s">
        <v>367</v>
      </c>
      <c r="D202" t="s">
        <v>2</v>
      </c>
      <c r="E202" t="s">
        <v>367</v>
      </c>
      <c r="F202" t="s">
        <v>13</v>
      </c>
      <c r="G202" t="s">
        <v>525</v>
      </c>
    </row>
    <row r="203" spans="1:7" x14ac:dyDescent="0.3">
      <c r="A203">
        <v>0</v>
      </c>
      <c r="B203" t="s">
        <v>312</v>
      </c>
      <c r="C203" t="s">
        <v>346</v>
      </c>
      <c r="D203" t="s">
        <v>2</v>
      </c>
      <c r="E203" t="s">
        <v>346</v>
      </c>
      <c r="F203" t="s">
        <v>13</v>
      </c>
      <c r="G203" t="s">
        <v>525</v>
      </c>
    </row>
    <row r="204" spans="1:7" x14ac:dyDescent="0.3">
      <c r="A204">
        <v>0</v>
      </c>
      <c r="B204" t="s">
        <v>105</v>
      </c>
      <c r="C204" t="s">
        <v>119</v>
      </c>
      <c r="D204" t="s">
        <v>2</v>
      </c>
      <c r="E204" t="s">
        <v>119</v>
      </c>
      <c r="F204" t="s">
        <v>13</v>
      </c>
      <c r="G204" t="s">
        <v>525</v>
      </c>
    </row>
    <row r="205" spans="1:7" x14ac:dyDescent="0.3">
      <c r="A205">
        <v>0</v>
      </c>
      <c r="B205" t="s">
        <v>312</v>
      </c>
      <c r="C205" t="s">
        <v>385</v>
      </c>
      <c r="D205" t="s">
        <v>2</v>
      </c>
      <c r="E205" t="s">
        <v>385</v>
      </c>
      <c r="F205" t="s">
        <v>13</v>
      </c>
      <c r="G205" t="s">
        <v>525</v>
      </c>
    </row>
    <row r="206" spans="1:7" x14ac:dyDescent="0.3">
      <c r="A206">
        <v>0</v>
      </c>
      <c r="B206" t="s">
        <v>57</v>
      </c>
      <c r="C206" t="s">
        <v>120</v>
      </c>
      <c r="D206" t="s">
        <v>2</v>
      </c>
      <c r="E206" t="s">
        <v>120</v>
      </c>
      <c r="F206" t="s">
        <v>13</v>
      </c>
      <c r="G206" t="s">
        <v>525</v>
      </c>
    </row>
    <row r="207" spans="1:7" x14ac:dyDescent="0.3">
      <c r="A207">
        <v>0</v>
      </c>
      <c r="B207" t="s">
        <v>312</v>
      </c>
      <c r="C207" t="s">
        <v>324</v>
      </c>
      <c r="D207" t="s">
        <v>2</v>
      </c>
      <c r="E207" t="s">
        <v>324</v>
      </c>
      <c r="F207" t="s">
        <v>13</v>
      </c>
      <c r="G207" t="s">
        <v>525</v>
      </c>
    </row>
    <row r="208" spans="1:7" x14ac:dyDescent="0.3">
      <c r="A208">
        <v>0</v>
      </c>
      <c r="B208" t="s">
        <v>312</v>
      </c>
      <c r="C208" t="s">
        <v>327</v>
      </c>
      <c r="D208" t="s">
        <v>2</v>
      </c>
      <c r="E208" t="s">
        <v>327</v>
      </c>
      <c r="F208" t="s">
        <v>13</v>
      </c>
      <c r="G208" t="s">
        <v>525</v>
      </c>
    </row>
    <row r="209" spans="1:7" x14ac:dyDescent="0.3">
      <c r="A209">
        <v>0</v>
      </c>
      <c r="B209" t="s">
        <v>314</v>
      </c>
      <c r="C209" t="s">
        <v>441</v>
      </c>
      <c r="D209" t="s">
        <v>2</v>
      </c>
      <c r="E209" t="s">
        <v>441</v>
      </c>
      <c r="F209" t="s">
        <v>13</v>
      </c>
      <c r="G209" t="s">
        <v>525</v>
      </c>
    </row>
    <row r="210" spans="1:7" x14ac:dyDescent="0.3">
      <c r="A210">
        <v>0</v>
      </c>
      <c r="B210" t="s">
        <v>105</v>
      </c>
      <c r="C210" t="s">
        <v>115</v>
      </c>
      <c r="D210" t="s">
        <v>2</v>
      </c>
      <c r="E210" t="s">
        <v>115</v>
      </c>
      <c r="F210" t="s">
        <v>13</v>
      </c>
      <c r="G210" t="s">
        <v>525</v>
      </c>
    </row>
    <row r="211" spans="1:7" x14ac:dyDescent="0.3">
      <c r="A211">
        <v>0</v>
      </c>
      <c r="B211" t="s">
        <v>312</v>
      </c>
      <c r="C211" t="s">
        <v>484</v>
      </c>
      <c r="D211" t="s">
        <v>2</v>
      </c>
      <c r="E211" t="s">
        <v>484</v>
      </c>
      <c r="F211" t="s">
        <v>13</v>
      </c>
      <c r="G211" t="s">
        <v>525</v>
      </c>
    </row>
    <row r="212" spans="1:7" x14ac:dyDescent="0.3">
      <c r="A212">
        <v>0</v>
      </c>
      <c r="B212" t="s">
        <v>312</v>
      </c>
      <c r="C212" t="s">
        <v>311</v>
      </c>
      <c r="D212" t="s">
        <v>2</v>
      </c>
      <c r="E212" t="s">
        <v>311</v>
      </c>
      <c r="F212" t="s">
        <v>13</v>
      </c>
      <c r="G212" t="s">
        <v>525</v>
      </c>
    </row>
    <row r="213" spans="1:7" x14ac:dyDescent="0.3">
      <c r="A213">
        <v>0</v>
      </c>
      <c r="B213" t="s">
        <v>312</v>
      </c>
      <c r="C213" t="s">
        <v>365</v>
      </c>
      <c r="D213" t="s">
        <v>2</v>
      </c>
      <c r="E213" t="s">
        <v>365</v>
      </c>
      <c r="F213" t="s">
        <v>13</v>
      </c>
      <c r="G213" t="s">
        <v>525</v>
      </c>
    </row>
    <row r="214" spans="1:7" x14ac:dyDescent="0.3">
      <c r="A214">
        <v>0</v>
      </c>
      <c r="B214" t="s">
        <v>314</v>
      </c>
      <c r="C214" t="s">
        <v>350</v>
      </c>
      <c r="D214" t="s">
        <v>2</v>
      </c>
      <c r="E214" t="s">
        <v>350</v>
      </c>
      <c r="F214" t="s">
        <v>13</v>
      </c>
      <c r="G214" t="s">
        <v>525</v>
      </c>
    </row>
    <row r="215" spans="1:7" x14ac:dyDescent="0.3">
      <c r="A215">
        <v>0</v>
      </c>
      <c r="B215" t="s">
        <v>105</v>
      </c>
      <c r="C215" t="s">
        <v>123</v>
      </c>
      <c r="D215" t="s">
        <v>2</v>
      </c>
      <c r="E215" t="s">
        <v>123</v>
      </c>
      <c r="F215" t="s">
        <v>13</v>
      </c>
      <c r="G215" t="s">
        <v>525</v>
      </c>
    </row>
    <row r="216" spans="1:7" x14ac:dyDescent="0.3">
      <c r="A216">
        <v>0</v>
      </c>
      <c r="B216" t="s">
        <v>312</v>
      </c>
      <c r="C216" t="s">
        <v>396</v>
      </c>
      <c r="D216" t="s">
        <v>2</v>
      </c>
      <c r="E216" t="s">
        <v>396</v>
      </c>
      <c r="F216" t="s">
        <v>13</v>
      </c>
      <c r="G216" t="s">
        <v>525</v>
      </c>
    </row>
    <row r="217" spans="1:7" x14ac:dyDescent="0.3">
      <c r="A217">
        <v>0</v>
      </c>
      <c r="B217" t="s">
        <v>312</v>
      </c>
      <c r="C217" t="s">
        <v>428</v>
      </c>
      <c r="D217" t="s">
        <v>2</v>
      </c>
      <c r="E217" t="s">
        <v>428</v>
      </c>
      <c r="F217" t="s">
        <v>13</v>
      </c>
      <c r="G217" t="s">
        <v>525</v>
      </c>
    </row>
    <row r="218" spans="1:7" x14ac:dyDescent="0.3">
      <c r="A218">
        <v>0</v>
      </c>
      <c r="B218" t="s">
        <v>312</v>
      </c>
      <c r="C218" t="s">
        <v>383</v>
      </c>
      <c r="D218" t="s">
        <v>2</v>
      </c>
      <c r="E218" t="s">
        <v>383</v>
      </c>
      <c r="F218" t="s">
        <v>13</v>
      </c>
      <c r="G218" t="s">
        <v>525</v>
      </c>
    </row>
    <row r="219" spans="1:7" x14ac:dyDescent="0.3">
      <c r="A219">
        <v>0</v>
      </c>
      <c r="B219" t="s">
        <v>312</v>
      </c>
      <c r="C219" t="s">
        <v>426</v>
      </c>
      <c r="D219" t="s">
        <v>2</v>
      </c>
      <c r="E219" t="s">
        <v>426</v>
      </c>
      <c r="F219" t="s">
        <v>13</v>
      </c>
      <c r="G219" t="s">
        <v>525</v>
      </c>
    </row>
    <row r="220" spans="1:7" x14ac:dyDescent="0.3">
      <c r="A220">
        <v>0</v>
      </c>
      <c r="B220" t="s">
        <v>312</v>
      </c>
      <c r="C220" t="s">
        <v>437</v>
      </c>
      <c r="D220" t="s">
        <v>2</v>
      </c>
      <c r="E220" t="s">
        <v>437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454</v>
      </c>
      <c r="D221" t="s">
        <v>2</v>
      </c>
      <c r="E221" t="s">
        <v>454</v>
      </c>
      <c r="F221" t="s">
        <v>13</v>
      </c>
      <c r="G221" t="s">
        <v>525</v>
      </c>
    </row>
    <row r="222" spans="1:7" x14ac:dyDescent="0.3">
      <c r="A222">
        <v>0</v>
      </c>
      <c r="B222" t="s">
        <v>312</v>
      </c>
      <c r="C222" t="s">
        <v>425</v>
      </c>
      <c r="D222" t="s">
        <v>2</v>
      </c>
      <c r="E222" t="s">
        <v>425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344</v>
      </c>
      <c r="D223" t="s">
        <v>2</v>
      </c>
      <c r="E223" t="s">
        <v>344</v>
      </c>
      <c r="F223" t="s">
        <v>13</v>
      </c>
      <c r="G223" t="s">
        <v>525</v>
      </c>
    </row>
    <row r="224" spans="1:7" x14ac:dyDescent="0.3">
      <c r="A224">
        <v>0</v>
      </c>
      <c r="B224" t="s">
        <v>312</v>
      </c>
      <c r="C224" t="s">
        <v>407</v>
      </c>
      <c r="D224" t="s">
        <v>2</v>
      </c>
      <c r="E224" t="s">
        <v>407</v>
      </c>
      <c r="F224" t="s">
        <v>13</v>
      </c>
      <c r="G224" t="s">
        <v>525</v>
      </c>
    </row>
    <row r="225" spans="1:7" x14ac:dyDescent="0.3">
      <c r="A225">
        <v>0</v>
      </c>
      <c r="B225" t="s">
        <v>314</v>
      </c>
      <c r="C225" t="s">
        <v>413</v>
      </c>
      <c r="D225" t="s">
        <v>2</v>
      </c>
      <c r="E225" t="s">
        <v>413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392</v>
      </c>
      <c r="D226" t="s">
        <v>2</v>
      </c>
      <c r="E226" t="s">
        <v>392</v>
      </c>
      <c r="F226" t="s">
        <v>13</v>
      </c>
      <c r="G226" t="s">
        <v>525</v>
      </c>
    </row>
    <row r="227" spans="1:7" x14ac:dyDescent="0.3">
      <c r="A227">
        <v>0</v>
      </c>
      <c r="B227" t="s">
        <v>319</v>
      </c>
      <c r="C227" t="s">
        <v>422</v>
      </c>
      <c r="D227" t="s">
        <v>2</v>
      </c>
      <c r="E227" t="s">
        <v>422</v>
      </c>
      <c r="F227" t="s">
        <v>13</v>
      </c>
      <c r="G227" t="s">
        <v>525</v>
      </c>
    </row>
    <row r="228" spans="1:7" x14ac:dyDescent="0.3">
      <c r="A228">
        <v>0</v>
      </c>
      <c r="B228" t="s">
        <v>314</v>
      </c>
      <c r="C228" t="s">
        <v>495</v>
      </c>
      <c r="D228" t="s">
        <v>494</v>
      </c>
      <c r="E228" t="s">
        <v>495</v>
      </c>
      <c r="F228" t="s">
        <v>13</v>
      </c>
      <c r="G228" t="s">
        <v>525</v>
      </c>
    </row>
    <row r="229" spans="1:7" x14ac:dyDescent="0.3">
      <c r="A229">
        <v>0</v>
      </c>
      <c r="B229" t="s">
        <v>314</v>
      </c>
      <c r="C229" t="s">
        <v>497</v>
      </c>
      <c r="D229" t="s">
        <v>494</v>
      </c>
      <c r="E229" t="s">
        <v>497</v>
      </c>
      <c r="F229" t="s">
        <v>13</v>
      </c>
      <c r="G229" t="s">
        <v>525</v>
      </c>
    </row>
    <row r="230" spans="1:7" x14ac:dyDescent="0.3">
      <c r="A230">
        <v>0</v>
      </c>
      <c r="B230" t="s">
        <v>314</v>
      </c>
      <c r="C230" t="s">
        <v>496</v>
      </c>
      <c r="D230" t="s">
        <v>494</v>
      </c>
      <c r="E230" t="s">
        <v>496</v>
      </c>
      <c r="F230" t="s">
        <v>13</v>
      </c>
      <c r="G230" t="s">
        <v>525</v>
      </c>
    </row>
    <row r="231" spans="1:7" x14ac:dyDescent="0.3">
      <c r="A231">
        <v>0</v>
      </c>
      <c r="B231" t="s">
        <v>312</v>
      </c>
      <c r="C231" t="s">
        <v>513</v>
      </c>
      <c r="D231" t="s">
        <v>498</v>
      </c>
      <c r="E231" t="s">
        <v>513</v>
      </c>
      <c r="F231" t="s">
        <v>13</v>
      </c>
      <c r="G231" t="s">
        <v>525</v>
      </c>
    </row>
    <row r="232" spans="1:7" x14ac:dyDescent="0.3">
      <c r="A232">
        <v>0</v>
      </c>
      <c r="B232" t="s">
        <v>312</v>
      </c>
      <c r="C232" t="s">
        <v>515</v>
      </c>
      <c r="D232" t="s">
        <v>498</v>
      </c>
      <c r="E232" t="s">
        <v>515</v>
      </c>
      <c r="F232" t="s">
        <v>13</v>
      </c>
      <c r="G232" t="s">
        <v>525</v>
      </c>
    </row>
    <row r="233" spans="1:7" x14ac:dyDescent="0.3">
      <c r="A233">
        <v>0</v>
      </c>
      <c r="B233" t="s">
        <v>312</v>
      </c>
      <c r="C233" t="s">
        <v>509</v>
      </c>
      <c r="D233" t="s">
        <v>498</v>
      </c>
      <c r="E233" t="s">
        <v>509</v>
      </c>
      <c r="F233" t="s">
        <v>13</v>
      </c>
      <c r="G233" t="s">
        <v>525</v>
      </c>
    </row>
    <row r="234" spans="1:7" x14ac:dyDescent="0.3">
      <c r="A234">
        <v>0</v>
      </c>
      <c r="B234" t="s">
        <v>312</v>
      </c>
      <c r="C234" t="s">
        <v>502</v>
      </c>
      <c r="D234" t="s">
        <v>498</v>
      </c>
      <c r="E234" t="s">
        <v>502</v>
      </c>
      <c r="F234" t="s">
        <v>13</v>
      </c>
      <c r="G234" t="s">
        <v>525</v>
      </c>
    </row>
    <row r="235" spans="1:7" x14ac:dyDescent="0.3">
      <c r="A235">
        <v>0</v>
      </c>
      <c r="B235" t="s">
        <v>312</v>
      </c>
      <c r="C235" t="s">
        <v>500</v>
      </c>
      <c r="D235" t="s">
        <v>498</v>
      </c>
      <c r="E235" t="s">
        <v>500</v>
      </c>
      <c r="F235" t="s">
        <v>13</v>
      </c>
      <c r="G235" t="s">
        <v>525</v>
      </c>
    </row>
    <row r="236" spans="1:7" x14ac:dyDescent="0.3">
      <c r="A236">
        <v>0</v>
      </c>
      <c r="B236" t="s">
        <v>507</v>
      </c>
      <c r="C236" t="s">
        <v>506</v>
      </c>
      <c r="D236" t="s">
        <v>498</v>
      </c>
      <c r="E236" t="s">
        <v>506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514</v>
      </c>
      <c r="D237" t="s">
        <v>498</v>
      </c>
      <c r="E237" t="s">
        <v>514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499</v>
      </c>
      <c r="D238" t="s">
        <v>498</v>
      </c>
      <c r="E238" t="s">
        <v>499</v>
      </c>
      <c r="F238" t="s">
        <v>13</v>
      </c>
      <c r="G238" t="s">
        <v>525</v>
      </c>
    </row>
    <row r="239" spans="1:7" x14ac:dyDescent="0.3">
      <c r="A239">
        <v>0</v>
      </c>
      <c r="B239" t="s">
        <v>312</v>
      </c>
      <c r="C239" t="s">
        <v>508</v>
      </c>
      <c r="D239" t="s">
        <v>498</v>
      </c>
      <c r="E239" t="s">
        <v>508</v>
      </c>
      <c r="F239" t="s">
        <v>13</v>
      </c>
      <c r="G239" t="s">
        <v>525</v>
      </c>
    </row>
    <row r="240" spans="1:7" x14ac:dyDescent="0.3">
      <c r="A240">
        <v>0</v>
      </c>
      <c r="B240" t="s">
        <v>312</v>
      </c>
      <c r="C240" t="s">
        <v>519</v>
      </c>
      <c r="D240" t="s">
        <v>498</v>
      </c>
      <c r="E240" t="s">
        <v>519</v>
      </c>
      <c r="F240" t="s">
        <v>13</v>
      </c>
      <c r="G240" t="s">
        <v>525</v>
      </c>
    </row>
    <row r="241" spans="1:7" x14ac:dyDescent="0.3">
      <c r="A241">
        <v>0</v>
      </c>
      <c r="B241" t="s">
        <v>312</v>
      </c>
      <c r="C241" t="s">
        <v>510</v>
      </c>
      <c r="D241" t="s">
        <v>498</v>
      </c>
      <c r="E241" t="s">
        <v>510</v>
      </c>
      <c r="F241" t="s">
        <v>13</v>
      </c>
      <c r="G241" t="s">
        <v>525</v>
      </c>
    </row>
    <row r="242" spans="1:7" x14ac:dyDescent="0.3">
      <c r="A242">
        <v>0</v>
      </c>
      <c r="B242" t="s">
        <v>312</v>
      </c>
      <c r="C242" t="s">
        <v>521</v>
      </c>
      <c r="D242" t="s">
        <v>498</v>
      </c>
      <c r="E242" t="s">
        <v>521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501</v>
      </c>
      <c r="D243" t="s">
        <v>498</v>
      </c>
      <c r="E243" t="s">
        <v>501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504</v>
      </c>
      <c r="D244" t="s">
        <v>498</v>
      </c>
      <c r="E244" t="s">
        <v>504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t="s">
        <v>520</v>
      </c>
      <c r="D245" t="s">
        <v>498</v>
      </c>
      <c r="E245" t="s">
        <v>520</v>
      </c>
      <c r="F245" t="s">
        <v>13</v>
      </c>
      <c r="G245" t="s">
        <v>525</v>
      </c>
    </row>
    <row r="246" spans="1:7" x14ac:dyDescent="0.3">
      <c r="A246">
        <v>0</v>
      </c>
      <c r="B246" t="s">
        <v>312</v>
      </c>
      <c r="C246" t="s">
        <v>523</v>
      </c>
      <c r="D246" t="s">
        <v>498</v>
      </c>
      <c r="E246" t="s">
        <v>523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503</v>
      </c>
      <c r="D247" t="s">
        <v>498</v>
      </c>
      <c r="E247" t="s">
        <v>503</v>
      </c>
      <c r="F247" t="s">
        <v>13</v>
      </c>
      <c r="G247" t="s">
        <v>525</v>
      </c>
    </row>
    <row r="248" spans="1:7" x14ac:dyDescent="0.3">
      <c r="A248">
        <v>0</v>
      </c>
      <c r="B248" t="s">
        <v>312</v>
      </c>
      <c r="C248" t="s">
        <v>512</v>
      </c>
      <c r="D248" t="s">
        <v>498</v>
      </c>
      <c r="E248" t="s">
        <v>512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505</v>
      </c>
      <c r="D249" t="s">
        <v>498</v>
      </c>
      <c r="E249" t="s">
        <v>505</v>
      </c>
      <c r="F249" t="s">
        <v>13</v>
      </c>
      <c r="G249" t="s">
        <v>525</v>
      </c>
    </row>
    <row r="250" spans="1:7" x14ac:dyDescent="0.3">
      <c r="A250">
        <v>0</v>
      </c>
      <c r="B250" t="s">
        <v>312</v>
      </c>
      <c r="C250" t="s">
        <v>518</v>
      </c>
      <c r="D250" t="s">
        <v>498</v>
      </c>
      <c r="E250" t="s">
        <v>518</v>
      </c>
      <c r="F250" t="s">
        <v>13</v>
      </c>
      <c r="G250" t="s">
        <v>525</v>
      </c>
    </row>
    <row r="251" spans="1:7" x14ac:dyDescent="0.3">
      <c r="A251">
        <v>0</v>
      </c>
      <c r="B251" t="s">
        <v>312</v>
      </c>
      <c r="C251" t="s">
        <v>522</v>
      </c>
      <c r="D251" t="s">
        <v>498</v>
      </c>
      <c r="E251" t="s">
        <v>522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516</v>
      </c>
      <c r="D252" t="s">
        <v>498</v>
      </c>
      <c r="E252" t="s">
        <v>516</v>
      </c>
      <c r="F252" t="s">
        <v>13</v>
      </c>
      <c r="G252" t="s">
        <v>525</v>
      </c>
    </row>
    <row r="253" spans="1:7" x14ac:dyDescent="0.3">
      <c r="A253">
        <v>0</v>
      </c>
      <c r="B253" t="s">
        <v>312</v>
      </c>
      <c r="C253" t="s">
        <v>517</v>
      </c>
      <c r="D253" t="s">
        <v>498</v>
      </c>
      <c r="E253" t="s">
        <v>517</v>
      </c>
      <c r="F253" t="s">
        <v>13</v>
      </c>
      <c r="G253" t="s">
        <v>525</v>
      </c>
    </row>
    <row r="254" spans="1:7" x14ac:dyDescent="0.3">
      <c r="A254">
        <v>0</v>
      </c>
      <c r="B254" t="s">
        <v>16</v>
      </c>
      <c r="C254" s="2" t="s">
        <v>22</v>
      </c>
      <c r="D254" t="s">
        <v>2</v>
      </c>
      <c r="E254" s="2" t="s">
        <v>22</v>
      </c>
      <c r="F254" t="s">
        <v>13</v>
      </c>
      <c r="G254" t="s">
        <v>525</v>
      </c>
    </row>
    <row r="255" spans="1:7" x14ac:dyDescent="0.3">
      <c r="A255">
        <v>0</v>
      </c>
      <c r="B255" t="s">
        <v>16</v>
      </c>
      <c r="C255" s="2" t="s">
        <v>49</v>
      </c>
      <c r="D255" t="s">
        <v>2</v>
      </c>
      <c r="E255" s="2" t="s">
        <v>49</v>
      </c>
      <c r="F255" t="s">
        <v>13</v>
      </c>
      <c r="G255" t="s">
        <v>525</v>
      </c>
    </row>
    <row r="256" spans="1:7" x14ac:dyDescent="0.3">
      <c r="A256">
        <v>0</v>
      </c>
      <c r="B256" t="s">
        <v>312</v>
      </c>
      <c r="C256" s="2" t="s">
        <v>55</v>
      </c>
      <c r="D256" t="s">
        <v>2</v>
      </c>
      <c r="E256" s="2" t="s">
        <v>55</v>
      </c>
      <c r="F256" t="s">
        <v>13</v>
      </c>
      <c r="G256" t="s">
        <v>525</v>
      </c>
    </row>
    <row r="257" spans="1:7" x14ac:dyDescent="0.3">
      <c r="A257">
        <v>0</v>
      </c>
      <c r="B257" t="s">
        <v>312</v>
      </c>
      <c r="C257" t="s">
        <v>59</v>
      </c>
      <c r="D257" t="s">
        <v>2</v>
      </c>
      <c r="E257" t="s">
        <v>59</v>
      </c>
      <c r="F257" t="s">
        <v>13</v>
      </c>
      <c r="G257" t="s">
        <v>525</v>
      </c>
    </row>
    <row r="258" spans="1:7" x14ac:dyDescent="0.3">
      <c r="A258">
        <v>0</v>
      </c>
      <c r="B258" t="s">
        <v>16</v>
      </c>
      <c r="C258" s="2" t="s">
        <v>61</v>
      </c>
      <c r="D258" t="s">
        <v>2</v>
      </c>
      <c r="E258" s="2" t="s">
        <v>61</v>
      </c>
      <c r="F258" t="s">
        <v>13</v>
      </c>
      <c r="G258" t="s">
        <v>525</v>
      </c>
    </row>
    <row r="259" spans="1:7" x14ac:dyDescent="0.3">
      <c r="A259">
        <v>0</v>
      </c>
      <c r="B259" t="s">
        <v>312</v>
      </c>
      <c r="C259" s="2" t="s">
        <v>67</v>
      </c>
      <c r="D259" t="s">
        <v>2</v>
      </c>
      <c r="E259" s="2" t="s">
        <v>67</v>
      </c>
      <c r="F259" t="s">
        <v>13</v>
      </c>
      <c r="G259" t="s">
        <v>525</v>
      </c>
    </row>
    <row r="260" spans="1:7" x14ac:dyDescent="0.3">
      <c r="A260">
        <v>0</v>
      </c>
      <c r="B260" t="s">
        <v>312</v>
      </c>
      <c r="C260" t="s">
        <v>73</v>
      </c>
      <c r="D260" t="s">
        <v>2</v>
      </c>
      <c r="E260" t="s">
        <v>73</v>
      </c>
      <c r="F260" t="s">
        <v>13</v>
      </c>
      <c r="G260" t="s">
        <v>525</v>
      </c>
    </row>
    <row r="261" spans="1:7" x14ac:dyDescent="0.3">
      <c r="A261">
        <v>0</v>
      </c>
      <c r="B261" t="s">
        <v>312</v>
      </c>
      <c r="C261" t="s">
        <v>79</v>
      </c>
      <c r="D261" t="s">
        <v>2</v>
      </c>
      <c r="E261" t="s">
        <v>79</v>
      </c>
      <c r="F261" t="s">
        <v>13</v>
      </c>
      <c r="G261" t="s">
        <v>525</v>
      </c>
    </row>
    <row r="262" spans="1:7" x14ac:dyDescent="0.3">
      <c r="A262">
        <v>0</v>
      </c>
      <c r="B262" t="s">
        <v>312</v>
      </c>
      <c r="C262" t="s">
        <v>82</v>
      </c>
      <c r="D262" t="s">
        <v>2</v>
      </c>
      <c r="E262" t="s">
        <v>82</v>
      </c>
      <c r="F262" t="s">
        <v>13</v>
      </c>
      <c r="G262" t="s">
        <v>525</v>
      </c>
    </row>
    <row r="263" spans="1:7" x14ac:dyDescent="0.3">
      <c r="A263">
        <v>0</v>
      </c>
      <c r="B263" t="s">
        <v>312</v>
      </c>
      <c r="C263" t="s">
        <v>85</v>
      </c>
      <c r="D263" t="s">
        <v>2</v>
      </c>
      <c r="E263" t="s">
        <v>85</v>
      </c>
      <c r="F263" t="s">
        <v>13</v>
      </c>
      <c r="G263" t="s">
        <v>525</v>
      </c>
    </row>
    <row r="264" spans="1:7" x14ac:dyDescent="0.3">
      <c r="A264">
        <v>0</v>
      </c>
      <c r="B264" t="s">
        <v>312</v>
      </c>
      <c r="C264" t="s">
        <v>88</v>
      </c>
      <c r="D264" t="s">
        <v>2</v>
      </c>
      <c r="E264" t="s">
        <v>88</v>
      </c>
      <c r="F264" t="s">
        <v>13</v>
      </c>
      <c r="G264" t="s">
        <v>525</v>
      </c>
    </row>
    <row r="265" spans="1:7" x14ac:dyDescent="0.3">
      <c r="A265">
        <v>0</v>
      </c>
      <c r="B265" t="s">
        <v>312</v>
      </c>
      <c r="C265" t="s">
        <v>91</v>
      </c>
      <c r="D265" t="s">
        <v>2</v>
      </c>
      <c r="E265" t="s">
        <v>91</v>
      </c>
      <c r="F265" t="s">
        <v>13</v>
      </c>
      <c r="G265" t="s">
        <v>525</v>
      </c>
    </row>
    <row r="266" spans="1:7" x14ac:dyDescent="0.3">
      <c r="A266">
        <v>0</v>
      </c>
      <c r="B266" t="s">
        <v>312</v>
      </c>
      <c r="C266" t="s">
        <v>94</v>
      </c>
      <c r="D266" t="s">
        <v>2</v>
      </c>
      <c r="E266" t="s">
        <v>94</v>
      </c>
      <c r="F266" t="s">
        <v>13</v>
      </c>
      <c r="G266" t="s">
        <v>525</v>
      </c>
    </row>
    <row r="267" spans="1:7" x14ac:dyDescent="0.3">
      <c r="A267">
        <v>0</v>
      </c>
      <c r="B267" t="s">
        <v>312</v>
      </c>
      <c r="C267" t="s">
        <v>97</v>
      </c>
      <c r="D267" t="s">
        <v>2</v>
      </c>
      <c r="E267" t="s">
        <v>97</v>
      </c>
      <c r="F267" t="s">
        <v>13</v>
      </c>
      <c r="G267" t="s">
        <v>525</v>
      </c>
    </row>
    <row r="268" spans="1:7" x14ac:dyDescent="0.3">
      <c r="A268">
        <v>0</v>
      </c>
      <c r="B268" t="s">
        <v>312</v>
      </c>
      <c r="C268" t="s">
        <v>100</v>
      </c>
      <c r="D268" t="s">
        <v>2</v>
      </c>
      <c r="E268" t="s">
        <v>100</v>
      </c>
      <c r="F268" t="s">
        <v>13</v>
      </c>
      <c r="G268" t="s">
        <v>525</v>
      </c>
    </row>
  </sheetData>
  <pageMargins left="0.75" right="0.75" top="1" bottom="1" header="0.5" footer="0.5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268"/>
  <sheetViews>
    <sheetView workbookViewId="0">
      <selection activeCell="A2" sqref="A2:H268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1.1299999999999999</v>
      </c>
      <c r="B2" t="s">
        <v>57</v>
      </c>
      <c r="C2" t="s">
        <v>690</v>
      </c>
      <c r="D2" t="s">
        <v>2</v>
      </c>
      <c r="E2" t="s">
        <v>79</v>
      </c>
      <c r="F2" s="4" t="s">
        <v>13</v>
      </c>
      <c r="G2" t="s">
        <v>525</v>
      </c>
      <c r="H2" t="s">
        <v>626</v>
      </c>
    </row>
    <row r="3" spans="1:9" x14ac:dyDescent="0.3">
      <c r="A3">
        <v>1.6016713091922004</v>
      </c>
      <c r="B3" t="s">
        <v>57</v>
      </c>
      <c r="C3" t="s">
        <v>665</v>
      </c>
      <c r="D3" t="s">
        <v>2</v>
      </c>
      <c r="E3" t="s">
        <v>149</v>
      </c>
      <c r="F3" t="s">
        <v>13</v>
      </c>
      <c r="G3" t="s">
        <v>525</v>
      </c>
      <c r="H3" t="s">
        <v>626</v>
      </c>
    </row>
    <row r="4" spans="1:9" x14ac:dyDescent="0.3">
      <c r="A4">
        <v>5.0139275766016712E-2</v>
      </c>
      <c r="B4" t="s">
        <v>57</v>
      </c>
      <c r="C4" t="s">
        <v>693</v>
      </c>
      <c r="D4" t="s">
        <v>2</v>
      </c>
      <c r="E4" t="s">
        <v>112</v>
      </c>
      <c r="F4" t="s">
        <v>13</v>
      </c>
      <c r="G4" t="s">
        <v>525</v>
      </c>
      <c r="H4" t="s">
        <v>626</v>
      </c>
    </row>
    <row r="5" spans="1:9" x14ac:dyDescent="0.3">
      <c r="A5">
        <v>0.34818941504178275</v>
      </c>
      <c r="B5" t="s">
        <v>57</v>
      </c>
      <c r="C5" t="s">
        <v>666</v>
      </c>
      <c r="D5" t="s">
        <v>2</v>
      </c>
      <c r="E5" t="s">
        <v>149</v>
      </c>
      <c r="F5" t="s">
        <v>13</v>
      </c>
      <c r="G5" t="s">
        <v>525</v>
      </c>
      <c r="H5" t="s">
        <v>626</v>
      </c>
    </row>
    <row r="6" spans="1:9" x14ac:dyDescent="0.3">
      <c r="A6">
        <f>$A$2*'[1]MGS prod'!I11</f>
        <v>0</v>
      </c>
      <c r="B6" t="s">
        <v>314</v>
      </c>
      <c r="C6" t="s">
        <v>620</v>
      </c>
      <c r="D6" t="s">
        <v>2</v>
      </c>
      <c r="E6" s="2" t="s">
        <v>455</v>
      </c>
      <c r="F6" t="s">
        <v>13</v>
      </c>
      <c r="G6" t="s">
        <v>525</v>
      </c>
      <c r="H6" t="s">
        <v>621</v>
      </c>
    </row>
    <row r="7" spans="1:9" x14ac:dyDescent="0.3">
      <c r="A7">
        <f>$A$2*'[1]MGS prod'!I12</f>
        <v>1.3819057173058638E-7</v>
      </c>
      <c r="B7" t="s">
        <v>314</v>
      </c>
      <c r="C7" t="s">
        <v>622</v>
      </c>
      <c r="D7" t="s">
        <v>2</v>
      </c>
      <c r="E7" s="2" t="s">
        <v>409</v>
      </c>
      <c r="F7" t="s">
        <v>13</v>
      </c>
      <c r="G7" t="s">
        <v>525</v>
      </c>
      <c r="H7" t="s">
        <v>621</v>
      </c>
    </row>
    <row r="8" spans="1:9" x14ac:dyDescent="0.3">
      <c r="A8">
        <f>$A$2*'[1]MGS prod'!I13</f>
        <v>1.8538851659853049E-7</v>
      </c>
      <c r="B8" t="s">
        <v>314</v>
      </c>
      <c r="C8" t="s">
        <v>623</v>
      </c>
      <c r="D8" t="s">
        <v>2</v>
      </c>
      <c r="E8" s="2" t="s">
        <v>443</v>
      </c>
      <c r="F8" t="s">
        <v>13</v>
      </c>
      <c r="G8" t="s">
        <v>525</v>
      </c>
      <c r="H8" t="s">
        <v>621</v>
      </c>
    </row>
    <row r="9" spans="1:9" x14ac:dyDescent="0.3">
      <c r="A9">
        <v>49</v>
      </c>
      <c r="B9" t="s">
        <v>542</v>
      </c>
      <c r="C9" t="s">
        <v>648</v>
      </c>
      <c r="D9" t="s">
        <v>2</v>
      </c>
      <c r="E9" t="s">
        <v>111</v>
      </c>
      <c r="F9" t="s">
        <v>13</v>
      </c>
      <c r="G9" t="s">
        <v>525</v>
      </c>
      <c r="H9" t="s">
        <v>626</v>
      </c>
    </row>
    <row r="10" spans="1:9" x14ac:dyDescent="0.3">
      <c r="A10">
        <v>28.8</v>
      </c>
      <c r="B10" t="s">
        <v>527</v>
      </c>
      <c r="C10" t="s">
        <v>725</v>
      </c>
      <c r="D10" t="s">
        <v>2</v>
      </c>
      <c r="E10" t="s">
        <v>469</v>
      </c>
      <c r="F10" t="s">
        <v>13</v>
      </c>
      <c r="G10" t="s">
        <v>525</v>
      </c>
      <c r="H10" t="s">
        <v>626</v>
      </c>
    </row>
    <row r="11" spans="1:9" x14ac:dyDescent="0.3">
      <c r="A11">
        <v>2.9956135658500056E-7</v>
      </c>
      <c r="B11" t="s">
        <v>314</v>
      </c>
      <c r="C11" t="s">
        <v>654</v>
      </c>
      <c r="D11" t="s">
        <v>2</v>
      </c>
      <c r="E11" s="2" t="s">
        <v>449</v>
      </c>
      <c r="F11" t="s">
        <v>13</v>
      </c>
      <c r="G11" t="s">
        <v>525</v>
      </c>
      <c r="H11" t="s">
        <v>655</v>
      </c>
    </row>
    <row r="12" spans="1:9" x14ac:dyDescent="0.3">
      <c r="A12">
        <v>1.6475874612175031E-6</v>
      </c>
      <c r="B12" t="s">
        <v>314</v>
      </c>
      <c r="C12" t="s">
        <v>656</v>
      </c>
      <c r="D12" t="s">
        <v>2</v>
      </c>
      <c r="E12" s="2" t="s">
        <v>487</v>
      </c>
      <c r="F12" t="s">
        <v>13</v>
      </c>
      <c r="G12" t="s">
        <v>525</v>
      </c>
      <c r="H12" t="s">
        <v>655</v>
      </c>
    </row>
    <row r="13" spans="1:9" x14ac:dyDescent="0.3">
      <c r="A13">
        <v>6.0268891979601298E-7</v>
      </c>
      <c r="B13" t="s">
        <v>314</v>
      </c>
      <c r="C13" t="s">
        <v>495</v>
      </c>
      <c r="D13" t="s">
        <v>494</v>
      </c>
      <c r="E13" t="s">
        <v>495</v>
      </c>
      <c r="F13" t="s">
        <v>13</v>
      </c>
      <c r="G13" t="s">
        <v>525</v>
      </c>
      <c r="H13" t="s">
        <v>655</v>
      </c>
    </row>
    <row r="14" spans="1:9" x14ac:dyDescent="0.3">
      <c r="A14">
        <v>2.9670839128419101E-6</v>
      </c>
      <c r="B14" t="s">
        <v>314</v>
      </c>
      <c r="C14" t="s">
        <v>496</v>
      </c>
      <c r="D14" t="s">
        <v>494</v>
      </c>
      <c r="E14" s="2" t="s">
        <v>496</v>
      </c>
      <c r="F14" t="s">
        <v>13</v>
      </c>
      <c r="G14" t="s">
        <v>525</v>
      </c>
      <c r="H14" t="s">
        <v>655</v>
      </c>
    </row>
    <row r="15" spans="1:9" x14ac:dyDescent="0.3">
      <c r="A15">
        <v>2.5961984237366715E-6</v>
      </c>
      <c r="B15" t="s">
        <v>314</v>
      </c>
      <c r="C15" t="s">
        <v>497</v>
      </c>
      <c r="D15" t="s">
        <v>494</v>
      </c>
      <c r="E15" s="2" t="s">
        <v>497</v>
      </c>
      <c r="F15" t="s">
        <v>13</v>
      </c>
      <c r="G15" t="s">
        <v>525</v>
      </c>
      <c r="H15" t="s">
        <v>655</v>
      </c>
    </row>
    <row r="16" spans="1:9" x14ac:dyDescent="0.3">
      <c r="A16" s="5">
        <v>5.0000000000000004E-8</v>
      </c>
      <c r="B16" t="s">
        <v>507</v>
      </c>
      <c r="C16" t="s">
        <v>506</v>
      </c>
      <c r="D16" t="s">
        <v>498</v>
      </c>
      <c r="E16" s="2" t="s">
        <v>506</v>
      </c>
      <c r="F16" t="s">
        <v>13</v>
      </c>
      <c r="G16" t="s">
        <v>525</v>
      </c>
      <c r="H16" t="s">
        <v>655</v>
      </c>
    </row>
    <row r="17" spans="1:8" x14ac:dyDescent="0.3">
      <c r="A17">
        <v>3.5991174853372436E-2</v>
      </c>
      <c r="B17" t="s">
        <v>57</v>
      </c>
      <c r="C17" t="s">
        <v>694</v>
      </c>
      <c r="D17" t="s">
        <v>498</v>
      </c>
      <c r="E17" t="s">
        <v>516</v>
      </c>
      <c r="F17" t="s">
        <v>13</v>
      </c>
      <c r="G17" t="s">
        <v>525</v>
      </c>
      <c r="H17" t="s">
        <v>726</v>
      </c>
    </row>
    <row r="18" spans="1:8" x14ac:dyDescent="0.3">
      <c r="A18">
        <v>1.0235520527859239E-7</v>
      </c>
      <c r="B18" t="s">
        <v>57</v>
      </c>
      <c r="C18" t="s">
        <v>695</v>
      </c>
      <c r="D18" t="s">
        <v>498</v>
      </c>
      <c r="E18" t="s">
        <v>505</v>
      </c>
      <c r="F18" t="s">
        <v>13</v>
      </c>
      <c r="G18" t="s">
        <v>525</v>
      </c>
      <c r="H18" t="s">
        <v>726</v>
      </c>
    </row>
    <row r="19" spans="1:8" x14ac:dyDescent="0.3">
      <c r="A19">
        <v>2.0751466275659822E-4</v>
      </c>
      <c r="B19" t="s">
        <v>57</v>
      </c>
      <c r="C19" t="s">
        <v>696</v>
      </c>
      <c r="D19" t="s">
        <v>498</v>
      </c>
      <c r="E19" t="s">
        <v>510</v>
      </c>
      <c r="F19" t="s">
        <v>13</v>
      </c>
      <c r="G19" t="s">
        <v>525</v>
      </c>
      <c r="H19" t="s">
        <v>726</v>
      </c>
    </row>
    <row r="20" spans="1:8" x14ac:dyDescent="0.3">
      <c r="A20">
        <v>2.8042521994134892E-6</v>
      </c>
      <c r="B20" t="s">
        <v>57</v>
      </c>
      <c r="C20" t="s">
        <v>697</v>
      </c>
      <c r="D20" t="s">
        <v>498</v>
      </c>
      <c r="E20" t="s">
        <v>517</v>
      </c>
      <c r="F20" t="s">
        <v>13</v>
      </c>
      <c r="G20" t="s">
        <v>525</v>
      </c>
      <c r="H20" t="s">
        <v>726</v>
      </c>
    </row>
    <row r="21" spans="1:8" x14ac:dyDescent="0.3">
      <c r="A21">
        <v>3.3789836876832846E-2</v>
      </c>
      <c r="B21" t="s">
        <v>57</v>
      </c>
      <c r="C21" t="s">
        <v>698</v>
      </c>
      <c r="D21" t="s">
        <v>498</v>
      </c>
      <c r="E21" t="s">
        <v>516</v>
      </c>
      <c r="F21" t="s">
        <v>13</v>
      </c>
      <c r="G21" t="s">
        <v>525</v>
      </c>
      <c r="H21" t="s">
        <v>726</v>
      </c>
    </row>
    <row r="22" spans="1:8" x14ac:dyDescent="0.3">
      <c r="A22">
        <v>1.9629765395894428E-6</v>
      </c>
      <c r="B22" t="s">
        <v>57</v>
      </c>
      <c r="C22" t="s">
        <v>699</v>
      </c>
      <c r="D22" t="s">
        <v>498</v>
      </c>
      <c r="E22" t="s">
        <v>523</v>
      </c>
      <c r="F22" t="s">
        <v>13</v>
      </c>
      <c r="G22" t="s">
        <v>525</v>
      </c>
      <c r="H22" t="s">
        <v>726</v>
      </c>
    </row>
    <row r="23" spans="1:8" x14ac:dyDescent="0.3">
      <c r="A23">
        <v>5.6085043988269784E-6</v>
      </c>
      <c r="B23" t="s">
        <v>57</v>
      </c>
      <c r="C23" t="s">
        <v>700</v>
      </c>
      <c r="D23" t="s">
        <v>498</v>
      </c>
      <c r="E23" t="s">
        <v>516</v>
      </c>
      <c r="F23" t="s">
        <v>13</v>
      </c>
      <c r="G23" t="s">
        <v>525</v>
      </c>
      <c r="H23" t="s">
        <v>726</v>
      </c>
    </row>
    <row r="24" spans="1:8" x14ac:dyDescent="0.3">
      <c r="A24">
        <v>0</v>
      </c>
      <c r="B24" t="s">
        <v>312</v>
      </c>
      <c r="C24" t="s">
        <v>483</v>
      </c>
      <c r="D24" t="s">
        <v>2</v>
      </c>
      <c r="E24" t="s">
        <v>483</v>
      </c>
      <c r="F24" t="s">
        <v>13</v>
      </c>
      <c r="G24" t="s">
        <v>525</v>
      </c>
    </row>
    <row r="25" spans="1:8" x14ac:dyDescent="0.3">
      <c r="A25">
        <v>0</v>
      </c>
      <c r="B25" t="s">
        <v>105</v>
      </c>
      <c r="C25" t="s">
        <v>125</v>
      </c>
      <c r="D25" t="s">
        <v>2</v>
      </c>
      <c r="E25" t="s">
        <v>125</v>
      </c>
      <c r="F25" t="s">
        <v>13</v>
      </c>
      <c r="G25" t="s">
        <v>525</v>
      </c>
    </row>
    <row r="26" spans="1:8" x14ac:dyDescent="0.3">
      <c r="A26">
        <v>0</v>
      </c>
      <c r="B26" t="s">
        <v>319</v>
      </c>
      <c r="C26" t="s">
        <v>461</v>
      </c>
      <c r="D26" t="s">
        <v>2</v>
      </c>
      <c r="E26" t="s">
        <v>461</v>
      </c>
      <c r="F26" t="s">
        <v>13</v>
      </c>
      <c r="G26" t="s">
        <v>525</v>
      </c>
    </row>
    <row r="27" spans="1:8" x14ac:dyDescent="0.3">
      <c r="A27">
        <v>0</v>
      </c>
      <c r="B27" t="s">
        <v>314</v>
      </c>
      <c r="C27" t="s">
        <v>395</v>
      </c>
      <c r="D27" t="s">
        <v>2</v>
      </c>
      <c r="E27" t="s">
        <v>395</v>
      </c>
      <c r="F27" t="s">
        <v>13</v>
      </c>
      <c r="G27" t="s">
        <v>525</v>
      </c>
    </row>
    <row r="28" spans="1:8" x14ac:dyDescent="0.3">
      <c r="A28">
        <v>0</v>
      </c>
      <c r="B28" t="s">
        <v>312</v>
      </c>
      <c r="C28" t="s">
        <v>399</v>
      </c>
      <c r="D28" t="s">
        <v>2</v>
      </c>
      <c r="E28" t="s">
        <v>399</v>
      </c>
      <c r="F28" t="s">
        <v>13</v>
      </c>
      <c r="G28" t="s">
        <v>525</v>
      </c>
    </row>
    <row r="29" spans="1:8" x14ac:dyDescent="0.3">
      <c r="A29">
        <v>0</v>
      </c>
      <c r="B29" t="s">
        <v>314</v>
      </c>
      <c r="C29" t="s">
        <v>432</v>
      </c>
      <c r="D29" t="s">
        <v>2</v>
      </c>
      <c r="E29" t="s">
        <v>432</v>
      </c>
      <c r="F29" t="s">
        <v>13</v>
      </c>
      <c r="G29" t="s">
        <v>525</v>
      </c>
    </row>
    <row r="30" spans="1:8" x14ac:dyDescent="0.3">
      <c r="A30">
        <v>0</v>
      </c>
      <c r="B30" t="s">
        <v>312</v>
      </c>
      <c r="C30" t="s">
        <v>325</v>
      </c>
      <c r="D30" t="s">
        <v>2</v>
      </c>
      <c r="E30" t="s">
        <v>325</v>
      </c>
      <c r="F30" t="s">
        <v>13</v>
      </c>
      <c r="G30" t="s">
        <v>525</v>
      </c>
    </row>
    <row r="31" spans="1:8" x14ac:dyDescent="0.3">
      <c r="A31">
        <v>0</v>
      </c>
      <c r="B31" t="s">
        <v>314</v>
      </c>
      <c r="C31" t="s">
        <v>372</v>
      </c>
      <c r="D31" t="s">
        <v>2</v>
      </c>
      <c r="E31" t="s">
        <v>372</v>
      </c>
      <c r="F31" t="s">
        <v>13</v>
      </c>
      <c r="G31" t="s">
        <v>525</v>
      </c>
    </row>
    <row r="32" spans="1:8" x14ac:dyDescent="0.3">
      <c r="A32">
        <v>0</v>
      </c>
      <c r="B32" t="s">
        <v>314</v>
      </c>
      <c r="C32" t="s">
        <v>260</v>
      </c>
      <c r="D32" t="s">
        <v>2</v>
      </c>
      <c r="E32" t="s">
        <v>260</v>
      </c>
      <c r="F32" t="s">
        <v>13</v>
      </c>
      <c r="G32" t="s">
        <v>525</v>
      </c>
    </row>
    <row r="33" spans="1:7" x14ac:dyDescent="0.3">
      <c r="A33">
        <v>0</v>
      </c>
      <c r="B33" t="s">
        <v>312</v>
      </c>
      <c r="C33" t="s">
        <v>330</v>
      </c>
      <c r="D33" t="s">
        <v>2</v>
      </c>
      <c r="E33" t="s">
        <v>330</v>
      </c>
      <c r="F33" t="s">
        <v>13</v>
      </c>
      <c r="G33" t="s">
        <v>525</v>
      </c>
    </row>
    <row r="34" spans="1:7" x14ac:dyDescent="0.3">
      <c r="A34">
        <v>0</v>
      </c>
      <c r="B34" t="s">
        <v>105</v>
      </c>
      <c r="C34" t="s">
        <v>401</v>
      </c>
      <c r="D34" t="s">
        <v>2</v>
      </c>
      <c r="E34" t="s">
        <v>401</v>
      </c>
      <c r="F34" t="s">
        <v>13</v>
      </c>
      <c r="G34" t="s">
        <v>525</v>
      </c>
    </row>
    <row r="35" spans="1:7" x14ac:dyDescent="0.3">
      <c r="A35">
        <v>0</v>
      </c>
      <c r="B35" t="s">
        <v>312</v>
      </c>
      <c r="C35" t="s">
        <v>416</v>
      </c>
      <c r="D35" t="s">
        <v>2</v>
      </c>
      <c r="E35" t="s">
        <v>416</v>
      </c>
      <c r="F35" t="s">
        <v>13</v>
      </c>
      <c r="G35" t="s">
        <v>525</v>
      </c>
    </row>
    <row r="36" spans="1:7" x14ac:dyDescent="0.3">
      <c r="A36">
        <v>0</v>
      </c>
      <c r="B36" t="s">
        <v>319</v>
      </c>
      <c r="C36" t="s">
        <v>375</v>
      </c>
      <c r="D36" t="s">
        <v>2</v>
      </c>
      <c r="E36" t="s">
        <v>375</v>
      </c>
      <c r="F36" t="s">
        <v>13</v>
      </c>
      <c r="G36" t="s">
        <v>525</v>
      </c>
    </row>
    <row r="37" spans="1:7" x14ac:dyDescent="0.3">
      <c r="A37">
        <v>0</v>
      </c>
      <c r="B37" t="s">
        <v>312</v>
      </c>
      <c r="C37" t="s">
        <v>333</v>
      </c>
      <c r="D37" t="s">
        <v>2</v>
      </c>
      <c r="E37" t="s">
        <v>333</v>
      </c>
      <c r="F37" t="s">
        <v>13</v>
      </c>
      <c r="G37" t="s">
        <v>525</v>
      </c>
    </row>
    <row r="38" spans="1:7" x14ac:dyDescent="0.3">
      <c r="A38">
        <v>0</v>
      </c>
      <c r="B38" t="s">
        <v>57</v>
      </c>
      <c r="C38" t="s">
        <v>118</v>
      </c>
      <c r="D38" t="s">
        <v>2</v>
      </c>
      <c r="E38" t="s">
        <v>118</v>
      </c>
      <c r="F38" t="s">
        <v>13</v>
      </c>
      <c r="G38" t="s">
        <v>525</v>
      </c>
    </row>
    <row r="39" spans="1:7" x14ac:dyDescent="0.3">
      <c r="A39">
        <v>0</v>
      </c>
      <c r="B39" t="s">
        <v>312</v>
      </c>
      <c r="C39" t="s">
        <v>406</v>
      </c>
      <c r="D39" t="s">
        <v>2</v>
      </c>
      <c r="E39" t="s">
        <v>406</v>
      </c>
      <c r="F39" t="s">
        <v>13</v>
      </c>
      <c r="G39" t="s">
        <v>525</v>
      </c>
    </row>
    <row r="40" spans="1:7" x14ac:dyDescent="0.3">
      <c r="A40">
        <v>0</v>
      </c>
      <c r="B40" t="s">
        <v>312</v>
      </c>
      <c r="C40" t="s">
        <v>315</v>
      </c>
      <c r="D40" t="s">
        <v>2</v>
      </c>
      <c r="E40" t="s">
        <v>315</v>
      </c>
      <c r="F40" t="s">
        <v>13</v>
      </c>
      <c r="G40" t="s">
        <v>525</v>
      </c>
    </row>
    <row r="41" spans="1:7" x14ac:dyDescent="0.3">
      <c r="A41">
        <v>0</v>
      </c>
      <c r="B41" t="s">
        <v>312</v>
      </c>
      <c r="C41" t="s">
        <v>358</v>
      </c>
      <c r="D41" t="s">
        <v>2</v>
      </c>
      <c r="E41" t="s">
        <v>358</v>
      </c>
      <c r="F41" t="s">
        <v>13</v>
      </c>
      <c r="G41" t="s">
        <v>525</v>
      </c>
    </row>
    <row r="42" spans="1:7" x14ac:dyDescent="0.3">
      <c r="A42">
        <v>0</v>
      </c>
      <c r="B42" t="s">
        <v>314</v>
      </c>
      <c r="C42" t="s">
        <v>444</v>
      </c>
      <c r="D42" t="s">
        <v>2</v>
      </c>
      <c r="E42" t="s">
        <v>444</v>
      </c>
      <c r="F42" t="s">
        <v>13</v>
      </c>
      <c r="G42" t="s">
        <v>525</v>
      </c>
    </row>
    <row r="43" spans="1:7" x14ac:dyDescent="0.3">
      <c r="A43">
        <v>0</v>
      </c>
      <c r="B43" t="s">
        <v>312</v>
      </c>
      <c r="C43" t="s">
        <v>439</v>
      </c>
      <c r="D43" t="s">
        <v>2</v>
      </c>
      <c r="E43" t="s">
        <v>439</v>
      </c>
      <c r="F43" t="s">
        <v>13</v>
      </c>
      <c r="G43" t="s">
        <v>525</v>
      </c>
    </row>
    <row r="44" spans="1:7" x14ac:dyDescent="0.3">
      <c r="A44">
        <v>0</v>
      </c>
      <c r="B44" t="s">
        <v>312</v>
      </c>
      <c r="C44" t="s">
        <v>381</v>
      </c>
      <c r="D44" t="s">
        <v>2</v>
      </c>
      <c r="E44" t="s">
        <v>381</v>
      </c>
      <c r="F44" t="s">
        <v>13</v>
      </c>
      <c r="G44" t="s">
        <v>525</v>
      </c>
    </row>
    <row r="45" spans="1:7" x14ac:dyDescent="0.3">
      <c r="A45">
        <v>0</v>
      </c>
      <c r="B45" t="s">
        <v>312</v>
      </c>
      <c r="C45" t="s">
        <v>418</v>
      </c>
      <c r="D45" t="s">
        <v>2</v>
      </c>
      <c r="E45" t="s">
        <v>418</v>
      </c>
      <c r="F45" t="s">
        <v>13</v>
      </c>
      <c r="G45" t="s">
        <v>525</v>
      </c>
    </row>
    <row r="46" spans="1:7" x14ac:dyDescent="0.3">
      <c r="A46">
        <v>0</v>
      </c>
      <c r="B46" t="s">
        <v>314</v>
      </c>
      <c r="C46" t="s">
        <v>465</v>
      </c>
      <c r="D46" t="s">
        <v>2</v>
      </c>
      <c r="E46" t="s">
        <v>465</v>
      </c>
      <c r="F46" t="s">
        <v>13</v>
      </c>
      <c r="G46" t="s">
        <v>525</v>
      </c>
    </row>
    <row r="47" spans="1:7" x14ac:dyDescent="0.3">
      <c r="A47">
        <v>0</v>
      </c>
      <c r="B47" t="s">
        <v>105</v>
      </c>
      <c r="C47" t="s">
        <v>103</v>
      </c>
      <c r="D47" t="s">
        <v>2</v>
      </c>
      <c r="E47" t="s">
        <v>103</v>
      </c>
      <c r="F47" t="s">
        <v>13</v>
      </c>
      <c r="G47" t="s">
        <v>525</v>
      </c>
    </row>
    <row r="48" spans="1:7" x14ac:dyDescent="0.3">
      <c r="A48">
        <v>0</v>
      </c>
      <c r="B48" t="s">
        <v>312</v>
      </c>
      <c r="C48" t="s">
        <v>320</v>
      </c>
      <c r="D48" t="s">
        <v>2</v>
      </c>
      <c r="E48" t="s">
        <v>320</v>
      </c>
      <c r="F48" t="s">
        <v>13</v>
      </c>
      <c r="G48" t="s">
        <v>525</v>
      </c>
    </row>
    <row r="49" spans="1:7" x14ac:dyDescent="0.3">
      <c r="A49">
        <v>0</v>
      </c>
      <c r="B49" t="s">
        <v>312</v>
      </c>
      <c r="C49" t="s">
        <v>334</v>
      </c>
      <c r="D49" t="s">
        <v>2</v>
      </c>
      <c r="E49" t="s">
        <v>334</v>
      </c>
      <c r="F49" t="s">
        <v>13</v>
      </c>
      <c r="G49" t="s">
        <v>525</v>
      </c>
    </row>
    <row r="50" spans="1:7" x14ac:dyDescent="0.3">
      <c r="A50">
        <v>0</v>
      </c>
      <c r="B50" t="s">
        <v>312</v>
      </c>
      <c r="C50" t="s">
        <v>435</v>
      </c>
      <c r="D50" t="s">
        <v>2</v>
      </c>
      <c r="E50" t="s">
        <v>435</v>
      </c>
      <c r="F50" t="s">
        <v>13</v>
      </c>
      <c r="G50" t="s">
        <v>525</v>
      </c>
    </row>
    <row r="51" spans="1:7" x14ac:dyDescent="0.3">
      <c r="A51">
        <v>0</v>
      </c>
      <c r="B51" t="s">
        <v>319</v>
      </c>
      <c r="C51" t="s">
        <v>456</v>
      </c>
      <c r="D51" t="s">
        <v>2</v>
      </c>
      <c r="E51" t="s">
        <v>456</v>
      </c>
      <c r="F51" t="s">
        <v>13</v>
      </c>
      <c r="G51" t="s">
        <v>525</v>
      </c>
    </row>
    <row r="52" spans="1:7" x14ac:dyDescent="0.3">
      <c r="A52">
        <v>0</v>
      </c>
      <c r="B52" t="s">
        <v>312</v>
      </c>
      <c r="C52" t="s">
        <v>474</v>
      </c>
      <c r="D52" t="s">
        <v>2</v>
      </c>
      <c r="E52" t="s">
        <v>474</v>
      </c>
      <c r="F52" t="s">
        <v>13</v>
      </c>
      <c r="G52" t="s">
        <v>525</v>
      </c>
    </row>
    <row r="53" spans="1:7" x14ac:dyDescent="0.3">
      <c r="A53">
        <v>0</v>
      </c>
      <c r="B53" t="s">
        <v>319</v>
      </c>
      <c r="C53" t="s">
        <v>318</v>
      </c>
      <c r="D53" t="s">
        <v>2</v>
      </c>
      <c r="E53" t="s">
        <v>318</v>
      </c>
      <c r="F53" t="s">
        <v>13</v>
      </c>
      <c r="G53" t="s">
        <v>525</v>
      </c>
    </row>
    <row r="54" spans="1:7" x14ac:dyDescent="0.3">
      <c r="A54">
        <v>0</v>
      </c>
      <c r="B54" t="s">
        <v>314</v>
      </c>
      <c r="C54" t="s">
        <v>475</v>
      </c>
      <c r="D54" t="s">
        <v>2</v>
      </c>
      <c r="E54" t="s">
        <v>475</v>
      </c>
      <c r="F54" t="s">
        <v>13</v>
      </c>
      <c r="G54" t="s">
        <v>525</v>
      </c>
    </row>
    <row r="55" spans="1:7" x14ac:dyDescent="0.3">
      <c r="A55">
        <v>0</v>
      </c>
      <c r="B55" t="s">
        <v>314</v>
      </c>
      <c r="C55" t="s">
        <v>449</v>
      </c>
      <c r="D55" t="s">
        <v>2</v>
      </c>
      <c r="E55" t="s">
        <v>449</v>
      </c>
      <c r="F55" t="s">
        <v>13</v>
      </c>
      <c r="G55" t="s">
        <v>525</v>
      </c>
    </row>
    <row r="56" spans="1:7" x14ac:dyDescent="0.3">
      <c r="A56">
        <v>0</v>
      </c>
      <c r="B56" t="s">
        <v>314</v>
      </c>
      <c r="C56" t="s">
        <v>176</v>
      </c>
      <c r="D56" t="s">
        <v>2</v>
      </c>
      <c r="E56" t="s">
        <v>176</v>
      </c>
      <c r="F56" t="s">
        <v>13</v>
      </c>
      <c r="G56" t="s">
        <v>525</v>
      </c>
    </row>
    <row r="57" spans="1:7" x14ac:dyDescent="0.3">
      <c r="A57">
        <v>0</v>
      </c>
      <c r="B57" t="s">
        <v>312</v>
      </c>
      <c r="C57" t="s">
        <v>388</v>
      </c>
      <c r="D57" t="s">
        <v>2</v>
      </c>
      <c r="E57" t="s">
        <v>388</v>
      </c>
      <c r="F57" t="s">
        <v>13</v>
      </c>
      <c r="G57" t="s">
        <v>525</v>
      </c>
    </row>
    <row r="58" spans="1:7" x14ac:dyDescent="0.3">
      <c r="A58">
        <v>0</v>
      </c>
      <c r="B58" t="s">
        <v>319</v>
      </c>
      <c r="C58" t="s">
        <v>429</v>
      </c>
      <c r="D58" t="s">
        <v>2</v>
      </c>
      <c r="E58" t="s">
        <v>429</v>
      </c>
      <c r="F58" t="s">
        <v>13</v>
      </c>
      <c r="G58" t="s">
        <v>525</v>
      </c>
    </row>
    <row r="59" spans="1:7" x14ac:dyDescent="0.3">
      <c r="A59">
        <v>0</v>
      </c>
      <c r="B59" t="s">
        <v>312</v>
      </c>
      <c r="C59" t="s">
        <v>272</v>
      </c>
      <c r="D59" t="s">
        <v>2</v>
      </c>
      <c r="E59" t="s">
        <v>272</v>
      </c>
      <c r="F59" t="s">
        <v>13</v>
      </c>
      <c r="G59" t="s">
        <v>525</v>
      </c>
    </row>
    <row r="60" spans="1:7" x14ac:dyDescent="0.3">
      <c r="A60">
        <v>0</v>
      </c>
      <c r="B60" t="s">
        <v>312</v>
      </c>
      <c r="C60" t="s">
        <v>410</v>
      </c>
      <c r="D60" t="s">
        <v>2</v>
      </c>
      <c r="E60" t="s">
        <v>410</v>
      </c>
      <c r="F60" t="s">
        <v>13</v>
      </c>
      <c r="G60" t="s">
        <v>525</v>
      </c>
    </row>
    <row r="61" spans="1:7" x14ac:dyDescent="0.3">
      <c r="A61">
        <v>0</v>
      </c>
      <c r="B61" t="s">
        <v>319</v>
      </c>
      <c r="C61" t="s">
        <v>363</v>
      </c>
      <c r="D61" t="s">
        <v>2</v>
      </c>
      <c r="E61" t="s">
        <v>363</v>
      </c>
      <c r="F61" t="s">
        <v>13</v>
      </c>
      <c r="G61" t="s">
        <v>525</v>
      </c>
    </row>
    <row r="62" spans="1:7" x14ac:dyDescent="0.3">
      <c r="A62">
        <v>0</v>
      </c>
      <c r="B62" t="s">
        <v>312</v>
      </c>
      <c r="C62" t="s">
        <v>382</v>
      </c>
      <c r="D62" t="s">
        <v>2</v>
      </c>
      <c r="E62" t="s">
        <v>382</v>
      </c>
      <c r="F62" t="s">
        <v>13</v>
      </c>
      <c r="G62" t="s">
        <v>525</v>
      </c>
    </row>
    <row r="63" spans="1:7" x14ac:dyDescent="0.3">
      <c r="A63">
        <v>0</v>
      </c>
      <c r="B63" t="s">
        <v>312</v>
      </c>
      <c r="C63" t="s">
        <v>424</v>
      </c>
      <c r="D63" t="s">
        <v>2</v>
      </c>
      <c r="E63" t="s">
        <v>424</v>
      </c>
      <c r="F63" t="s">
        <v>13</v>
      </c>
      <c r="G63" t="s">
        <v>525</v>
      </c>
    </row>
    <row r="64" spans="1:7" x14ac:dyDescent="0.3">
      <c r="A64">
        <v>0</v>
      </c>
      <c r="B64" t="s">
        <v>314</v>
      </c>
      <c r="C64" t="s">
        <v>351</v>
      </c>
      <c r="D64" t="s">
        <v>2</v>
      </c>
      <c r="E64" t="s">
        <v>351</v>
      </c>
      <c r="F64" t="s">
        <v>13</v>
      </c>
      <c r="G64" t="s">
        <v>525</v>
      </c>
    </row>
    <row r="65" spans="1:7" x14ac:dyDescent="0.3">
      <c r="A65">
        <v>0</v>
      </c>
      <c r="B65" t="s">
        <v>312</v>
      </c>
      <c r="C65" t="s">
        <v>347</v>
      </c>
      <c r="D65" t="s">
        <v>2</v>
      </c>
      <c r="E65" t="s">
        <v>347</v>
      </c>
      <c r="F65" t="s">
        <v>13</v>
      </c>
      <c r="G65" t="s">
        <v>525</v>
      </c>
    </row>
    <row r="66" spans="1:7" x14ac:dyDescent="0.3">
      <c r="A66">
        <v>0</v>
      </c>
      <c r="B66" t="s">
        <v>314</v>
      </c>
      <c r="C66" t="s">
        <v>453</v>
      </c>
      <c r="D66" t="s">
        <v>2</v>
      </c>
      <c r="E66" t="s">
        <v>453</v>
      </c>
      <c r="F66" t="s">
        <v>13</v>
      </c>
      <c r="G66" t="s">
        <v>525</v>
      </c>
    </row>
    <row r="67" spans="1:7" x14ac:dyDescent="0.3">
      <c r="A67">
        <v>0</v>
      </c>
      <c r="B67" t="s">
        <v>319</v>
      </c>
      <c r="C67" t="s">
        <v>457</v>
      </c>
      <c r="D67" t="s">
        <v>2</v>
      </c>
      <c r="E67" t="s">
        <v>457</v>
      </c>
      <c r="F67" t="s">
        <v>13</v>
      </c>
      <c r="G67" t="s">
        <v>525</v>
      </c>
    </row>
    <row r="68" spans="1:7" x14ac:dyDescent="0.3">
      <c r="A68">
        <v>0</v>
      </c>
      <c r="B68" t="s">
        <v>312</v>
      </c>
      <c r="C68" t="s">
        <v>485</v>
      </c>
      <c r="D68" t="s">
        <v>2</v>
      </c>
      <c r="E68" t="s">
        <v>485</v>
      </c>
      <c r="F68" t="s">
        <v>13</v>
      </c>
      <c r="G68" t="s">
        <v>525</v>
      </c>
    </row>
    <row r="69" spans="1:7" x14ac:dyDescent="0.3">
      <c r="A69">
        <v>0</v>
      </c>
      <c r="B69" t="s">
        <v>312</v>
      </c>
      <c r="C69" t="s">
        <v>355</v>
      </c>
      <c r="D69" t="s">
        <v>2</v>
      </c>
      <c r="E69" t="s">
        <v>355</v>
      </c>
      <c r="F69" t="s">
        <v>13</v>
      </c>
      <c r="G69" t="s">
        <v>525</v>
      </c>
    </row>
    <row r="70" spans="1:7" x14ac:dyDescent="0.3">
      <c r="A70">
        <v>0</v>
      </c>
      <c r="B70" t="s">
        <v>312</v>
      </c>
      <c r="C70" t="s">
        <v>338</v>
      </c>
      <c r="D70" t="s">
        <v>2</v>
      </c>
      <c r="E70" t="s">
        <v>338</v>
      </c>
      <c r="F70" t="s">
        <v>13</v>
      </c>
      <c r="G70" t="s">
        <v>525</v>
      </c>
    </row>
    <row r="71" spans="1:7" x14ac:dyDescent="0.3">
      <c r="A71">
        <v>0</v>
      </c>
      <c r="B71" t="s">
        <v>312</v>
      </c>
      <c r="C71" t="s">
        <v>394</v>
      </c>
      <c r="D71" t="s">
        <v>2</v>
      </c>
      <c r="E71" t="s">
        <v>394</v>
      </c>
      <c r="F71" t="s">
        <v>13</v>
      </c>
      <c r="G71" t="s">
        <v>525</v>
      </c>
    </row>
    <row r="72" spans="1:7" x14ac:dyDescent="0.3">
      <c r="A72">
        <v>0</v>
      </c>
      <c r="B72" t="s">
        <v>312</v>
      </c>
      <c r="C72" t="s">
        <v>438</v>
      </c>
      <c r="D72" t="s">
        <v>2</v>
      </c>
      <c r="E72" t="s">
        <v>438</v>
      </c>
      <c r="F72" t="s">
        <v>13</v>
      </c>
      <c r="G72" t="s">
        <v>525</v>
      </c>
    </row>
    <row r="73" spans="1:7" x14ac:dyDescent="0.3">
      <c r="A73">
        <v>0</v>
      </c>
      <c r="B73" t="s">
        <v>312</v>
      </c>
      <c r="C73" t="s">
        <v>486</v>
      </c>
      <c r="D73" t="s">
        <v>2</v>
      </c>
      <c r="E73" t="s">
        <v>486</v>
      </c>
      <c r="F73" t="s">
        <v>13</v>
      </c>
      <c r="G73" t="s">
        <v>525</v>
      </c>
    </row>
    <row r="74" spans="1:7" x14ac:dyDescent="0.3">
      <c r="A74">
        <v>0</v>
      </c>
      <c r="B74" t="s">
        <v>319</v>
      </c>
      <c r="C74" t="s">
        <v>419</v>
      </c>
      <c r="D74" t="s">
        <v>2</v>
      </c>
      <c r="E74" t="s">
        <v>419</v>
      </c>
      <c r="F74" t="s">
        <v>13</v>
      </c>
      <c r="G74" t="s">
        <v>525</v>
      </c>
    </row>
    <row r="75" spans="1:7" x14ac:dyDescent="0.3">
      <c r="A75">
        <v>0</v>
      </c>
      <c r="B75" t="s">
        <v>57</v>
      </c>
      <c r="C75" t="s">
        <v>353</v>
      </c>
      <c r="D75" t="s">
        <v>2</v>
      </c>
      <c r="E75" t="s">
        <v>353</v>
      </c>
      <c r="F75" t="s">
        <v>13</v>
      </c>
      <c r="G75" t="s">
        <v>525</v>
      </c>
    </row>
    <row r="76" spans="1:7" x14ac:dyDescent="0.3">
      <c r="A76">
        <v>0</v>
      </c>
      <c r="B76" t="s">
        <v>319</v>
      </c>
      <c r="C76" t="s">
        <v>489</v>
      </c>
      <c r="D76" t="s">
        <v>2</v>
      </c>
      <c r="E76" t="s">
        <v>489</v>
      </c>
      <c r="F76" t="s">
        <v>13</v>
      </c>
      <c r="G76" t="s">
        <v>525</v>
      </c>
    </row>
    <row r="77" spans="1:7" x14ac:dyDescent="0.3">
      <c r="A77">
        <v>0</v>
      </c>
      <c r="B77" t="s">
        <v>312</v>
      </c>
      <c r="C77" t="s">
        <v>386</v>
      </c>
      <c r="D77" t="s">
        <v>2</v>
      </c>
      <c r="E77" t="s">
        <v>386</v>
      </c>
      <c r="F77" t="s">
        <v>13</v>
      </c>
      <c r="G77" t="s">
        <v>525</v>
      </c>
    </row>
    <row r="78" spans="1:7" x14ac:dyDescent="0.3">
      <c r="A78">
        <v>0</v>
      </c>
      <c r="B78" t="s">
        <v>319</v>
      </c>
      <c r="C78" t="s">
        <v>389</v>
      </c>
      <c r="D78" t="s">
        <v>2</v>
      </c>
      <c r="E78" t="s">
        <v>389</v>
      </c>
      <c r="F78" t="s">
        <v>13</v>
      </c>
      <c r="G78" t="s">
        <v>525</v>
      </c>
    </row>
    <row r="79" spans="1:7" x14ac:dyDescent="0.3">
      <c r="A79">
        <v>0</v>
      </c>
      <c r="B79" t="s">
        <v>312</v>
      </c>
      <c r="C79" t="s">
        <v>340</v>
      </c>
      <c r="D79" t="s">
        <v>2</v>
      </c>
      <c r="E79" t="s">
        <v>340</v>
      </c>
      <c r="F79" t="s">
        <v>13</v>
      </c>
      <c r="G79" t="s">
        <v>525</v>
      </c>
    </row>
    <row r="80" spans="1:7" x14ac:dyDescent="0.3">
      <c r="A80">
        <v>0</v>
      </c>
      <c r="B80" t="s">
        <v>312</v>
      </c>
      <c r="C80" t="s">
        <v>368</v>
      </c>
      <c r="D80" t="s">
        <v>2</v>
      </c>
      <c r="E80" t="s">
        <v>368</v>
      </c>
      <c r="F80" t="s">
        <v>13</v>
      </c>
      <c r="G80" t="s">
        <v>525</v>
      </c>
    </row>
    <row r="81" spans="1:7" x14ac:dyDescent="0.3">
      <c r="A81">
        <v>0</v>
      </c>
      <c r="B81" t="s">
        <v>312</v>
      </c>
      <c r="C81" t="s">
        <v>328</v>
      </c>
      <c r="D81" t="s">
        <v>2</v>
      </c>
      <c r="E81" t="s">
        <v>328</v>
      </c>
      <c r="F81" t="s">
        <v>13</v>
      </c>
      <c r="G81" t="s">
        <v>525</v>
      </c>
    </row>
    <row r="82" spans="1:7" x14ac:dyDescent="0.3">
      <c r="A82">
        <v>0</v>
      </c>
      <c r="B82" t="s">
        <v>312</v>
      </c>
      <c r="C82" t="s">
        <v>479</v>
      </c>
      <c r="D82" t="s">
        <v>2</v>
      </c>
      <c r="E82" t="s">
        <v>479</v>
      </c>
      <c r="F82" t="s">
        <v>13</v>
      </c>
      <c r="G82" t="s">
        <v>525</v>
      </c>
    </row>
    <row r="83" spans="1:7" x14ac:dyDescent="0.3">
      <c r="A83">
        <v>0</v>
      </c>
      <c r="B83" t="s">
        <v>57</v>
      </c>
      <c r="C83" t="s">
        <v>116</v>
      </c>
      <c r="D83" t="s">
        <v>2</v>
      </c>
      <c r="E83" t="s">
        <v>116</v>
      </c>
      <c r="F83" t="s">
        <v>13</v>
      </c>
      <c r="G83" t="s">
        <v>525</v>
      </c>
    </row>
    <row r="84" spans="1:7" x14ac:dyDescent="0.3">
      <c r="A84">
        <v>0</v>
      </c>
      <c r="B84" t="s">
        <v>312</v>
      </c>
      <c r="C84" t="s">
        <v>352</v>
      </c>
      <c r="D84" t="s">
        <v>2</v>
      </c>
      <c r="E84" t="s">
        <v>352</v>
      </c>
      <c r="F84" t="s">
        <v>13</v>
      </c>
      <c r="G84" t="s">
        <v>525</v>
      </c>
    </row>
    <row r="85" spans="1:7" x14ac:dyDescent="0.3">
      <c r="A85">
        <v>0</v>
      </c>
      <c r="B85" t="s">
        <v>312</v>
      </c>
      <c r="C85" t="s">
        <v>417</v>
      </c>
      <c r="D85" t="s">
        <v>2</v>
      </c>
      <c r="E85" t="s">
        <v>417</v>
      </c>
      <c r="F85" t="s">
        <v>13</v>
      </c>
      <c r="G85" t="s">
        <v>525</v>
      </c>
    </row>
    <row r="86" spans="1:7" x14ac:dyDescent="0.3">
      <c r="A86">
        <v>0</v>
      </c>
      <c r="B86" t="s">
        <v>312</v>
      </c>
      <c r="C86" t="s">
        <v>447</v>
      </c>
      <c r="D86" t="s">
        <v>2</v>
      </c>
      <c r="E86" t="s">
        <v>447</v>
      </c>
      <c r="F86" t="s">
        <v>13</v>
      </c>
      <c r="G86" t="s">
        <v>525</v>
      </c>
    </row>
    <row r="87" spans="1:7" x14ac:dyDescent="0.3">
      <c r="A87">
        <v>0</v>
      </c>
      <c r="B87" t="s">
        <v>319</v>
      </c>
      <c r="C87" t="s">
        <v>329</v>
      </c>
      <c r="D87" t="s">
        <v>2</v>
      </c>
      <c r="E87" t="s">
        <v>329</v>
      </c>
      <c r="F87" t="s">
        <v>13</v>
      </c>
      <c r="G87" t="s">
        <v>525</v>
      </c>
    </row>
    <row r="88" spans="1:7" x14ac:dyDescent="0.3">
      <c r="A88">
        <v>0</v>
      </c>
      <c r="B88" t="s">
        <v>312</v>
      </c>
      <c r="C88" t="s">
        <v>252</v>
      </c>
      <c r="D88" t="s">
        <v>2</v>
      </c>
      <c r="E88" t="s">
        <v>252</v>
      </c>
      <c r="F88" t="s">
        <v>13</v>
      </c>
      <c r="G88" t="s">
        <v>525</v>
      </c>
    </row>
    <row r="89" spans="1:7" x14ac:dyDescent="0.3">
      <c r="A89">
        <v>0</v>
      </c>
      <c r="B89" t="s">
        <v>312</v>
      </c>
      <c r="C89" t="s">
        <v>317</v>
      </c>
      <c r="D89" t="s">
        <v>2</v>
      </c>
      <c r="E89" t="s">
        <v>317</v>
      </c>
      <c r="F89" t="s">
        <v>13</v>
      </c>
      <c r="G89" t="s">
        <v>525</v>
      </c>
    </row>
    <row r="90" spans="1:7" x14ac:dyDescent="0.3">
      <c r="A90">
        <v>0</v>
      </c>
      <c r="B90" t="s">
        <v>312</v>
      </c>
      <c r="C90" t="s">
        <v>436</v>
      </c>
      <c r="D90" t="s">
        <v>2</v>
      </c>
      <c r="E90" t="s">
        <v>436</v>
      </c>
      <c r="F90" t="s">
        <v>13</v>
      </c>
      <c r="G90" t="s">
        <v>525</v>
      </c>
    </row>
    <row r="91" spans="1:7" x14ac:dyDescent="0.3">
      <c r="A91">
        <v>0</v>
      </c>
      <c r="B91" t="s">
        <v>319</v>
      </c>
      <c r="C91" t="s">
        <v>490</v>
      </c>
      <c r="D91" t="s">
        <v>2</v>
      </c>
      <c r="E91" t="s">
        <v>490</v>
      </c>
      <c r="F91" t="s">
        <v>13</v>
      </c>
      <c r="G91" t="s">
        <v>525</v>
      </c>
    </row>
    <row r="92" spans="1:7" x14ac:dyDescent="0.3">
      <c r="A92">
        <v>0</v>
      </c>
      <c r="B92" t="s">
        <v>312</v>
      </c>
      <c r="C92" t="s">
        <v>391</v>
      </c>
      <c r="D92" t="s">
        <v>2</v>
      </c>
      <c r="E92" t="s">
        <v>391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235</v>
      </c>
      <c r="D93" t="s">
        <v>2</v>
      </c>
      <c r="E93" t="s">
        <v>235</v>
      </c>
      <c r="F93" t="s">
        <v>13</v>
      </c>
      <c r="G93" t="s">
        <v>525</v>
      </c>
    </row>
    <row r="94" spans="1:7" x14ac:dyDescent="0.3">
      <c r="A94">
        <v>0</v>
      </c>
      <c r="B94" t="s">
        <v>312</v>
      </c>
      <c r="C94" t="s">
        <v>493</v>
      </c>
      <c r="D94" t="s">
        <v>2</v>
      </c>
      <c r="E94" t="s">
        <v>493</v>
      </c>
      <c r="F94" t="s">
        <v>13</v>
      </c>
      <c r="G94" t="s">
        <v>525</v>
      </c>
    </row>
    <row r="95" spans="1:7" x14ac:dyDescent="0.3">
      <c r="A95">
        <v>0</v>
      </c>
      <c r="B95" t="s">
        <v>312</v>
      </c>
      <c r="C95" t="s">
        <v>335</v>
      </c>
      <c r="D95" t="s">
        <v>2</v>
      </c>
      <c r="E95" t="s">
        <v>335</v>
      </c>
      <c r="F95" t="s">
        <v>13</v>
      </c>
      <c r="G95" t="s">
        <v>525</v>
      </c>
    </row>
    <row r="96" spans="1:7" x14ac:dyDescent="0.3">
      <c r="A96">
        <v>0</v>
      </c>
      <c r="B96" t="s">
        <v>312</v>
      </c>
      <c r="C96" t="s">
        <v>354</v>
      </c>
      <c r="D96" t="s">
        <v>2</v>
      </c>
      <c r="E96" t="s">
        <v>354</v>
      </c>
      <c r="F96" t="s">
        <v>13</v>
      </c>
      <c r="G96" t="s">
        <v>525</v>
      </c>
    </row>
    <row r="97" spans="1:7" x14ac:dyDescent="0.3">
      <c r="A97">
        <v>0</v>
      </c>
      <c r="B97" t="s">
        <v>319</v>
      </c>
      <c r="C97" t="s">
        <v>360</v>
      </c>
      <c r="D97" t="s">
        <v>2</v>
      </c>
      <c r="E97" t="s">
        <v>360</v>
      </c>
      <c r="F97" t="s">
        <v>13</v>
      </c>
      <c r="G97" t="s">
        <v>525</v>
      </c>
    </row>
    <row r="98" spans="1:7" x14ac:dyDescent="0.3">
      <c r="A98">
        <v>0</v>
      </c>
      <c r="B98" t="s">
        <v>314</v>
      </c>
      <c r="C98" t="s">
        <v>356</v>
      </c>
      <c r="D98" t="s">
        <v>2</v>
      </c>
      <c r="E98" t="s">
        <v>356</v>
      </c>
      <c r="F98" t="s">
        <v>13</v>
      </c>
      <c r="G98" t="s">
        <v>525</v>
      </c>
    </row>
    <row r="99" spans="1:7" x14ac:dyDescent="0.3">
      <c r="A99">
        <v>0</v>
      </c>
      <c r="B99" t="s">
        <v>312</v>
      </c>
      <c r="C99" t="s">
        <v>405</v>
      </c>
      <c r="D99" t="s">
        <v>2</v>
      </c>
      <c r="E99" t="s">
        <v>405</v>
      </c>
      <c r="F99" t="s">
        <v>13</v>
      </c>
      <c r="G99" t="s">
        <v>525</v>
      </c>
    </row>
    <row r="100" spans="1:7" x14ac:dyDescent="0.3">
      <c r="A100">
        <v>0</v>
      </c>
      <c r="B100" t="s">
        <v>312</v>
      </c>
      <c r="C100" t="s">
        <v>471</v>
      </c>
      <c r="D100" t="s">
        <v>2</v>
      </c>
      <c r="E100" t="s">
        <v>471</v>
      </c>
      <c r="F100" t="s">
        <v>13</v>
      </c>
      <c r="G100" t="s">
        <v>525</v>
      </c>
    </row>
    <row r="101" spans="1:7" x14ac:dyDescent="0.3">
      <c r="A101">
        <v>0</v>
      </c>
      <c r="B101" t="s">
        <v>319</v>
      </c>
      <c r="C101" t="s">
        <v>421</v>
      </c>
      <c r="D101" t="s">
        <v>2</v>
      </c>
      <c r="E101" t="s">
        <v>421</v>
      </c>
      <c r="F101" t="s">
        <v>13</v>
      </c>
      <c r="G101" t="s">
        <v>525</v>
      </c>
    </row>
    <row r="102" spans="1:7" x14ac:dyDescent="0.3">
      <c r="A102">
        <v>0</v>
      </c>
      <c r="B102" t="s">
        <v>312</v>
      </c>
      <c r="C102" t="s">
        <v>321</v>
      </c>
      <c r="D102" t="s">
        <v>2</v>
      </c>
      <c r="E102" t="s">
        <v>321</v>
      </c>
      <c r="F102" t="s">
        <v>13</v>
      </c>
      <c r="G102" t="s">
        <v>525</v>
      </c>
    </row>
    <row r="103" spans="1:7" x14ac:dyDescent="0.3">
      <c r="A103">
        <v>0</v>
      </c>
      <c r="B103" t="s">
        <v>105</v>
      </c>
      <c r="C103" t="s">
        <v>113</v>
      </c>
      <c r="D103" t="s">
        <v>2</v>
      </c>
      <c r="E103" t="s">
        <v>113</v>
      </c>
      <c r="F103" t="s">
        <v>13</v>
      </c>
      <c r="G103" t="s">
        <v>525</v>
      </c>
    </row>
    <row r="104" spans="1:7" x14ac:dyDescent="0.3">
      <c r="A104">
        <v>0</v>
      </c>
      <c r="B104" t="s">
        <v>312</v>
      </c>
      <c r="C104" t="s">
        <v>348</v>
      </c>
      <c r="D104" t="s">
        <v>2</v>
      </c>
      <c r="E104" t="s">
        <v>348</v>
      </c>
      <c r="F104" t="s">
        <v>13</v>
      </c>
      <c r="G104" t="s">
        <v>525</v>
      </c>
    </row>
    <row r="105" spans="1:7" x14ac:dyDescent="0.3">
      <c r="A105">
        <v>0</v>
      </c>
      <c r="B105" t="s">
        <v>105</v>
      </c>
      <c r="C105" t="s">
        <v>469</v>
      </c>
      <c r="D105" t="s">
        <v>2</v>
      </c>
      <c r="E105" t="s">
        <v>469</v>
      </c>
      <c r="F105" t="s">
        <v>13</v>
      </c>
      <c r="G105" t="s">
        <v>525</v>
      </c>
    </row>
    <row r="106" spans="1:7" x14ac:dyDescent="0.3">
      <c r="A106">
        <v>0</v>
      </c>
      <c r="B106" t="s">
        <v>314</v>
      </c>
      <c r="C106" t="s">
        <v>481</v>
      </c>
      <c r="D106" t="s">
        <v>2</v>
      </c>
      <c r="E106" t="s">
        <v>481</v>
      </c>
      <c r="F106" t="s">
        <v>13</v>
      </c>
      <c r="G106" t="s">
        <v>525</v>
      </c>
    </row>
    <row r="107" spans="1:7" x14ac:dyDescent="0.3">
      <c r="A107">
        <v>0</v>
      </c>
      <c r="B107" t="s">
        <v>312</v>
      </c>
      <c r="C107" t="s">
        <v>398</v>
      </c>
      <c r="D107" t="s">
        <v>2</v>
      </c>
      <c r="E107" t="s">
        <v>398</v>
      </c>
      <c r="F107" t="s">
        <v>13</v>
      </c>
      <c r="G107" t="s">
        <v>525</v>
      </c>
    </row>
    <row r="108" spans="1:7" x14ac:dyDescent="0.3">
      <c r="A108">
        <v>0</v>
      </c>
      <c r="B108" t="s">
        <v>314</v>
      </c>
      <c r="C108" t="s">
        <v>342</v>
      </c>
      <c r="D108" t="s">
        <v>2</v>
      </c>
      <c r="E108" t="s">
        <v>342</v>
      </c>
      <c r="F108" t="s">
        <v>13</v>
      </c>
      <c r="G108" t="s">
        <v>525</v>
      </c>
    </row>
    <row r="109" spans="1:7" x14ac:dyDescent="0.3">
      <c r="A109">
        <v>0</v>
      </c>
      <c r="B109" t="s">
        <v>312</v>
      </c>
      <c r="C109" t="s">
        <v>322</v>
      </c>
      <c r="D109" t="s">
        <v>2</v>
      </c>
      <c r="E109" t="s">
        <v>322</v>
      </c>
      <c r="F109" t="s">
        <v>13</v>
      </c>
      <c r="G109" t="s">
        <v>525</v>
      </c>
    </row>
    <row r="110" spans="1:7" x14ac:dyDescent="0.3">
      <c r="A110">
        <v>0</v>
      </c>
      <c r="B110" t="s">
        <v>314</v>
      </c>
      <c r="C110" t="s">
        <v>409</v>
      </c>
      <c r="D110" t="s">
        <v>2</v>
      </c>
      <c r="E110" t="s">
        <v>409</v>
      </c>
      <c r="F110" t="s">
        <v>13</v>
      </c>
      <c r="G110" t="s">
        <v>525</v>
      </c>
    </row>
    <row r="111" spans="1:7" x14ac:dyDescent="0.3">
      <c r="A111">
        <v>0</v>
      </c>
      <c r="B111" t="s">
        <v>314</v>
      </c>
      <c r="C111" t="s">
        <v>480</v>
      </c>
      <c r="D111" t="s">
        <v>2</v>
      </c>
      <c r="E111" t="s">
        <v>480</v>
      </c>
      <c r="F111" t="s">
        <v>13</v>
      </c>
      <c r="G111" t="s">
        <v>525</v>
      </c>
    </row>
    <row r="112" spans="1:7" x14ac:dyDescent="0.3">
      <c r="A112">
        <v>0</v>
      </c>
      <c r="B112" t="s">
        <v>105</v>
      </c>
      <c r="C112" t="s">
        <v>121</v>
      </c>
      <c r="D112" t="s">
        <v>2</v>
      </c>
      <c r="E112" t="s">
        <v>121</v>
      </c>
      <c r="F112" t="s">
        <v>13</v>
      </c>
      <c r="G112" t="s">
        <v>525</v>
      </c>
    </row>
    <row r="113" spans="1:7" x14ac:dyDescent="0.3">
      <c r="A113">
        <v>0</v>
      </c>
      <c r="B113" t="s">
        <v>312</v>
      </c>
      <c r="C113" t="s">
        <v>359</v>
      </c>
      <c r="D113" t="s">
        <v>2</v>
      </c>
      <c r="E113" t="s">
        <v>359</v>
      </c>
      <c r="F113" t="s">
        <v>13</v>
      </c>
      <c r="G113" t="s">
        <v>525</v>
      </c>
    </row>
    <row r="114" spans="1:7" x14ac:dyDescent="0.3">
      <c r="A114">
        <v>0</v>
      </c>
      <c r="B114" t="s">
        <v>319</v>
      </c>
      <c r="C114" t="s">
        <v>468</v>
      </c>
      <c r="D114" t="s">
        <v>2</v>
      </c>
      <c r="E114" t="s">
        <v>468</v>
      </c>
      <c r="F114" t="s">
        <v>13</v>
      </c>
      <c r="G114" t="s">
        <v>525</v>
      </c>
    </row>
    <row r="115" spans="1:7" x14ac:dyDescent="0.3">
      <c r="A115">
        <v>0</v>
      </c>
      <c r="B115" t="s">
        <v>319</v>
      </c>
      <c r="C115" t="s">
        <v>458</v>
      </c>
      <c r="D115" t="s">
        <v>2</v>
      </c>
      <c r="E115" t="s">
        <v>458</v>
      </c>
      <c r="F115" t="s">
        <v>13</v>
      </c>
      <c r="G115" t="s">
        <v>525</v>
      </c>
    </row>
    <row r="116" spans="1:7" x14ac:dyDescent="0.3">
      <c r="A116">
        <v>0</v>
      </c>
      <c r="B116" t="s">
        <v>312</v>
      </c>
      <c r="C116" t="s">
        <v>370</v>
      </c>
      <c r="D116" t="s">
        <v>2</v>
      </c>
      <c r="E116" t="s">
        <v>370</v>
      </c>
      <c r="F116" t="s">
        <v>13</v>
      </c>
      <c r="G116" t="s">
        <v>525</v>
      </c>
    </row>
    <row r="117" spans="1:7" x14ac:dyDescent="0.3">
      <c r="A117">
        <v>0</v>
      </c>
      <c r="B117" t="s">
        <v>57</v>
      </c>
      <c r="C117" t="s">
        <v>114</v>
      </c>
      <c r="D117" t="s">
        <v>2</v>
      </c>
      <c r="E117" t="s">
        <v>114</v>
      </c>
      <c r="F117" t="s">
        <v>13</v>
      </c>
      <c r="G117" t="s">
        <v>525</v>
      </c>
    </row>
    <row r="118" spans="1:7" x14ac:dyDescent="0.3">
      <c r="A118">
        <v>0</v>
      </c>
      <c r="B118" t="s">
        <v>319</v>
      </c>
      <c r="C118" t="s">
        <v>404</v>
      </c>
      <c r="D118" t="s">
        <v>2</v>
      </c>
      <c r="E118" t="s">
        <v>404</v>
      </c>
      <c r="F118" t="s">
        <v>13</v>
      </c>
      <c r="G118" t="s">
        <v>525</v>
      </c>
    </row>
    <row r="119" spans="1:7" x14ac:dyDescent="0.3">
      <c r="A119">
        <v>0</v>
      </c>
      <c r="B119" t="s">
        <v>312</v>
      </c>
      <c r="C119" t="s">
        <v>369</v>
      </c>
      <c r="D119" t="s">
        <v>2</v>
      </c>
      <c r="E119" t="s">
        <v>369</v>
      </c>
      <c r="F119" t="s">
        <v>13</v>
      </c>
      <c r="G119" t="s">
        <v>525</v>
      </c>
    </row>
    <row r="120" spans="1:7" x14ac:dyDescent="0.3">
      <c r="A120">
        <v>0</v>
      </c>
      <c r="B120" t="s">
        <v>57</v>
      </c>
      <c r="C120" t="s">
        <v>122</v>
      </c>
      <c r="D120" t="s">
        <v>2</v>
      </c>
      <c r="E120" t="s">
        <v>122</v>
      </c>
      <c r="F120" t="s">
        <v>13</v>
      </c>
      <c r="G120" t="s">
        <v>525</v>
      </c>
    </row>
    <row r="121" spans="1:7" x14ac:dyDescent="0.3">
      <c r="A121">
        <v>0</v>
      </c>
      <c r="B121" t="s">
        <v>319</v>
      </c>
      <c r="C121" t="s">
        <v>390</v>
      </c>
      <c r="D121" t="s">
        <v>2</v>
      </c>
      <c r="E121" t="s">
        <v>390</v>
      </c>
      <c r="F121" t="s">
        <v>13</v>
      </c>
      <c r="G121" t="s">
        <v>525</v>
      </c>
    </row>
    <row r="122" spans="1:7" x14ac:dyDescent="0.3">
      <c r="A122">
        <v>0</v>
      </c>
      <c r="B122" t="s">
        <v>312</v>
      </c>
      <c r="C122" t="s">
        <v>492</v>
      </c>
      <c r="D122" t="s">
        <v>2</v>
      </c>
      <c r="E122" t="s">
        <v>492</v>
      </c>
      <c r="F122" t="s">
        <v>13</v>
      </c>
      <c r="G122" t="s">
        <v>525</v>
      </c>
    </row>
    <row r="123" spans="1:7" x14ac:dyDescent="0.3">
      <c r="A123">
        <v>0</v>
      </c>
      <c r="B123" t="s">
        <v>312</v>
      </c>
      <c r="C123" t="s">
        <v>345</v>
      </c>
      <c r="D123" t="s">
        <v>2</v>
      </c>
      <c r="E123" t="s">
        <v>345</v>
      </c>
      <c r="F123" t="s">
        <v>13</v>
      </c>
      <c r="G123" t="s">
        <v>525</v>
      </c>
    </row>
    <row r="124" spans="1:7" x14ac:dyDescent="0.3">
      <c r="A124">
        <v>0</v>
      </c>
      <c r="B124" t="s">
        <v>314</v>
      </c>
      <c r="C124" t="s">
        <v>374</v>
      </c>
      <c r="D124" t="s">
        <v>2</v>
      </c>
      <c r="E124" t="s">
        <v>374</v>
      </c>
      <c r="F124" t="s">
        <v>13</v>
      </c>
      <c r="G124" t="s">
        <v>525</v>
      </c>
    </row>
    <row r="125" spans="1:7" x14ac:dyDescent="0.3">
      <c r="A125">
        <v>0</v>
      </c>
      <c r="B125" t="s">
        <v>105</v>
      </c>
      <c r="C125" t="s">
        <v>124</v>
      </c>
      <c r="D125" t="s">
        <v>2</v>
      </c>
      <c r="E125" t="s">
        <v>124</v>
      </c>
      <c r="F125" t="s">
        <v>13</v>
      </c>
      <c r="G125" t="s">
        <v>525</v>
      </c>
    </row>
    <row r="126" spans="1:7" x14ac:dyDescent="0.3">
      <c r="A126">
        <v>0</v>
      </c>
      <c r="B126" t="s">
        <v>312</v>
      </c>
      <c r="C126" t="s">
        <v>440</v>
      </c>
      <c r="D126" t="s">
        <v>2</v>
      </c>
      <c r="E126" t="s">
        <v>440</v>
      </c>
      <c r="F126" t="s">
        <v>13</v>
      </c>
      <c r="G126" t="s">
        <v>525</v>
      </c>
    </row>
    <row r="127" spans="1:7" x14ac:dyDescent="0.3">
      <c r="A127">
        <v>0</v>
      </c>
      <c r="B127" t="s">
        <v>312</v>
      </c>
      <c r="C127" t="s">
        <v>316</v>
      </c>
      <c r="D127" t="s">
        <v>2</v>
      </c>
      <c r="E127" t="s">
        <v>316</v>
      </c>
      <c r="F127" t="s">
        <v>13</v>
      </c>
      <c r="G127" t="s">
        <v>525</v>
      </c>
    </row>
    <row r="128" spans="1:7" x14ac:dyDescent="0.3">
      <c r="A128">
        <v>0</v>
      </c>
      <c r="B128" t="s">
        <v>312</v>
      </c>
      <c r="C128" t="s">
        <v>427</v>
      </c>
      <c r="D128" t="s">
        <v>2</v>
      </c>
      <c r="E128" t="s">
        <v>427</v>
      </c>
      <c r="F128" t="s">
        <v>13</v>
      </c>
      <c r="G128" t="s">
        <v>525</v>
      </c>
    </row>
    <row r="129" spans="1:7" x14ac:dyDescent="0.3">
      <c r="A129">
        <v>0</v>
      </c>
      <c r="B129" t="s">
        <v>312</v>
      </c>
      <c r="C129" t="s">
        <v>332</v>
      </c>
      <c r="D129" t="s">
        <v>2</v>
      </c>
      <c r="E129" t="s">
        <v>332</v>
      </c>
      <c r="F129" t="s">
        <v>13</v>
      </c>
      <c r="G129" t="s">
        <v>525</v>
      </c>
    </row>
    <row r="130" spans="1:7" x14ac:dyDescent="0.3">
      <c r="A130">
        <v>0</v>
      </c>
      <c r="B130" t="s">
        <v>312</v>
      </c>
      <c r="C130" t="s">
        <v>336</v>
      </c>
      <c r="D130" t="s">
        <v>2</v>
      </c>
      <c r="E130" t="s">
        <v>336</v>
      </c>
      <c r="F130" t="s">
        <v>13</v>
      </c>
      <c r="G130" t="s">
        <v>525</v>
      </c>
    </row>
    <row r="131" spans="1:7" x14ac:dyDescent="0.3">
      <c r="A131">
        <v>0</v>
      </c>
      <c r="B131" t="s">
        <v>314</v>
      </c>
      <c r="C131" t="s">
        <v>393</v>
      </c>
      <c r="D131" t="s">
        <v>2</v>
      </c>
      <c r="E131" t="s">
        <v>393</v>
      </c>
      <c r="F131" t="s">
        <v>13</v>
      </c>
      <c r="G131" t="s">
        <v>525</v>
      </c>
    </row>
    <row r="132" spans="1:7" x14ac:dyDescent="0.3">
      <c r="A132">
        <v>0</v>
      </c>
      <c r="B132" t="s">
        <v>312</v>
      </c>
      <c r="C132" t="s">
        <v>339</v>
      </c>
      <c r="D132" t="s">
        <v>2</v>
      </c>
      <c r="E132" t="s">
        <v>339</v>
      </c>
      <c r="F132" t="s">
        <v>13</v>
      </c>
      <c r="G132" t="s">
        <v>525</v>
      </c>
    </row>
    <row r="133" spans="1:7" x14ac:dyDescent="0.3">
      <c r="A133">
        <v>0</v>
      </c>
      <c r="B133" t="s">
        <v>312</v>
      </c>
      <c r="C133" t="s">
        <v>400</v>
      </c>
      <c r="D133" t="s">
        <v>2</v>
      </c>
      <c r="E133" t="s">
        <v>400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380</v>
      </c>
      <c r="D134" t="s">
        <v>2</v>
      </c>
      <c r="E134" t="s">
        <v>380</v>
      </c>
      <c r="F134" t="s">
        <v>13</v>
      </c>
      <c r="G134" t="s">
        <v>525</v>
      </c>
    </row>
    <row r="135" spans="1:7" x14ac:dyDescent="0.3">
      <c r="A135">
        <v>0</v>
      </c>
      <c r="B135" t="s">
        <v>312</v>
      </c>
      <c r="C135" t="s">
        <v>442</v>
      </c>
      <c r="D135" t="s">
        <v>2</v>
      </c>
      <c r="E135" t="s">
        <v>442</v>
      </c>
      <c r="F135" t="s">
        <v>13</v>
      </c>
      <c r="G135" t="s">
        <v>525</v>
      </c>
    </row>
    <row r="136" spans="1:7" x14ac:dyDescent="0.3">
      <c r="A136">
        <v>0</v>
      </c>
      <c r="B136" t="s">
        <v>314</v>
      </c>
      <c r="C136" t="s">
        <v>349</v>
      </c>
      <c r="D136" t="s">
        <v>2</v>
      </c>
      <c r="E136" t="s">
        <v>349</v>
      </c>
      <c r="F136" t="s">
        <v>13</v>
      </c>
      <c r="G136" t="s">
        <v>525</v>
      </c>
    </row>
    <row r="137" spans="1:7" x14ac:dyDescent="0.3">
      <c r="A137">
        <v>0</v>
      </c>
      <c r="B137" t="s">
        <v>57</v>
      </c>
      <c r="C137" t="s">
        <v>470</v>
      </c>
      <c r="D137" t="s">
        <v>2</v>
      </c>
      <c r="E137" t="s">
        <v>470</v>
      </c>
      <c r="F137" t="s">
        <v>13</v>
      </c>
      <c r="G137" t="s">
        <v>525</v>
      </c>
    </row>
    <row r="138" spans="1:7" x14ac:dyDescent="0.3">
      <c r="A138">
        <v>0</v>
      </c>
      <c r="B138" t="s">
        <v>319</v>
      </c>
      <c r="C138" t="s">
        <v>463</v>
      </c>
      <c r="D138" t="s">
        <v>2</v>
      </c>
      <c r="E138" t="s">
        <v>463</v>
      </c>
      <c r="F138" t="s">
        <v>13</v>
      </c>
      <c r="G138" t="s">
        <v>525</v>
      </c>
    </row>
    <row r="139" spans="1:7" x14ac:dyDescent="0.3">
      <c r="A139">
        <v>0</v>
      </c>
      <c r="B139" t="s">
        <v>314</v>
      </c>
      <c r="C139" t="s">
        <v>343</v>
      </c>
      <c r="D139" t="s">
        <v>2</v>
      </c>
      <c r="E139" t="s">
        <v>343</v>
      </c>
      <c r="F139" t="s">
        <v>13</v>
      </c>
      <c r="G139" t="s">
        <v>525</v>
      </c>
    </row>
    <row r="140" spans="1:7" x14ac:dyDescent="0.3">
      <c r="A140">
        <v>0</v>
      </c>
      <c r="B140" t="s">
        <v>312</v>
      </c>
      <c r="C140" t="s">
        <v>371</v>
      </c>
      <c r="D140" t="s">
        <v>2</v>
      </c>
      <c r="E140" t="s">
        <v>371</v>
      </c>
      <c r="F140" t="s">
        <v>13</v>
      </c>
      <c r="G140" t="s">
        <v>525</v>
      </c>
    </row>
    <row r="141" spans="1:7" x14ac:dyDescent="0.3">
      <c r="A141">
        <v>0</v>
      </c>
      <c r="B141" t="s">
        <v>312</v>
      </c>
      <c r="C141" t="s">
        <v>366</v>
      </c>
      <c r="D141" t="s">
        <v>2</v>
      </c>
      <c r="E141" t="s">
        <v>366</v>
      </c>
      <c r="F141" t="s">
        <v>13</v>
      </c>
      <c r="G141" t="s">
        <v>525</v>
      </c>
    </row>
    <row r="142" spans="1:7" x14ac:dyDescent="0.3">
      <c r="A142">
        <v>0</v>
      </c>
      <c r="B142" t="s">
        <v>312</v>
      </c>
      <c r="C142" t="s">
        <v>384</v>
      </c>
      <c r="D142" t="s">
        <v>2</v>
      </c>
      <c r="E142" t="s">
        <v>384</v>
      </c>
      <c r="F142" t="s">
        <v>13</v>
      </c>
      <c r="G142" t="s">
        <v>525</v>
      </c>
    </row>
    <row r="143" spans="1:7" x14ac:dyDescent="0.3">
      <c r="A143">
        <v>0</v>
      </c>
      <c r="B143" t="s">
        <v>319</v>
      </c>
      <c r="C143" t="s">
        <v>464</v>
      </c>
      <c r="D143" t="s">
        <v>2</v>
      </c>
      <c r="E143" t="s">
        <v>464</v>
      </c>
      <c r="F143" t="s">
        <v>13</v>
      </c>
      <c r="G143" t="s">
        <v>525</v>
      </c>
    </row>
    <row r="144" spans="1:7" x14ac:dyDescent="0.3">
      <c r="A144">
        <v>0</v>
      </c>
      <c r="B144" t="s">
        <v>312</v>
      </c>
      <c r="C144" t="s">
        <v>323</v>
      </c>
      <c r="D144" t="s">
        <v>2</v>
      </c>
      <c r="E144" t="s">
        <v>323</v>
      </c>
      <c r="F144" t="s">
        <v>13</v>
      </c>
      <c r="G144" t="s">
        <v>525</v>
      </c>
    </row>
    <row r="145" spans="1:7" x14ac:dyDescent="0.3">
      <c r="A145">
        <v>0</v>
      </c>
      <c r="B145" t="s">
        <v>314</v>
      </c>
      <c r="C145" t="s">
        <v>414</v>
      </c>
      <c r="D145" t="s">
        <v>2</v>
      </c>
      <c r="E145" t="s">
        <v>414</v>
      </c>
      <c r="F145" t="s">
        <v>13</v>
      </c>
      <c r="G145" t="s">
        <v>525</v>
      </c>
    </row>
    <row r="146" spans="1:7" x14ac:dyDescent="0.3">
      <c r="A146">
        <v>0</v>
      </c>
      <c r="B146" t="s">
        <v>312</v>
      </c>
      <c r="C146" t="s">
        <v>261</v>
      </c>
      <c r="D146" t="s">
        <v>2</v>
      </c>
      <c r="E146" t="s">
        <v>261</v>
      </c>
      <c r="F146" t="s">
        <v>13</v>
      </c>
      <c r="G146" t="s">
        <v>525</v>
      </c>
    </row>
    <row r="147" spans="1:7" x14ac:dyDescent="0.3">
      <c r="A147">
        <v>0</v>
      </c>
      <c r="B147" t="s">
        <v>319</v>
      </c>
      <c r="C147" t="s">
        <v>364</v>
      </c>
      <c r="D147" t="s">
        <v>2</v>
      </c>
      <c r="E147" t="s">
        <v>364</v>
      </c>
      <c r="F147" t="s">
        <v>13</v>
      </c>
      <c r="G147" t="s">
        <v>525</v>
      </c>
    </row>
    <row r="148" spans="1:7" x14ac:dyDescent="0.3">
      <c r="A148">
        <v>0</v>
      </c>
      <c r="B148" t="s">
        <v>312</v>
      </c>
      <c r="C148" t="s">
        <v>373</v>
      </c>
      <c r="D148" t="s">
        <v>2</v>
      </c>
      <c r="E148" t="s">
        <v>373</v>
      </c>
      <c r="F148" t="s">
        <v>13</v>
      </c>
      <c r="G148" t="s">
        <v>525</v>
      </c>
    </row>
    <row r="149" spans="1:7" x14ac:dyDescent="0.3">
      <c r="A149">
        <v>0</v>
      </c>
      <c r="B149" t="s">
        <v>312</v>
      </c>
      <c r="C149" t="s">
        <v>482</v>
      </c>
      <c r="D149" t="s">
        <v>2</v>
      </c>
      <c r="E149" t="s">
        <v>482</v>
      </c>
      <c r="F149" t="s">
        <v>13</v>
      </c>
      <c r="G149" t="s">
        <v>525</v>
      </c>
    </row>
    <row r="150" spans="1:7" x14ac:dyDescent="0.3">
      <c r="A150">
        <v>0</v>
      </c>
      <c r="B150" t="s">
        <v>312</v>
      </c>
      <c r="C150" t="s">
        <v>412</v>
      </c>
      <c r="D150" t="s">
        <v>2</v>
      </c>
      <c r="E150" t="s">
        <v>412</v>
      </c>
      <c r="F150" t="s">
        <v>13</v>
      </c>
      <c r="G150" t="s">
        <v>525</v>
      </c>
    </row>
    <row r="151" spans="1:7" x14ac:dyDescent="0.3">
      <c r="A151">
        <v>0</v>
      </c>
      <c r="B151" t="s">
        <v>312</v>
      </c>
      <c r="C151" t="s">
        <v>434</v>
      </c>
      <c r="D151" t="s">
        <v>2</v>
      </c>
      <c r="E151" t="s">
        <v>434</v>
      </c>
      <c r="F151" t="s">
        <v>13</v>
      </c>
      <c r="G151" t="s">
        <v>525</v>
      </c>
    </row>
    <row r="152" spans="1:7" x14ac:dyDescent="0.3">
      <c r="A152">
        <v>0</v>
      </c>
      <c r="B152" t="s">
        <v>314</v>
      </c>
      <c r="C152" t="s">
        <v>443</v>
      </c>
      <c r="D152" t="s">
        <v>2</v>
      </c>
      <c r="E152" t="s">
        <v>443</v>
      </c>
      <c r="F152" t="s">
        <v>13</v>
      </c>
      <c r="G152" t="s">
        <v>525</v>
      </c>
    </row>
    <row r="153" spans="1:7" x14ac:dyDescent="0.3">
      <c r="A153">
        <v>0</v>
      </c>
      <c r="B153" t="s">
        <v>319</v>
      </c>
      <c r="C153" t="s">
        <v>430</v>
      </c>
      <c r="D153" t="s">
        <v>2</v>
      </c>
      <c r="E153" t="s">
        <v>430</v>
      </c>
      <c r="F153" t="s">
        <v>13</v>
      </c>
      <c r="G153" t="s">
        <v>525</v>
      </c>
    </row>
    <row r="154" spans="1:7" x14ac:dyDescent="0.3">
      <c r="A154">
        <v>0</v>
      </c>
      <c r="B154" t="s">
        <v>314</v>
      </c>
      <c r="C154" t="s">
        <v>408</v>
      </c>
      <c r="D154" t="s">
        <v>2</v>
      </c>
      <c r="E154" t="s">
        <v>408</v>
      </c>
      <c r="F154" t="s">
        <v>13</v>
      </c>
      <c r="G154" t="s">
        <v>525</v>
      </c>
    </row>
    <row r="155" spans="1:7" x14ac:dyDescent="0.3">
      <c r="A155">
        <v>0</v>
      </c>
      <c r="B155" t="s">
        <v>312</v>
      </c>
      <c r="C155" t="s">
        <v>138</v>
      </c>
      <c r="D155" t="s">
        <v>2</v>
      </c>
      <c r="E155" t="s">
        <v>138</v>
      </c>
      <c r="F155" t="s">
        <v>13</v>
      </c>
      <c r="G155" t="s">
        <v>525</v>
      </c>
    </row>
    <row r="156" spans="1:7" x14ac:dyDescent="0.3">
      <c r="A156">
        <v>0</v>
      </c>
      <c r="B156" t="s">
        <v>312</v>
      </c>
      <c r="C156" t="s">
        <v>275</v>
      </c>
      <c r="D156" t="s">
        <v>2</v>
      </c>
      <c r="E156" t="s">
        <v>275</v>
      </c>
      <c r="F156" t="s">
        <v>13</v>
      </c>
      <c r="G156" t="s">
        <v>525</v>
      </c>
    </row>
    <row r="157" spans="1:7" x14ac:dyDescent="0.3">
      <c r="A157">
        <v>0</v>
      </c>
      <c r="B157" t="s">
        <v>312</v>
      </c>
      <c r="C157" t="s">
        <v>337</v>
      </c>
      <c r="D157" t="s">
        <v>2</v>
      </c>
      <c r="E157" t="s">
        <v>337</v>
      </c>
      <c r="F157" t="s">
        <v>13</v>
      </c>
      <c r="G157" t="s">
        <v>525</v>
      </c>
    </row>
    <row r="158" spans="1:7" x14ac:dyDescent="0.3">
      <c r="A158">
        <v>0</v>
      </c>
      <c r="B158" t="s">
        <v>312</v>
      </c>
      <c r="C158" t="s">
        <v>331</v>
      </c>
      <c r="D158" t="s">
        <v>2</v>
      </c>
      <c r="E158" t="s">
        <v>331</v>
      </c>
      <c r="F158" t="s">
        <v>13</v>
      </c>
      <c r="G158" t="s">
        <v>525</v>
      </c>
    </row>
    <row r="159" spans="1:7" x14ac:dyDescent="0.3">
      <c r="A159">
        <v>0</v>
      </c>
      <c r="B159" t="s">
        <v>312</v>
      </c>
      <c r="C159" t="s">
        <v>452</v>
      </c>
      <c r="D159" t="s">
        <v>2</v>
      </c>
      <c r="E159" t="s">
        <v>452</v>
      </c>
      <c r="F159" t="s">
        <v>13</v>
      </c>
      <c r="G159" t="s">
        <v>525</v>
      </c>
    </row>
    <row r="160" spans="1:7" x14ac:dyDescent="0.3">
      <c r="A160">
        <v>0</v>
      </c>
      <c r="B160" t="s">
        <v>319</v>
      </c>
      <c r="C160" t="s">
        <v>477</v>
      </c>
      <c r="D160" t="s">
        <v>2</v>
      </c>
      <c r="E160" t="s">
        <v>477</v>
      </c>
      <c r="F160" t="s">
        <v>13</v>
      </c>
      <c r="G160" t="s">
        <v>525</v>
      </c>
    </row>
    <row r="161" spans="1:7" x14ac:dyDescent="0.3">
      <c r="A161">
        <v>0</v>
      </c>
      <c r="B161" t="s">
        <v>312</v>
      </c>
      <c r="C161" t="s">
        <v>446</v>
      </c>
      <c r="D161" t="s">
        <v>2</v>
      </c>
      <c r="E161" t="s">
        <v>446</v>
      </c>
      <c r="F161" t="s">
        <v>13</v>
      </c>
      <c r="G161" t="s">
        <v>525</v>
      </c>
    </row>
    <row r="162" spans="1:7" x14ac:dyDescent="0.3">
      <c r="A162">
        <v>0</v>
      </c>
      <c r="B162" t="s">
        <v>319</v>
      </c>
      <c r="C162" t="s">
        <v>491</v>
      </c>
      <c r="D162" t="s">
        <v>2</v>
      </c>
      <c r="E162" t="s">
        <v>491</v>
      </c>
      <c r="F162" t="s">
        <v>13</v>
      </c>
      <c r="G162" t="s">
        <v>525</v>
      </c>
    </row>
    <row r="163" spans="1:7" x14ac:dyDescent="0.3">
      <c r="A163">
        <v>0</v>
      </c>
      <c r="B163" t="s">
        <v>312</v>
      </c>
      <c r="C163" t="s">
        <v>326</v>
      </c>
      <c r="D163" t="s">
        <v>2</v>
      </c>
      <c r="E163" t="s">
        <v>326</v>
      </c>
      <c r="F163" t="s">
        <v>13</v>
      </c>
      <c r="G163" t="s">
        <v>525</v>
      </c>
    </row>
    <row r="164" spans="1:7" x14ac:dyDescent="0.3">
      <c r="A164">
        <v>0</v>
      </c>
      <c r="B164" t="s">
        <v>319</v>
      </c>
      <c r="C164" t="s">
        <v>415</v>
      </c>
      <c r="D164" t="s">
        <v>2</v>
      </c>
      <c r="E164" t="s">
        <v>415</v>
      </c>
      <c r="F164" t="s">
        <v>13</v>
      </c>
      <c r="G164" t="s">
        <v>525</v>
      </c>
    </row>
    <row r="165" spans="1:7" x14ac:dyDescent="0.3">
      <c r="A165">
        <v>0</v>
      </c>
      <c r="B165" t="s">
        <v>314</v>
      </c>
      <c r="C165" t="s">
        <v>451</v>
      </c>
      <c r="D165" t="s">
        <v>2</v>
      </c>
      <c r="E165" t="s">
        <v>451</v>
      </c>
      <c r="F165" t="s">
        <v>13</v>
      </c>
      <c r="G165" t="s">
        <v>525</v>
      </c>
    </row>
    <row r="166" spans="1:7" x14ac:dyDescent="0.3">
      <c r="A166">
        <v>0</v>
      </c>
      <c r="B166" t="s">
        <v>314</v>
      </c>
      <c r="C166" t="s">
        <v>448</v>
      </c>
      <c r="D166" t="s">
        <v>2</v>
      </c>
      <c r="E166" t="s">
        <v>448</v>
      </c>
      <c r="F166" t="s">
        <v>13</v>
      </c>
      <c r="G166" t="s">
        <v>525</v>
      </c>
    </row>
    <row r="167" spans="1:7" x14ac:dyDescent="0.3">
      <c r="A167">
        <v>0</v>
      </c>
      <c r="B167" t="s">
        <v>312</v>
      </c>
      <c r="C167" t="s">
        <v>423</v>
      </c>
      <c r="D167" t="s">
        <v>2</v>
      </c>
      <c r="E167" t="s">
        <v>423</v>
      </c>
      <c r="F167" t="s">
        <v>13</v>
      </c>
      <c r="G167" t="s">
        <v>525</v>
      </c>
    </row>
    <row r="168" spans="1:7" x14ac:dyDescent="0.3">
      <c r="A168">
        <v>0</v>
      </c>
      <c r="B168" t="s">
        <v>319</v>
      </c>
      <c r="C168" t="s">
        <v>361</v>
      </c>
      <c r="D168" t="s">
        <v>2</v>
      </c>
      <c r="E168" t="s">
        <v>361</v>
      </c>
      <c r="F168" t="s">
        <v>13</v>
      </c>
      <c r="G168" t="s">
        <v>525</v>
      </c>
    </row>
    <row r="169" spans="1:7" x14ac:dyDescent="0.3">
      <c r="A169">
        <v>0</v>
      </c>
      <c r="B169" t="s">
        <v>314</v>
      </c>
      <c r="C169" t="s">
        <v>467</v>
      </c>
      <c r="D169" t="s">
        <v>2</v>
      </c>
      <c r="E169" t="s">
        <v>467</v>
      </c>
      <c r="F169" t="s">
        <v>13</v>
      </c>
      <c r="G169" t="s">
        <v>525</v>
      </c>
    </row>
    <row r="170" spans="1:7" x14ac:dyDescent="0.3">
      <c r="A170">
        <v>0</v>
      </c>
      <c r="B170" t="s">
        <v>319</v>
      </c>
      <c r="C170" t="s">
        <v>420</v>
      </c>
      <c r="D170" t="s">
        <v>2</v>
      </c>
      <c r="E170" t="s">
        <v>420</v>
      </c>
      <c r="F170" t="s">
        <v>13</v>
      </c>
      <c r="G170" t="s">
        <v>525</v>
      </c>
    </row>
    <row r="171" spans="1:7" x14ac:dyDescent="0.3">
      <c r="A171">
        <v>0</v>
      </c>
      <c r="B171" t="s">
        <v>314</v>
      </c>
      <c r="C171" t="s">
        <v>487</v>
      </c>
      <c r="D171" t="s">
        <v>2</v>
      </c>
      <c r="E171" t="s">
        <v>487</v>
      </c>
      <c r="F171" t="s">
        <v>13</v>
      </c>
      <c r="G171" t="s">
        <v>525</v>
      </c>
    </row>
    <row r="172" spans="1:7" x14ac:dyDescent="0.3">
      <c r="A172">
        <v>0</v>
      </c>
      <c r="B172" t="s">
        <v>312</v>
      </c>
      <c r="C172" t="s">
        <v>149</v>
      </c>
      <c r="D172" t="s">
        <v>2</v>
      </c>
      <c r="E172" t="s">
        <v>149</v>
      </c>
      <c r="F172" t="s">
        <v>13</v>
      </c>
      <c r="G172" t="s">
        <v>525</v>
      </c>
    </row>
    <row r="173" spans="1:7" x14ac:dyDescent="0.3">
      <c r="A173">
        <v>0</v>
      </c>
      <c r="B173" t="s">
        <v>314</v>
      </c>
      <c r="C173" t="s">
        <v>377</v>
      </c>
      <c r="D173" t="s">
        <v>2</v>
      </c>
      <c r="E173" t="s">
        <v>377</v>
      </c>
      <c r="F173" t="s">
        <v>13</v>
      </c>
      <c r="G173" t="s">
        <v>525</v>
      </c>
    </row>
    <row r="174" spans="1:7" x14ac:dyDescent="0.3">
      <c r="A174">
        <v>0</v>
      </c>
      <c r="B174" t="s">
        <v>312</v>
      </c>
      <c r="C174" t="s">
        <v>403</v>
      </c>
      <c r="D174" t="s">
        <v>2</v>
      </c>
      <c r="E174" t="s">
        <v>403</v>
      </c>
      <c r="F174" t="s">
        <v>13</v>
      </c>
      <c r="G174" t="s">
        <v>525</v>
      </c>
    </row>
    <row r="175" spans="1:7" x14ac:dyDescent="0.3">
      <c r="A175">
        <v>0</v>
      </c>
      <c r="B175" t="s">
        <v>312</v>
      </c>
      <c r="C175" t="s">
        <v>387</v>
      </c>
      <c r="D175" t="s">
        <v>2</v>
      </c>
      <c r="E175" t="s">
        <v>387</v>
      </c>
      <c r="F175" t="s">
        <v>13</v>
      </c>
      <c r="G175" t="s">
        <v>525</v>
      </c>
    </row>
    <row r="176" spans="1:7" x14ac:dyDescent="0.3">
      <c r="A176">
        <v>0</v>
      </c>
      <c r="B176" t="s">
        <v>312</v>
      </c>
      <c r="C176" t="s">
        <v>431</v>
      </c>
      <c r="D176" t="s">
        <v>2</v>
      </c>
      <c r="E176" t="s">
        <v>431</v>
      </c>
      <c r="F176" t="s">
        <v>13</v>
      </c>
      <c r="G176" t="s">
        <v>525</v>
      </c>
    </row>
    <row r="177" spans="1:7" x14ac:dyDescent="0.3">
      <c r="A177">
        <v>0</v>
      </c>
      <c r="B177" t="s">
        <v>319</v>
      </c>
      <c r="C177" t="s">
        <v>459</v>
      </c>
      <c r="D177" t="s">
        <v>2</v>
      </c>
      <c r="E177" t="s">
        <v>459</v>
      </c>
      <c r="F177" t="s">
        <v>13</v>
      </c>
      <c r="G177" t="s">
        <v>525</v>
      </c>
    </row>
    <row r="178" spans="1:7" x14ac:dyDescent="0.3">
      <c r="A178">
        <v>0</v>
      </c>
      <c r="B178" t="s">
        <v>314</v>
      </c>
      <c r="C178" t="s">
        <v>376</v>
      </c>
      <c r="D178" t="s">
        <v>2</v>
      </c>
      <c r="E178" t="s">
        <v>376</v>
      </c>
      <c r="F178" t="s">
        <v>13</v>
      </c>
      <c r="G178" t="s">
        <v>525</v>
      </c>
    </row>
    <row r="179" spans="1:7" x14ac:dyDescent="0.3">
      <c r="A179">
        <v>0</v>
      </c>
      <c r="B179" t="s">
        <v>312</v>
      </c>
      <c r="C179" t="s">
        <v>379</v>
      </c>
      <c r="D179" t="s">
        <v>2</v>
      </c>
      <c r="E179" t="s">
        <v>379</v>
      </c>
      <c r="F179" t="s">
        <v>13</v>
      </c>
      <c r="G179" t="s">
        <v>525</v>
      </c>
    </row>
    <row r="180" spans="1:7" x14ac:dyDescent="0.3">
      <c r="A180">
        <v>0</v>
      </c>
      <c r="B180" t="s">
        <v>314</v>
      </c>
      <c r="C180" t="s">
        <v>445</v>
      </c>
      <c r="D180" t="s">
        <v>2</v>
      </c>
      <c r="E180" t="s">
        <v>445</v>
      </c>
      <c r="F180" t="s">
        <v>13</v>
      </c>
      <c r="G180" t="s">
        <v>525</v>
      </c>
    </row>
    <row r="181" spans="1:7" x14ac:dyDescent="0.3">
      <c r="A181">
        <v>0</v>
      </c>
      <c r="B181" t="s">
        <v>319</v>
      </c>
      <c r="C181" t="s">
        <v>460</v>
      </c>
      <c r="D181" t="s">
        <v>2</v>
      </c>
      <c r="E181" t="s">
        <v>460</v>
      </c>
      <c r="F181" t="s">
        <v>13</v>
      </c>
      <c r="G181" t="s">
        <v>525</v>
      </c>
    </row>
    <row r="182" spans="1:7" x14ac:dyDescent="0.3">
      <c r="A182">
        <v>0</v>
      </c>
      <c r="B182" t="s">
        <v>314</v>
      </c>
      <c r="C182" t="s">
        <v>450</v>
      </c>
      <c r="D182" t="s">
        <v>2</v>
      </c>
      <c r="E182" t="s">
        <v>450</v>
      </c>
      <c r="F182" t="s">
        <v>13</v>
      </c>
      <c r="G182" t="s">
        <v>525</v>
      </c>
    </row>
    <row r="183" spans="1:7" x14ac:dyDescent="0.3">
      <c r="A183">
        <v>0</v>
      </c>
      <c r="B183" t="s">
        <v>312</v>
      </c>
      <c r="C183" t="s">
        <v>473</v>
      </c>
      <c r="D183" t="s">
        <v>2</v>
      </c>
      <c r="E183" t="s">
        <v>473</v>
      </c>
      <c r="F183" t="s">
        <v>13</v>
      </c>
      <c r="G183" t="s">
        <v>525</v>
      </c>
    </row>
    <row r="184" spans="1:7" x14ac:dyDescent="0.3">
      <c r="A184">
        <v>0</v>
      </c>
      <c r="B184" t="s">
        <v>314</v>
      </c>
      <c r="C184" t="s">
        <v>313</v>
      </c>
      <c r="D184" t="s">
        <v>2</v>
      </c>
      <c r="E184" t="s">
        <v>313</v>
      </c>
      <c r="F184" t="s">
        <v>13</v>
      </c>
      <c r="G184" t="s">
        <v>525</v>
      </c>
    </row>
    <row r="185" spans="1:7" x14ac:dyDescent="0.3">
      <c r="A185">
        <v>0</v>
      </c>
      <c r="B185" t="s">
        <v>312</v>
      </c>
      <c r="C185" t="s">
        <v>472</v>
      </c>
      <c r="D185" t="s">
        <v>2</v>
      </c>
      <c r="E185" t="s">
        <v>472</v>
      </c>
      <c r="F185" t="s">
        <v>13</v>
      </c>
      <c r="G185" t="s">
        <v>525</v>
      </c>
    </row>
    <row r="186" spans="1:7" x14ac:dyDescent="0.3">
      <c r="A186">
        <v>0</v>
      </c>
      <c r="B186" t="s">
        <v>312</v>
      </c>
      <c r="C186" t="s">
        <v>402</v>
      </c>
      <c r="D186" t="s">
        <v>2</v>
      </c>
      <c r="E186" t="s">
        <v>402</v>
      </c>
      <c r="F186" t="s">
        <v>13</v>
      </c>
      <c r="G186" t="s">
        <v>525</v>
      </c>
    </row>
    <row r="187" spans="1:7" x14ac:dyDescent="0.3">
      <c r="A187">
        <v>0</v>
      </c>
      <c r="B187" t="s">
        <v>314</v>
      </c>
      <c r="C187" t="s">
        <v>455</v>
      </c>
      <c r="D187" t="s">
        <v>2</v>
      </c>
      <c r="E187" t="s">
        <v>455</v>
      </c>
      <c r="F187" t="s">
        <v>13</v>
      </c>
      <c r="G187" t="s">
        <v>525</v>
      </c>
    </row>
    <row r="188" spans="1:7" x14ac:dyDescent="0.3">
      <c r="A188">
        <v>0</v>
      </c>
      <c r="B188" t="s">
        <v>312</v>
      </c>
      <c r="C188" t="s">
        <v>411</v>
      </c>
      <c r="D188" t="s">
        <v>2</v>
      </c>
      <c r="E188" t="s">
        <v>411</v>
      </c>
      <c r="F188" t="s">
        <v>13</v>
      </c>
      <c r="G188" t="s">
        <v>525</v>
      </c>
    </row>
    <row r="189" spans="1:7" x14ac:dyDescent="0.3">
      <c r="A189">
        <v>0</v>
      </c>
      <c r="B189" t="s">
        <v>312</v>
      </c>
      <c r="C189" t="s">
        <v>488</v>
      </c>
      <c r="D189" t="s">
        <v>2</v>
      </c>
      <c r="E189" t="s">
        <v>488</v>
      </c>
      <c r="F189" t="s">
        <v>13</v>
      </c>
      <c r="G189" t="s">
        <v>525</v>
      </c>
    </row>
    <row r="190" spans="1:7" x14ac:dyDescent="0.3">
      <c r="A190">
        <v>0</v>
      </c>
      <c r="B190" t="s">
        <v>319</v>
      </c>
      <c r="C190" t="s">
        <v>462</v>
      </c>
      <c r="D190" t="s">
        <v>2</v>
      </c>
      <c r="E190" t="s">
        <v>462</v>
      </c>
      <c r="F190" t="s">
        <v>13</v>
      </c>
      <c r="G190" t="s">
        <v>525</v>
      </c>
    </row>
    <row r="191" spans="1:7" x14ac:dyDescent="0.3">
      <c r="A191">
        <v>0</v>
      </c>
      <c r="B191" t="s">
        <v>312</v>
      </c>
      <c r="C191" t="s">
        <v>246</v>
      </c>
      <c r="D191" t="s">
        <v>2</v>
      </c>
      <c r="E191" t="s">
        <v>246</v>
      </c>
      <c r="F191" t="s">
        <v>13</v>
      </c>
      <c r="G191" t="s">
        <v>525</v>
      </c>
    </row>
    <row r="192" spans="1:7" x14ac:dyDescent="0.3">
      <c r="A192">
        <v>0</v>
      </c>
      <c r="B192" t="s">
        <v>312</v>
      </c>
      <c r="C192" t="s">
        <v>357</v>
      </c>
      <c r="D192" t="s">
        <v>2</v>
      </c>
      <c r="E192" t="s">
        <v>357</v>
      </c>
      <c r="F192" t="s">
        <v>13</v>
      </c>
      <c r="G192" t="s">
        <v>525</v>
      </c>
    </row>
    <row r="193" spans="1:7" x14ac:dyDescent="0.3">
      <c r="A193">
        <v>0</v>
      </c>
      <c r="B193" t="s">
        <v>314</v>
      </c>
      <c r="C193" t="s">
        <v>341</v>
      </c>
      <c r="D193" t="s">
        <v>2</v>
      </c>
      <c r="E193" t="s">
        <v>341</v>
      </c>
      <c r="F193" t="s">
        <v>13</v>
      </c>
      <c r="G193" t="s">
        <v>525</v>
      </c>
    </row>
    <row r="194" spans="1:7" x14ac:dyDescent="0.3">
      <c r="A194">
        <v>0</v>
      </c>
      <c r="B194" t="s">
        <v>319</v>
      </c>
      <c r="C194" t="s">
        <v>466</v>
      </c>
      <c r="D194" t="s">
        <v>2</v>
      </c>
      <c r="E194" t="s">
        <v>466</v>
      </c>
      <c r="F194" t="s">
        <v>13</v>
      </c>
      <c r="G194" t="s">
        <v>525</v>
      </c>
    </row>
    <row r="195" spans="1:7" x14ac:dyDescent="0.3">
      <c r="A195">
        <v>0</v>
      </c>
      <c r="B195" t="s">
        <v>319</v>
      </c>
      <c r="C195" t="s">
        <v>362</v>
      </c>
      <c r="D195" t="s">
        <v>2</v>
      </c>
      <c r="E195" t="s">
        <v>362</v>
      </c>
      <c r="F195" t="s">
        <v>13</v>
      </c>
      <c r="G195" t="s">
        <v>525</v>
      </c>
    </row>
    <row r="196" spans="1:7" x14ac:dyDescent="0.3">
      <c r="A196">
        <v>0</v>
      </c>
      <c r="B196" t="s">
        <v>312</v>
      </c>
      <c r="C196" t="s">
        <v>433</v>
      </c>
      <c r="D196" t="s">
        <v>2</v>
      </c>
      <c r="E196" t="s">
        <v>433</v>
      </c>
      <c r="F196" t="s">
        <v>13</v>
      </c>
      <c r="G196" t="s">
        <v>525</v>
      </c>
    </row>
    <row r="197" spans="1:7" x14ac:dyDescent="0.3">
      <c r="A197">
        <v>0</v>
      </c>
      <c r="B197" t="s">
        <v>312</v>
      </c>
      <c r="C197" t="s">
        <v>397</v>
      </c>
      <c r="D197" t="s">
        <v>2</v>
      </c>
      <c r="E197" t="s">
        <v>397</v>
      </c>
      <c r="F197" t="s">
        <v>13</v>
      </c>
      <c r="G197" t="s">
        <v>525</v>
      </c>
    </row>
    <row r="198" spans="1:7" x14ac:dyDescent="0.3">
      <c r="A198">
        <v>0</v>
      </c>
      <c r="B198" t="s">
        <v>319</v>
      </c>
      <c r="C198" t="s">
        <v>378</v>
      </c>
      <c r="D198" t="s">
        <v>2</v>
      </c>
      <c r="E198" t="s">
        <v>378</v>
      </c>
      <c r="F198" t="s">
        <v>13</v>
      </c>
      <c r="G198" t="s">
        <v>525</v>
      </c>
    </row>
    <row r="199" spans="1:7" x14ac:dyDescent="0.3">
      <c r="A199">
        <v>0</v>
      </c>
      <c r="B199" t="s">
        <v>105</v>
      </c>
      <c r="C199" t="s">
        <v>117</v>
      </c>
      <c r="D199" t="s">
        <v>2</v>
      </c>
      <c r="E199" t="s">
        <v>117</v>
      </c>
      <c r="F199" t="s">
        <v>13</v>
      </c>
      <c r="G199" t="s">
        <v>525</v>
      </c>
    </row>
    <row r="200" spans="1:7" x14ac:dyDescent="0.3">
      <c r="A200">
        <v>0</v>
      </c>
      <c r="B200" t="s">
        <v>312</v>
      </c>
      <c r="C200" t="s">
        <v>476</v>
      </c>
      <c r="D200" t="s">
        <v>2</v>
      </c>
      <c r="E200" t="s">
        <v>476</v>
      </c>
      <c r="F200" t="s">
        <v>13</v>
      </c>
      <c r="G200" t="s">
        <v>525</v>
      </c>
    </row>
    <row r="201" spans="1:7" x14ac:dyDescent="0.3">
      <c r="A201">
        <v>0</v>
      </c>
      <c r="B201" t="s">
        <v>319</v>
      </c>
      <c r="C201" t="s">
        <v>478</v>
      </c>
      <c r="D201" t="s">
        <v>2</v>
      </c>
      <c r="E201" t="s">
        <v>478</v>
      </c>
      <c r="F201" t="s">
        <v>13</v>
      </c>
      <c r="G201" t="s">
        <v>525</v>
      </c>
    </row>
    <row r="202" spans="1:7" x14ac:dyDescent="0.3">
      <c r="A202">
        <v>0</v>
      </c>
      <c r="B202" t="s">
        <v>312</v>
      </c>
      <c r="C202" t="s">
        <v>367</v>
      </c>
      <c r="D202" t="s">
        <v>2</v>
      </c>
      <c r="E202" t="s">
        <v>367</v>
      </c>
      <c r="F202" t="s">
        <v>13</v>
      </c>
      <c r="G202" t="s">
        <v>525</v>
      </c>
    </row>
    <row r="203" spans="1:7" x14ac:dyDescent="0.3">
      <c r="A203">
        <v>0</v>
      </c>
      <c r="B203" t="s">
        <v>312</v>
      </c>
      <c r="C203" t="s">
        <v>346</v>
      </c>
      <c r="D203" t="s">
        <v>2</v>
      </c>
      <c r="E203" t="s">
        <v>346</v>
      </c>
      <c r="F203" t="s">
        <v>13</v>
      </c>
      <c r="G203" t="s">
        <v>525</v>
      </c>
    </row>
    <row r="204" spans="1:7" x14ac:dyDescent="0.3">
      <c r="A204">
        <v>0</v>
      </c>
      <c r="B204" t="s">
        <v>105</v>
      </c>
      <c r="C204" t="s">
        <v>119</v>
      </c>
      <c r="D204" t="s">
        <v>2</v>
      </c>
      <c r="E204" t="s">
        <v>119</v>
      </c>
      <c r="F204" t="s">
        <v>13</v>
      </c>
      <c r="G204" t="s">
        <v>525</v>
      </c>
    </row>
    <row r="205" spans="1:7" x14ac:dyDescent="0.3">
      <c r="A205">
        <v>0</v>
      </c>
      <c r="B205" t="s">
        <v>312</v>
      </c>
      <c r="C205" t="s">
        <v>385</v>
      </c>
      <c r="D205" t="s">
        <v>2</v>
      </c>
      <c r="E205" t="s">
        <v>385</v>
      </c>
      <c r="F205" t="s">
        <v>13</v>
      </c>
      <c r="G205" t="s">
        <v>525</v>
      </c>
    </row>
    <row r="206" spans="1:7" x14ac:dyDescent="0.3">
      <c r="A206">
        <v>0</v>
      </c>
      <c r="B206" t="s">
        <v>57</v>
      </c>
      <c r="C206" t="s">
        <v>120</v>
      </c>
      <c r="D206" t="s">
        <v>2</v>
      </c>
      <c r="E206" t="s">
        <v>120</v>
      </c>
      <c r="F206" t="s">
        <v>13</v>
      </c>
      <c r="G206" t="s">
        <v>525</v>
      </c>
    </row>
    <row r="207" spans="1:7" x14ac:dyDescent="0.3">
      <c r="A207">
        <v>0</v>
      </c>
      <c r="B207" t="s">
        <v>312</v>
      </c>
      <c r="C207" t="s">
        <v>324</v>
      </c>
      <c r="D207" t="s">
        <v>2</v>
      </c>
      <c r="E207" t="s">
        <v>324</v>
      </c>
      <c r="F207" t="s">
        <v>13</v>
      </c>
      <c r="G207" t="s">
        <v>525</v>
      </c>
    </row>
    <row r="208" spans="1:7" x14ac:dyDescent="0.3">
      <c r="A208">
        <v>0</v>
      </c>
      <c r="B208" t="s">
        <v>312</v>
      </c>
      <c r="C208" t="s">
        <v>327</v>
      </c>
      <c r="D208" t="s">
        <v>2</v>
      </c>
      <c r="E208" t="s">
        <v>327</v>
      </c>
      <c r="F208" t="s">
        <v>13</v>
      </c>
      <c r="G208" t="s">
        <v>525</v>
      </c>
    </row>
    <row r="209" spans="1:7" x14ac:dyDescent="0.3">
      <c r="A209">
        <v>0</v>
      </c>
      <c r="B209" t="s">
        <v>314</v>
      </c>
      <c r="C209" t="s">
        <v>441</v>
      </c>
      <c r="D209" t="s">
        <v>2</v>
      </c>
      <c r="E209" t="s">
        <v>441</v>
      </c>
      <c r="F209" t="s">
        <v>13</v>
      </c>
      <c r="G209" t="s">
        <v>525</v>
      </c>
    </row>
    <row r="210" spans="1:7" x14ac:dyDescent="0.3">
      <c r="A210">
        <v>0</v>
      </c>
      <c r="B210" t="s">
        <v>105</v>
      </c>
      <c r="C210" t="s">
        <v>115</v>
      </c>
      <c r="D210" t="s">
        <v>2</v>
      </c>
      <c r="E210" t="s">
        <v>115</v>
      </c>
      <c r="F210" t="s">
        <v>13</v>
      </c>
      <c r="G210" t="s">
        <v>525</v>
      </c>
    </row>
    <row r="211" spans="1:7" x14ac:dyDescent="0.3">
      <c r="A211">
        <v>0</v>
      </c>
      <c r="B211" t="s">
        <v>312</v>
      </c>
      <c r="C211" t="s">
        <v>484</v>
      </c>
      <c r="D211" t="s">
        <v>2</v>
      </c>
      <c r="E211" t="s">
        <v>484</v>
      </c>
      <c r="F211" t="s">
        <v>13</v>
      </c>
      <c r="G211" t="s">
        <v>525</v>
      </c>
    </row>
    <row r="212" spans="1:7" x14ac:dyDescent="0.3">
      <c r="A212">
        <v>0</v>
      </c>
      <c r="B212" t="s">
        <v>312</v>
      </c>
      <c r="C212" t="s">
        <v>311</v>
      </c>
      <c r="D212" t="s">
        <v>2</v>
      </c>
      <c r="E212" t="s">
        <v>311</v>
      </c>
      <c r="F212" t="s">
        <v>13</v>
      </c>
      <c r="G212" t="s">
        <v>525</v>
      </c>
    </row>
    <row r="213" spans="1:7" x14ac:dyDescent="0.3">
      <c r="A213">
        <v>0</v>
      </c>
      <c r="B213" t="s">
        <v>312</v>
      </c>
      <c r="C213" t="s">
        <v>365</v>
      </c>
      <c r="D213" t="s">
        <v>2</v>
      </c>
      <c r="E213" t="s">
        <v>365</v>
      </c>
      <c r="F213" t="s">
        <v>13</v>
      </c>
      <c r="G213" t="s">
        <v>525</v>
      </c>
    </row>
    <row r="214" spans="1:7" x14ac:dyDescent="0.3">
      <c r="A214">
        <v>0</v>
      </c>
      <c r="B214" t="s">
        <v>314</v>
      </c>
      <c r="C214" t="s">
        <v>350</v>
      </c>
      <c r="D214" t="s">
        <v>2</v>
      </c>
      <c r="E214" t="s">
        <v>350</v>
      </c>
      <c r="F214" t="s">
        <v>13</v>
      </c>
      <c r="G214" t="s">
        <v>525</v>
      </c>
    </row>
    <row r="215" spans="1:7" x14ac:dyDescent="0.3">
      <c r="A215">
        <v>0</v>
      </c>
      <c r="B215" t="s">
        <v>105</v>
      </c>
      <c r="C215" t="s">
        <v>123</v>
      </c>
      <c r="D215" t="s">
        <v>2</v>
      </c>
      <c r="E215" t="s">
        <v>123</v>
      </c>
      <c r="F215" t="s">
        <v>13</v>
      </c>
      <c r="G215" t="s">
        <v>525</v>
      </c>
    </row>
    <row r="216" spans="1:7" x14ac:dyDescent="0.3">
      <c r="A216">
        <v>0</v>
      </c>
      <c r="B216" t="s">
        <v>312</v>
      </c>
      <c r="C216" t="s">
        <v>396</v>
      </c>
      <c r="D216" t="s">
        <v>2</v>
      </c>
      <c r="E216" t="s">
        <v>396</v>
      </c>
      <c r="F216" t="s">
        <v>13</v>
      </c>
      <c r="G216" t="s">
        <v>525</v>
      </c>
    </row>
    <row r="217" spans="1:7" x14ac:dyDescent="0.3">
      <c r="A217">
        <v>0</v>
      </c>
      <c r="B217" t="s">
        <v>312</v>
      </c>
      <c r="C217" t="s">
        <v>428</v>
      </c>
      <c r="D217" t="s">
        <v>2</v>
      </c>
      <c r="E217" t="s">
        <v>428</v>
      </c>
      <c r="F217" t="s">
        <v>13</v>
      </c>
      <c r="G217" t="s">
        <v>525</v>
      </c>
    </row>
    <row r="218" spans="1:7" x14ac:dyDescent="0.3">
      <c r="A218">
        <v>0</v>
      </c>
      <c r="B218" t="s">
        <v>312</v>
      </c>
      <c r="C218" t="s">
        <v>383</v>
      </c>
      <c r="D218" t="s">
        <v>2</v>
      </c>
      <c r="E218" t="s">
        <v>383</v>
      </c>
      <c r="F218" t="s">
        <v>13</v>
      </c>
      <c r="G218" t="s">
        <v>525</v>
      </c>
    </row>
    <row r="219" spans="1:7" x14ac:dyDescent="0.3">
      <c r="A219">
        <v>0</v>
      </c>
      <c r="B219" t="s">
        <v>312</v>
      </c>
      <c r="C219" t="s">
        <v>426</v>
      </c>
      <c r="D219" t="s">
        <v>2</v>
      </c>
      <c r="E219" t="s">
        <v>426</v>
      </c>
      <c r="F219" t="s">
        <v>13</v>
      </c>
      <c r="G219" t="s">
        <v>525</v>
      </c>
    </row>
    <row r="220" spans="1:7" x14ac:dyDescent="0.3">
      <c r="A220">
        <v>0</v>
      </c>
      <c r="B220" t="s">
        <v>312</v>
      </c>
      <c r="C220" t="s">
        <v>437</v>
      </c>
      <c r="D220" t="s">
        <v>2</v>
      </c>
      <c r="E220" t="s">
        <v>437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454</v>
      </c>
      <c r="D221" t="s">
        <v>2</v>
      </c>
      <c r="E221" t="s">
        <v>454</v>
      </c>
      <c r="F221" t="s">
        <v>13</v>
      </c>
      <c r="G221" t="s">
        <v>525</v>
      </c>
    </row>
    <row r="222" spans="1:7" x14ac:dyDescent="0.3">
      <c r="A222">
        <v>0</v>
      </c>
      <c r="B222" t="s">
        <v>312</v>
      </c>
      <c r="C222" t="s">
        <v>425</v>
      </c>
      <c r="D222" t="s">
        <v>2</v>
      </c>
      <c r="E222" t="s">
        <v>425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344</v>
      </c>
      <c r="D223" t="s">
        <v>2</v>
      </c>
      <c r="E223" t="s">
        <v>344</v>
      </c>
      <c r="F223" t="s">
        <v>13</v>
      </c>
      <c r="G223" t="s">
        <v>525</v>
      </c>
    </row>
    <row r="224" spans="1:7" x14ac:dyDescent="0.3">
      <c r="A224">
        <v>0</v>
      </c>
      <c r="B224" t="s">
        <v>312</v>
      </c>
      <c r="C224" t="s">
        <v>407</v>
      </c>
      <c r="D224" t="s">
        <v>2</v>
      </c>
      <c r="E224" t="s">
        <v>407</v>
      </c>
      <c r="F224" t="s">
        <v>13</v>
      </c>
      <c r="G224" t="s">
        <v>525</v>
      </c>
    </row>
    <row r="225" spans="1:7" x14ac:dyDescent="0.3">
      <c r="A225">
        <v>0</v>
      </c>
      <c r="B225" t="s">
        <v>314</v>
      </c>
      <c r="C225" t="s">
        <v>413</v>
      </c>
      <c r="D225" t="s">
        <v>2</v>
      </c>
      <c r="E225" t="s">
        <v>413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392</v>
      </c>
      <c r="D226" t="s">
        <v>2</v>
      </c>
      <c r="E226" t="s">
        <v>392</v>
      </c>
      <c r="F226" t="s">
        <v>13</v>
      </c>
      <c r="G226" t="s">
        <v>525</v>
      </c>
    </row>
    <row r="227" spans="1:7" x14ac:dyDescent="0.3">
      <c r="A227">
        <v>0</v>
      </c>
      <c r="B227" t="s">
        <v>319</v>
      </c>
      <c r="C227" t="s">
        <v>422</v>
      </c>
      <c r="D227" t="s">
        <v>2</v>
      </c>
      <c r="E227" t="s">
        <v>422</v>
      </c>
      <c r="F227" t="s">
        <v>13</v>
      </c>
      <c r="G227" t="s">
        <v>525</v>
      </c>
    </row>
    <row r="228" spans="1:7" x14ac:dyDescent="0.3">
      <c r="A228">
        <v>0</v>
      </c>
      <c r="B228" t="s">
        <v>314</v>
      </c>
      <c r="C228" t="s">
        <v>495</v>
      </c>
      <c r="D228" t="s">
        <v>494</v>
      </c>
      <c r="E228" t="s">
        <v>495</v>
      </c>
      <c r="F228" t="s">
        <v>13</v>
      </c>
      <c r="G228" t="s">
        <v>525</v>
      </c>
    </row>
    <row r="229" spans="1:7" x14ac:dyDescent="0.3">
      <c r="A229">
        <v>0</v>
      </c>
      <c r="B229" t="s">
        <v>314</v>
      </c>
      <c r="C229" t="s">
        <v>497</v>
      </c>
      <c r="D229" t="s">
        <v>494</v>
      </c>
      <c r="E229" t="s">
        <v>497</v>
      </c>
      <c r="F229" t="s">
        <v>13</v>
      </c>
      <c r="G229" t="s">
        <v>525</v>
      </c>
    </row>
    <row r="230" spans="1:7" x14ac:dyDescent="0.3">
      <c r="A230">
        <v>0</v>
      </c>
      <c r="B230" t="s">
        <v>314</v>
      </c>
      <c r="C230" t="s">
        <v>496</v>
      </c>
      <c r="D230" t="s">
        <v>494</v>
      </c>
      <c r="E230" t="s">
        <v>496</v>
      </c>
      <c r="F230" t="s">
        <v>13</v>
      </c>
      <c r="G230" t="s">
        <v>525</v>
      </c>
    </row>
    <row r="231" spans="1:7" x14ac:dyDescent="0.3">
      <c r="A231">
        <v>0</v>
      </c>
      <c r="B231" t="s">
        <v>312</v>
      </c>
      <c r="C231" t="s">
        <v>513</v>
      </c>
      <c r="D231" t="s">
        <v>498</v>
      </c>
      <c r="E231" t="s">
        <v>513</v>
      </c>
      <c r="F231" t="s">
        <v>13</v>
      </c>
      <c r="G231" t="s">
        <v>525</v>
      </c>
    </row>
    <row r="232" spans="1:7" x14ac:dyDescent="0.3">
      <c r="A232">
        <v>0</v>
      </c>
      <c r="B232" t="s">
        <v>312</v>
      </c>
      <c r="C232" t="s">
        <v>515</v>
      </c>
      <c r="D232" t="s">
        <v>498</v>
      </c>
      <c r="E232" t="s">
        <v>515</v>
      </c>
      <c r="F232" t="s">
        <v>13</v>
      </c>
      <c r="G232" t="s">
        <v>525</v>
      </c>
    </row>
    <row r="233" spans="1:7" x14ac:dyDescent="0.3">
      <c r="A233">
        <v>0</v>
      </c>
      <c r="B233" t="s">
        <v>312</v>
      </c>
      <c r="C233" t="s">
        <v>509</v>
      </c>
      <c r="D233" t="s">
        <v>498</v>
      </c>
      <c r="E233" t="s">
        <v>509</v>
      </c>
      <c r="F233" t="s">
        <v>13</v>
      </c>
      <c r="G233" t="s">
        <v>525</v>
      </c>
    </row>
    <row r="234" spans="1:7" x14ac:dyDescent="0.3">
      <c r="A234">
        <v>0</v>
      </c>
      <c r="B234" t="s">
        <v>312</v>
      </c>
      <c r="C234" t="s">
        <v>502</v>
      </c>
      <c r="D234" t="s">
        <v>498</v>
      </c>
      <c r="E234" t="s">
        <v>502</v>
      </c>
      <c r="F234" t="s">
        <v>13</v>
      </c>
      <c r="G234" t="s">
        <v>525</v>
      </c>
    </row>
    <row r="235" spans="1:7" x14ac:dyDescent="0.3">
      <c r="A235">
        <v>0</v>
      </c>
      <c r="B235" t="s">
        <v>312</v>
      </c>
      <c r="C235" t="s">
        <v>500</v>
      </c>
      <c r="D235" t="s">
        <v>498</v>
      </c>
      <c r="E235" t="s">
        <v>500</v>
      </c>
      <c r="F235" t="s">
        <v>13</v>
      </c>
      <c r="G235" t="s">
        <v>525</v>
      </c>
    </row>
    <row r="236" spans="1:7" x14ac:dyDescent="0.3">
      <c r="A236">
        <v>0</v>
      </c>
      <c r="B236" t="s">
        <v>507</v>
      </c>
      <c r="C236" t="s">
        <v>506</v>
      </c>
      <c r="D236" t="s">
        <v>498</v>
      </c>
      <c r="E236" t="s">
        <v>506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514</v>
      </c>
      <c r="D237" t="s">
        <v>498</v>
      </c>
      <c r="E237" t="s">
        <v>514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499</v>
      </c>
      <c r="D238" t="s">
        <v>498</v>
      </c>
      <c r="E238" t="s">
        <v>499</v>
      </c>
      <c r="F238" t="s">
        <v>13</v>
      </c>
      <c r="G238" t="s">
        <v>525</v>
      </c>
    </row>
    <row r="239" spans="1:7" x14ac:dyDescent="0.3">
      <c r="A239">
        <v>0</v>
      </c>
      <c r="B239" t="s">
        <v>312</v>
      </c>
      <c r="C239" t="s">
        <v>508</v>
      </c>
      <c r="D239" t="s">
        <v>498</v>
      </c>
      <c r="E239" t="s">
        <v>508</v>
      </c>
      <c r="F239" t="s">
        <v>13</v>
      </c>
      <c r="G239" t="s">
        <v>525</v>
      </c>
    </row>
    <row r="240" spans="1:7" x14ac:dyDescent="0.3">
      <c r="A240">
        <v>0</v>
      </c>
      <c r="B240" t="s">
        <v>312</v>
      </c>
      <c r="C240" t="s">
        <v>519</v>
      </c>
      <c r="D240" t="s">
        <v>498</v>
      </c>
      <c r="E240" t="s">
        <v>519</v>
      </c>
      <c r="F240" t="s">
        <v>13</v>
      </c>
      <c r="G240" t="s">
        <v>525</v>
      </c>
    </row>
    <row r="241" spans="1:7" x14ac:dyDescent="0.3">
      <c r="A241">
        <v>0</v>
      </c>
      <c r="B241" t="s">
        <v>312</v>
      </c>
      <c r="C241" t="s">
        <v>510</v>
      </c>
      <c r="D241" t="s">
        <v>498</v>
      </c>
      <c r="E241" t="s">
        <v>510</v>
      </c>
      <c r="F241" t="s">
        <v>13</v>
      </c>
      <c r="G241" t="s">
        <v>525</v>
      </c>
    </row>
    <row r="242" spans="1:7" x14ac:dyDescent="0.3">
      <c r="A242">
        <v>0</v>
      </c>
      <c r="B242" t="s">
        <v>312</v>
      </c>
      <c r="C242" t="s">
        <v>521</v>
      </c>
      <c r="D242" t="s">
        <v>498</v>
      </c>
      <c r="E242" t="s">
        <v>521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501</v>
      </c>
      <c r="D243" t="s">
        <v>498</v>
      </c>
      <c r="E243" t="s">
        <v>501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504</v>
      </c>
      <c r="D244" t="s">
        <v>498</v>
      </c>
      <c r="E244" t="s">
        <v>504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t="s">
        <v>520</v>
      </c>
      <c r="D245" t="s">
        <v>498</v>
      </c>
      <c r="E245" t="s">
        <v>520</v>
      </c>
      <c r="F245" t="s">
        <v>13</v>
      </c>
      <c r="G245" t="s">
        <v>525</v>
      </c>
    </row>
    <row r="246" spans="1:7" x14ac:dyDescent="0.3">
      <c r="A246">
        <v>0</v>
      </c>
      <c r="B246" t="s">
        <v>312</v>
      </c>
      <c r="C246" t="s">
        <v>523</v>
      </c>
      <c r="D246" t="s">
        <v>498</v>
      </c>
      <c r="E246" t="s">
        <v>523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503</v>
      </c>
      <c r="D247" t="s">
        <v>498</v>
      </c>
      <c r="E247" t="s">
        <v>503</v>
      </c>
      <c r="F247" t="s">
        <v>13</v>
      </c>
      <c r="G247" t="s">
        <v>525</v>
      </c>
    </row>
    <row r="248" spans="1:7" x14ac:dyDescent="0.3">
      <c r="A248">
        <v>0</v>
      </c>
      <c r="B248" t="s">
        <v>312</v>
      </c>
      <c r="C248" t="s">
        <v>512</v>
      </c>
      <c r="D248" t="s">
        <v>498</v>
      </c>
      <c r="E248" t="s">
        <v>512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505</v>
      </c>
      <c r="D249" t="s">
        <v>498</v>
      </c>
      <c r="E249" t="s">
        <v>505</v>
      </c>
      <c r="F249" t="s">
        <v>13</v>
      </c>
      <c r="G249" t="s">
        <v>525</v>
      </c>
    </row>
    <row r="250" spans="1:7" x14ac:dyDescent="0.3">
      <c r="A250">
        <v>0</v>
      </c>
      <c r="B250" t="s">
        <v>312</v>
      </c>
      <c r="C250" t="s">
        <v>518</v>
      </c>
      <c r="D250" t="s">
        <v>498</v>
      </c>
      <c r="E250" t="s">
        <v>518</v>
      </c>
      <c r="F250" t="s">
        <v>13</v>
      </c>
      <c r="G250" t="s">
        <v>525</v>
      </c>
    </row>
    <row r="251" spans="1:7" x14ac:dyDescent="0.3">
      <c r="A251">
        <v>0</v>
      </c>
      <c r="B251" t="s">
        <v>312</v>
      </c>
      <c r="C251" t="s">
        <v>522</v>
      </c>
      <c r="D251" t="s">
        <v>498</v>
      </c>
      <c r="E251" t="s">
        <v>522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516</v>
      </c>
      <c r="D252" t="s">
        <v>498</v>
      </c>
      <c r="E252" t="s">
        <v>516</v>
      </c>
      <c r="F252" t="s">
        <v>13</v>
      </c>
      <c r="G252" t="s">
        <v>525</v>
      </c>
    </row>
    <row r="253" spans="1:7" x14ac:dyDescent="0.3">
      <c r="A253">
        <v>0</v>
      </c>
      <c r="B253" t="s">
        <v>312</v>
      </c>
      <c r="C253" t="s">
        <v>517</v>
      </c>
      <c r="D253" t="s">
        <v>498</v>
      </c>
      <c r="E253" t="s">
        <v>517</v>
      </c>
      <c r="F253" t="s">
        <v>13</v>
      </c>
      <c r="G253" t="s">
        <v>525</v>
      </c>
    </row>
    <row r="254" spans="1:7" x14ac:dyDescent="0.3">
      <c r="A254">
        <v>0</v>
      </c>
      <c r="B254" t="s">
        <v>16</v>
      </c>
      <c r="C254" s="2" t="s">
        <v>22</v>
      </c>
      <c r="D254" t="s">
        <v>2</v>
      </c>
      <c r="E254" s="2" t="s">
        <v>22</v>
      </c>
      <c r="F254" t="s">
        <v>13</v>
      </c>
      <c r="G254" t="s">
        <v>525</v>
      </c>
    </row>
    <row r="255" spans="1:7" x14ac:dyDescent="0.3">
      <c r="A255">
        <v>0</v>
      </c>
      <c r="B255" t="s">
        <v>16</v>
      </c>
      <c r="C255" s="2" t="s">
        <v>49</v>
      </c>
      <c r="D255" t="s">
        <v>2</v>
      </c>
      <c r="E255" s="2" t="s">
        <v>49</v>
      </c>
      <c r="F255" t="s">
        <v>13</v>
      </c>
      <c r="G255" t="s">
        <v>525</v>
      </c>
    </row>
    <row r="256" spans="1:7" x14ac:dyDescent="0.3">
      <c r="A256">
        <v>0</v>
      </c>
      <c r="B256" t="s">
        <v>312</v>
      </c>
      <c r="C256" s="2" t="s">
        <v>55</v>
      </c>
      <c r="D256" t="s">
        <v>2</v>
      </c>
      <c r="E256" s="2" t="s">
        <v>55</v>
      </c>
      <c r="F256" t="s">
        <v>13</v>
      </c>
      <c r="G256" t="s">
        <v>525</v>
      </c>
    </row>
    <row r="257" spans="1:7" x14ac:dyDescent="0.3">
      <c r="A257">
        <v>0</v>
      </c>
      <c r="B257" t="s">
        <v>312</v>
      </c>
      <c r="C257" t="s">
        <v>59</v>
      </c>
      <c r="D257" t="s">
        <v>2</v>
      </c>
      <c r="E257" t="s">
        <v>59</v>
      </c>
      <c r="F257" t="s">
        <v>13</v>
      </c>
      <c r="G257" t="s">
        <v>525</v>
      </c>
    </row>
    <row r="258" spans="1:7" x14ac:dyDescent="0.3">
      <c r="A258">
        <v>0</v>
      </c>
      <c r="B258" t="s">
        <v>16</v>
      </c>
      <c r="C258" s="2" t="s">
        <v>61</v>
      </c>
      <c r="D258" t="s">
        <v>2</v>
      </c>
      <c r="E258" s="2" t="s">
        <v>61</v>
      </c>
      <c r="F258" t="s">
        <v>13</v>
      </c>
      <c r="G258" t="s">
        <v>525</v>
      </c>
    </row>
    <row r="259" spans="1:7" x14ac:dyDescent="0.3">
      <c r="A259">
        <v>0</v>
      </c>
      <c r="B259" t="s">
        <v>312</v>
      </c>
      <c r="C259" s="2" t="s">
        <v>67</v>
      </c>
      <c r="D259" t="s">
        <v>2</v>
      </c>
      <c r="E259" s="2" t="s">
        <v>67</v>
      </c>
      <c r="F259" t="s">
        <v>13</v>
      </c>
      <c r="G259" t="s">
        <v>525</v>
      </c>
    </row>
    <row r="260" spans="1:7" x14ac:dyDescent="0.3">
      <c r="A260">
        <v>0</v>
      </c>
      <c r="B260" t="s">
        <v>312</v>
      </c>
      <c r="C260" t="s">
        <v>73</v>
      </c>
      <c r="D260" t="s">
        <v>2</v>
      </c>
      <c r="E260" t="s">
        <v>73</v>
      </c>
      <c r="F260" t="s">
        <v>13</v>
      </c>
      <c r="G260" t="s">
        <v>525</v>
      </c>
    </row>
    <row r="261" spans="1:7" x14ac:dyDescent="0.3">
      <c r="A261">
        <v>0</v>
      </c>
      <c r="B261" t="s">
        <v>312</v>
      </c>
      <c r="C261" t="s">
        <v>79</v>
      </c>
      <c r="D261" t="s">
        <v>2</v>
      </c>
      <c r="E261" t="s">
        <v>79</v>
      </c>
      <c r="F261" t="s">
        <v>13</v>
      </c>
      <c r="G261" t="s">
        <v>525</v>
      </c>
    </row>
    <row r="262" spans="1:7" x14ac:dyDescent="0.3">
      <c r="A262">
        <v>0</v>
      </c>
      <c r="B262" t="s">
        <v>312</v>
      </c>
      <c r="C262" t="s">
        <v>82</v>
      </c>
      <c r="D262" t="s">
        <v>2</v>
      </c>
      <c r="E262" t="s">
        <v>82</v>
      </c>
      <c r="F262" t="s">
        <v>13</v>
      </c>
      <c r="G262" t="s">
        <v>525</v>
      </c>
    </row>
    <row r="263" spans="1:7" x14ac:dyDescent="0.3">
      <c r="A263">
        <v>0</v>
      </c>
      <c r="B263" t="s">
        <v>312</v>
      </c>
      <c r="C263" t="s">
        <v>85</v>
      </c>
      <c r="D263" t="s">
        <v>2</v>
      </c>
      <c r="E263" t="s">
        <v>85</v>
      </c>
      <c r="F263" t="s">
        <v>13</v>
      </c>
      <c r="G263" t="s">
        <v>525</v>
      </c>
    </row>
    <row r="264" spans="1:7" x14ac:dyDescent="0.3">
      <c r="A264">
        <v>0</v>
      </c>
      <c r="B264" t="s">
        <v>312</v>
      </c>
      <c r="C264" t="s">
        <v>88</v>
      </c>
      <c r="D264" t="s">
        <v>2</v>
      </c>
      <c r="E264" t="s">
        <v>88</v>
      </c>
      <c r="F264" t="s">
        <v>13</v>
      </c>
      <c r="G264" t="s">
        <v>525</v>
      </c>
    </row>
    <row r="265" spans="1:7" x14ac:dyDescent="0.3">
      <c r="A265">
        <v>0</v>
      </c>
      <c r="B265" t="s">
        <v>312</v>
      </c>
      <c r="C265" t="s">
        <v>91</v>
      </c>
      <c r="D265" t="s">
        <v>2</v>
      </c>
      <c r="E265" t="s">
        <v>91</v>
      </c>
      <c r="F265" t="s">
        <v>13</v>
      </c>
      <c r="G265" t="s">
        <v>525</v>
      </c>
    </row>
    <row r="266" spans="1:7" x14ac:dyDescent="0.3">
      <c r="A266">
        <v>0</v>
      </c>
      <c r="B266" t="s">
        <v>312</v>
      </c>
      <c r="C266" t="s">
        <v>94</v>
      </c>
      <c r="D266" t="s">
        <v>2</v>
      </c>
      <c r="E266" t="s">
        <v>94</v>
      </c>
      <c r="F266" t="s">
        <v>13</v>
      </c>
      <c r="G266" t="s">
        <v>525</v>
      </c>
    </row>
    <row r="267" spans="1:7" x14ac:dyDescent="0.3">
      <c r="A267">
        <v>0</v>
      </c>
      <c r="B267" t="s">
        <v>312</v>
      </c>
      <c r="C267" t="s">
        <v>97</v>
      </c>
      <c r="D267" t="s">
        <v>2</v>
      </c>
      <c r="E267" t="s">
        <v>97</v>
      </c>
      <c r="F267" t="s">
        <v>13</v>
      </c>
      <c r="G267" t="s">
        <v>525</v>
      </c>
    </row>
    <row r="268" spans="1:7" x14ac:dyDescent="0.3">
      <c r="A268">
        <v>0</v>
      </c>
      <c r="B268" t="s">
        <v>312</v>
      </c>
      <c r="C268" t="s">
        <v>100</v>
      </c>
      <c r="D268" t="s">
        <v>2</v>
      </c>
      <c r="E268" t="s">
        <v>100</v>
      </c>
      <c r="F268" t="s">
        <v>13</v>
      </c>
      <c r="G268" t="s">
        <v>525</v>
      </c>
    </row>
  </sheetData>
  <pageMargins left="0.75" right="0.75" top="1" bottom="1" header="0.5" footer="0.5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268"/>
  <sheetViews>
    <sheetView workbookViewId="0">
      <selection activeCell="A2" sqref="A2:H268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1.1299999999999999</v>
      </c>
      <c r="B2" t="s">
        <v>57</v>
      </c>
      <c r="C2" t="s">
        <v>690</v>
      </c>
      <c r="D2" t="s">
        <v>2</v>
      </c>
      <c r="E2" t="s">
        <v>79</v>
      </c>
      <c r="F2" s="4" t="s">
        <v>13</v>
      </c>
      <c r="G2" t="s">
        <v>525</v>
      </c>
      <c r="H2" t="s">
        <v>626</v>
      </c>
    </row>
    <row r="3" spans="1:9" x14ac:dyDescent="0.3">
      <c r="A3">
        <v>1.6016713091922004</v>
      </c>
      <c r="B3" t="s">
        <v>57</v>
      </c>
      <c r="C3" t="s">
        <v>665</v>
      </c>
      <c r="D3" t="s">
        <v>2</v>
      </c>
      <c r="E3" t="s">
        <v>149</v>
      </c>
      <c r="F3" t="s">
        <v>13</v>
      </c>
      <c r="G3" t="s">
        <v>525</v>
      </c>
      <c r="H3" t="s">
        <v>626</v>
      </c>
    </row>
    <row r="4" spans="1:9" x14ac:dyDescent="0.3">
      <c r="A4">
        <v>5.0139275766016712E-2</v>
      </c>
      <c r="B4" t="s">
        <v>57</v>
      </c>
      <c r="C4" t="s">
        <v>693</v>
      </c>
      <c r="D4" t="s">
        <v>2</v>
      </c>
      <c r="E4" t="s">
        <v>112</v>
      </c>
      <c r="F4" t="s">
        <v>13</v>
      </c>
      <c r="G4" t="s">
        <v>525</v>
      </c>
      <c r="H4" t="s">
        <v>626</v>
      </c>
    </row>
    <row r="5" spans="1:9" x14ac:dyDescent="0.3">
      <c r="A5">
        <v>0.34818941504178275</v>
      </c>
      <c r="B5" t="s">
        <v>57</v>
      </c>
      <c r="C5" t="s">
        <v>666</v>
      </c>
      <c r="D5" t="s">
        <v>2</v>
      </c>
      <c r="E5" t="s">
        <v>149</v>
      </c>
      <c r="F5" t="s">
        <v>13</v>
      </c>
      <c r="G5" t="s">
        <v>525</v>
      </c>
      <c r="H5" t="s">
        <v>626</v>
      </c>
    </row>
    <row r="6" spans="1:9" x14ac:dyDescent="0.3">
      <c r="A6">
        <f>$A$2*'[1]MGS prod'!I11</f>
        <v>0</v>
      </c>
      <c r="B6" t="s">
        <v>314</v>
      </c>
      <c r="C6" t="s">
        <v>620</v>
      </c>
      <c r="D6" t="s">
        <v>2</v>
      </c>
      <c r="E6" s="2" t="s">
        <v>455</v>
      </c>
      <c r="F6" t="s">
        <v>13</v>
      </c>
      <c r="G6" t="s">
        <v>525</v>
      </c>
      <c r="H6" t="s">
        <v>621</v>
      </c>
    </row>
    <row r="7" spans="1:9" x14ac:dyDescent="0.3">
      <c r="A7">
        <f>$A$2*'[1]MGS prod'!I12</f>
        <v>1.3819057173058638E-7</v>
      </c>
      <c r="B7" t="s">
        <v>314</v>
      </c>
      <c r="C7" t="s">
        <v>622</v>
      </c>
      <c r="D7" t="s">
        <v>2</v>
      </c>
      <c r="E7" s="2" t="s">
        <v>409</v>
      </c>
      <c r="F7" t="s">
        <v>13</v>
      </c>
      <c r="G7" t="s">
        <v>525</v>
      </c>
      <c r="H7" t="s">
        <v>621</v>
      </c>
    </row>
    <row r="8" spans="1:9" x14ac:dyDescent="0.3">
      <c r="A8">
        <f>$A$2*'[1]MGS prod'!I13</f>
        <v>1.8538851659853049E-7</v>
      </c>
      <c r="B8" t="s">
        <v>314</v>
      </c>
      <c r="C8" t="s">
        <v>623</v>
      </c>
      <c r="D8" t="s">
        <v>2</v>
      </c>
      <c r="E8" s="2" t="s">
        <v>443</v>
      </c>
      <c r="F8" t="s">
        <v>13</v>
      </c>
      <c r="G8" t="s">
        <v>525</v>
      </c>
      <c r="H8" t="s">
        <v>621</v>
      </c>
    </row>
    <row r="9" spans="1:9" x14ac:dyDescent="0.3">
      <c r="A9">
        <v>49</v>
      </c>
      <c r="B9" t="s">
        <v>542</v>
      </c>
      <c r="C9" t="s">
        <v>648</v>
      </c>
      <c r="D9" t="s">
        <v>2</v>
      </c>
      <c r="E9" t="s">
        <v>111</v>
      </c>
      <c r="F9" t="s">
        <v>13</v>
      </c>
      <c r="G9" t="s">
        <v>525</v>
      </c>
      <c r="H9" t="s">
        <v>626</v>
      </c>
    </row>
    <row r="10" spans="1:9" x14ac:dyDescent="0.3">
      <c r="A10">
        <v>28.8</v>
      </c>
      <c r="B10" t="s">
        <v>527</v>
      </c>
      <c r="C10" t="s">
        <v>725</v>
      </c>
      <c r="D10" t="s">
        <v>2</v>
      </c>
      <c r="E10" t="s">
        <v>469</v>
      </c>
      <c r="F10" t="s">
        <v>13</v>
      </c>
      <c r="G10" t="s">
        <v>525</v>
      </c>
      <c r="H10" t="s">
        <v>626</v>
      </c>
    </row>
    <row r="11" spans="1:9" x14ac:dyDescent="0.3">
      <c r="A11">
        <v>2.9956135658500056E-7</v>
      </c>
      <c r="B11" t="s">
        <v>314</v>
      </c>
      <c r="C11" t="s">
        <v>654</v>
      </c>
      <c r="D11" t="s">
        <v>2</v>
      </c>
      <c r="E11" s="2" t="s">
        <v>449</v>
      </c>
      <c r="F11" t="s">
        <v>13</v>
      </c>
      <c r="G11" t="s">
        <v>525</v>
      </c>
      <c r="H11" t="s">
        <v>655</v>
      </c>
    </row>
    <row r="12" spans="1:9" x14ac:dyDescent="0.3">
      <c r="A12">
        <v>1.6475874612175031E-6</v>
      </c>
      <c r="B12" t="s">
        <v>314</v>
      </c>
      <c r="C12" t="s">
        <v>656</v>
      </c>
      <c r="D12" t="s">
        <v>2</v>
      </c>
      <c r="E12" s="2" t="s">
        <v>487</v>
      </c>
      <c r="F12" t="s">
        <v>13</v>
      </c>
      <c r="G12" t="s">
        <v>525</v>
      </c>
      <c r="H12" t="s">
        <v>655</v>
      </c>
    </row>
    <row r="13" spans="1:9" x14ac:dyDescent="0.3">
      <c r="A13">
        <v>6.0268891979601298E-7</v>
      </c>
      <c r="B13" t="s">
        <v>314</v>
      </c>
      <c r="C13" t="s">
        <v>495</v>
      </c>
      <c r="D13" t="s">
        <v>494</v>
      </c>
      <c r="E13" t="s">
        <v>495</v>
      </c>
      <c r="F13" t="s">
        <v>13</v>
      </c>
      <c r="G13" t="s">
        <v>525</v>
      </c>
      <c r="H13" t="s">
        <v>655</v>
      </c>
    </row>
    <row r="14" spans="1:9" x14ac:dyDescent="0.3">
      <c r="A14">
        <v>2.9670839128419101E-6</v>
      </c>
      <c r="B14" t="s">
        <v>314</v>
      </c>
      <c r="C14" t="s">
        <v>496</v>
      </c>
      <c r="D14" t="s">
        <v>494</v>
      </c>
      <c r="E14" s="2" t="s">
        <v>496</v>
      </c>
      <c r="F14" t="s">
        <v>13</v>
      </c>
      <c r="G14" t="s">
        <v>525</v>
      </c>
      <c r="H14" t="s">
        <v>655</v>
      </c>
    </row>
    <row r="15" spans="1:9" x14ac:dyDescent="0.3">
      <c r="A15">
        <v>2.5961984237366715E-6</v>
      </c>
      <c r="B15" t="s">
        <v>314</v>
      </c>
      <c r="C15" t="s">
        <v>497</v>
      </c>
      <c r="D15" t="s">
        <v>494</v>
      </c>
      <c r="E15" s="2" t="s">
        <v>497</v>
      </c>
      <c r="F15" t="s">
        <v>13</v>
      </c>
      <c r="G15" t="s">
        <v>525</v>
      </c>
      <c r="H15" t="s">
        <v>655</v>
      </c>
    </row>
    <row r="16" spans="1:9" x14ac:dyDescent="0.3">
      <c r="A16" s="5">
        <v>5.0000000000000004E-8</v>
      </c>
      <c r="B16" t="s">
        <v>507</v>
      </c>
      <c r="C16" t="s">
        <v>506</v>
      </c>
      <c r="D16" t="s">
        <v>498</v>
      </c>
      <c r="E16" s="2" t="s">
        <v>506</v>
      </c>
      <c r="F16" t="s">
        <v>13</v>
      </c>
      <c r="G16" t="s">
        <v>525</v>
      </c>
      <c r="H16" t="s">
        <v>655</v>
      </c>
    </row>
    <row r="17" spans="1:8" x14ac:dyDescent="0.3">
      <c r="A17">
        <v>3.5991174853372436E-2</v>
      </c>
      <c r="B17" t="s">
        <v>57</v>
      </c>
      <c r="C17" t="s">
        <v>694</v>
      </c>
      <c r="D17" t="s">
        <v>498</v>
      </c>
      <c r="E17" t="s">
        <v>516</v>
      </c>
      <c r="F17" t="s">
        <v>13</v>
      </c>
      <c r="G17" t="s">
        <v>525</v>
      </c>
      <c r="H17" t="s">
        <v>726</v>
      </c>
    </row>
    <row r="18" spans="1:8" x14ac:dyDescent="0.3">
      <c r="A18">
        <v>1.0235520527859239E-7</v>
      </c>
      <c r="B18" t="s">
        <v>57</v>
      </c>
      <c r="C18" t="s">
        <v>695</v>
      </c>
      <c r="D18" t="s">
        <v>498</v>
      </c>
      <c r="E18" t="s">
        <v>505</v>
      </c>
      <c r="F18" t="s">
        <v>13</v>
      </c>
      <c r="G18" t="s">
        <v>525</v>
      </c>
      <c r="H18" t="s">
        <v>726</v>
      </c>
    </row>
    <row r="19" spans="1:8" x14ac:dyDescent="0.3">
      <c r="A19">
        <v>2.0751466275659822E-4</v>
      </c>
      <c r="B19" t="s">
        <v>57</v>
      </c>
      <c r="C19" t="s">
        <v>696</v>
      </c>
      <c r="D19" t="s">
        <v>498</v>
      </c>
      <c r="E19" t="s">
        <v>510</v>
      </c>
      <c r="F19" t="s">
        <v>13</v>
      </c>
      <c r="G19" t="s">
        <v>525</v>
      </c>
      <c r="H19" t="s">
        <v>726</v>
      </c>
    </row>
    <row r="20" spans="1:8" x14ac:dyDescent="0.3">
      <c r="A20">
        <v>2.8042521994134892E-6</v>
      </c>
      <c r="B20" t="s">
        <v>57</v>
      </c>
      <c r="C20" t="s">
        <v>697</v>
      </c>
      <c r="D20" t="s">
        <v>498</v>
      </c>
      <c r="E20" t="s">
        <v>517</v>
      </c>
      <c r="F20" t="s">
        <v>13</v>
      </c>
      <c r="G20" t="s">
        <v>525</v>
      </c>
      <c r="H20" t="s">
        <v>726</v>
      </c>
    </row>
    <row r="21" spans="1:8" x14ac:dyDescent="0.3">
      <c r="A21">
        <v>3.3789836876832846E-2</v>
      </c>
      <c r="B21" t="s">
        <v>57</v>
      </c>
      <c r="C21" t="s">
        <v>698</v>
      </c>
      <c r="D21" t="s">
        <v>498</v>
      </c>
      <c r="E21" t="s">
        <v>516</v>
      </c>
      <c r="F21" t="s">
        <v>13</v>
      </c>
      <c r="G21" t="s">
        <v>525</v>
      </c>
      <c r="H21" t="s">
        <v>726</v>
      </c>
    </row>
    <row r="22" spans="1:8" x14ac:dyDescent="0.3">
      <c r="A22">
        <v>1.9629765395894428E-6</v>
      </c>
      <c r="B22" t="s">
        <v>57</v>
      </c>
      <c r="C22" t="s">
        <v>699</v>
      </c>
      <c r="D22" t="s">
        <v>498</v>
      </c>
      <c r="E22" t="s">
        <v>523</v>
      </c>
      <c r="F22" t="s">
        <v>13</v>
      </c>
      <c r="G22" t="s">
        <v>525</v>
      </c>
      <c r="H22" t="s">
        <v>726</v>
      </c>
    </row>
    <row r="23" spans="1:8" x14ac:dyDescent="0.3">
      <c r="A23">
        <v>5.6085043988269784E-6</v>
      </c>
      <c r="B23" t="s">
        <v>57</v>
      </c>
      <c r="C23" t="s">
        <v>700</v>
      </c>
      <c r="D23" t="s">
        <v>498</v>
      </c>
      <c r="E23" t="s">
        <v>516</v>
      </c>
      <c r="F23" t="s">
        <v>13</v>
      </c>
      <c r="G23" t="s">
        <v>525</v>
      </c>
      <c r="H23" t="s">
        <v>726</v>
      </c>
    </row>
    <row r="24" spans="1:8" x14ac:dyDescent="0.3">
      <c r="A24">
        <v>0</v>
      </c>
      <c r="B24" t="s">
        <v>312</v>
      </c>
      <c r="C24" t="s">
        <v>483</v>
      </c>
      <c r="D24" t="s">
        <v>2</v>
      </c>
      <c r="E24" t="s">
        <v>483</v>
      </c>
      <c r="F24" t="s">
        <v>13</v>
      </c>
      <c r="G24" t="s">
        <v>525</v>
      </c>
    </row>
    <row r="25" spans="1:8" x14ac:dyDescent="0.3">
      <c r="A25">
        <v>0</v>
      </c>
      <c r="B25" t="s">
        <v>105</v>
      </c>
      <c r="C25" t="s">
        <v>125</v>
      </c>
      <c r="D25" t="s">
        <v>2</v>
      </c>
      <c r="E25" t="s">
        <v>125</v>
      </c>
      <c r="F25" t="s">
        <v>13</v>
      </c>
      <c r="G25" t="s">
        <v>525</v>
      </c>
    </row>
    <row r="26" spans="1:8" x14ac:dyDescent="0.3">
      <c r="A26">
        <v>0</v>
      </c>
      <c r="B26" t="s">
        <v>319</v>
      </c>
      <c r="C26" t="s">
        <v>461</v>
      </c>
      <c r="D26" t="s">
        <v>2</v>
      </c>
      <c r="E26" t="s">
        <v>461</v>
      </c>
      <c r="F26" t="s">
        <v>13</v>
      </c>
      <c r="G26" t="s">
        <v>525</v>
      </c>
    </row>
    <row r="27" spans="1:8" x14ac:dyDescent="0.3">
      <c r="A27">
        <v>0</v>
      </c>
      <c r="B27" t="s">
        <v>314</v>
      </c>
      <c r="C27" t="s">
        <v>395</v>
      </c>
      <c r="D27" t="s">
        <v>2</v>
      </c>
      <c r="E27" t="s">
        <v>395</v>
      </c>
      <c r="F27" t="s">
        <v>13</v>
      </c>
      <c r="G27" t="s">
        <v>525</v>
      </c>
    </row>
    <row r="28" spans="1:8" x14ac:dyDescent="0.3">
      <c r="A28">
        <v>0</v>
      </c>
      <c r="B28" t="s">
        <v>312</v>
      </c>
      <c r="C28" t="s">
        <v>399</v>
      </c>
      <c r="D28" t="s">
        <v>2</v>
      </c>
      <c r="E28" t="s">
        <v>399</v>
      </c>
      <c r="F28" t="s">
        <v>13</v>
      </c>
      <c r="G28" t="s">
        <v>525</v>
      </c>
    </row>
    <row r="29" spans="1:8" x14ac:dyDescent="0.3">
      <c r="A29">
        <v>0</v>
      </c>
      <c r="B29" t="s">
        <v>314</v>
      </c>
      <c r="C29" t="s">
        <v>432</v>
      </c>
      <c r="D29" t="s">
        <v>2</v>
      </c>
      <c r="E29" t="s">
        <v>432</v>
      </c>
      <c r="F29" t="s">
        <v>13</v>
      </c>
      <c r="G29" t="s">
        <v>525</v>
      </c>
    </row>
    <row r="30" spans="1:8" x14ac:dyDescent="0.3">
      <c r="A30">
        <v>0</v>
      </c>
      <c r="B30" t="s">
        <v>312</v>
      </c>
      <c r="C30" t="s">
        <v>325</v>
      </c>
      <c r="D30" t="s">
        <v>2</v>
      </c>
      <c r="E30" t="s">
        <v>325</v>
      </c>
      <c r="F30" t="s">
        <v>13</v>
      </c>
      <c r="G30" t="s">
        <v>525</v>
      </c>
    </row>
    <row r="31" spans="1:8" x14ac:dyDescent="0.3">
      <c r="A31">
        <v>0</v>
      </c>
      <c r="B31" t="s">
        <v>314</v>
      </c>
      <c r="C31" t="s">
        <v>372</v>
      </c>
      <c r="D31" t="s">
        <v>2</v>
      </c>
      <c r="E31" t="s">
        <v>372</v>
      </c>
      <c r="F31" t="s">
        <v>13</v>
      </c>
      <c r="G31" t="s">
        <v>525</v>
      </c>
    </row>
    <row r="32" spans="1:8" x14ac:dyDescent="0.3">
      <c r="A32">
        <v>0</v>
      </c>
      <c r="B32" t="s">
        <v>314</v>
      </c>
      <c r="C32" t="s">
        <v>260</v>
      </c>
      <c r="D32" t="s">
        <v>2</v>
      </c>
      <c r="E32" t="s">
        <v>260</v>
      </c>
      <c r="F32" t="s">
        <v>13</v>
      </c>
      <c r="G32" t="s">
        <v>525</v>
      </c>
    </row>
    <row r="33" spans="1:7" x14ac:dyDescent="0.3">
      <c r="A33">
        <v>0</v>
      </c>
      <c r="B33" t="s">
        <v>312</v>
      </c>
      <c r="C33" t="s">
        <v>330</v>
      </c>
      <c r="D33" t="s">
        <v>2</v>
      </c>
      <c r="E33" t="s">
        <v>330</v>
      </c>
      <c r="F33" t="s">
        <v>13</v>
      </c>
      <c r="G33" t="s">
        <v>525</v>
      </c>
    </row>
    <row r="34" spans="1:7" x14ac:dyDescent="0.3">
      <c r="A34">
        <v>0</v>
      </c>
      <c r="B34" t="s">
        <v>105</v>
      </c>
      <c r="C34" t="s">
        <v>401</v>
      </c>
      <c r="D34" t="s">
        <v>2</v>
      </c>
      <c r="E34" t="s">
        <v>401</v>
      </c>
      <c r="F34" t="s">
        <v>13</v>
      </c>
      <c r="G34" t="s">
        <v>525</v>
      </c>
    </row>
    <row r="35" spans="1:7" x14ac:dyDescent="0.3">
      <c r="A35">
        <v>0</v>
      </c>
      <c r="B35" t="s">
        <v>312</v>
      </c>
      <c r="C35" t="s">
        <v>416</v>
      </c>
      <c r="D35" t="s">
        <v>2</v>
      </c>
      <c r="E35" t="s">
        <v>416</v>
      </c>
      <c r="F35" t="s">
        <v>13</v>
      </c>
      <c r="G35" t="s">
        <v>525</v>
      </c>
    </row>
    <row r="36" spans="1:7" x14ac:dyDescent="0.3">
      <c r="A36">
        <v>0</v>
      </c>
      <c r="B36" t="s">
        <v>319</v>
      </c>
      <c r="C36" t="s">
        <v>375</v>
      </c>
      <c r="D36" t="s">
        <v>2</v>
      </c>
      <c r="E36" t="s">
        <v>375</v>
      </c>
      <c r="F36" t="s">
        <v>13</v>
      </c>
      <c r="G36" t="s">
        <v>525</v>
      </c>
    </row>
    <row r="37" spans="1:7" x14ac:dyDescent="0.3">
      <c r="A37">
        <v>0</v>
      </c>
      <c r="B37" t="s">
        <v>312</v>
      </c>
      <c r="C37" t="s">
        <v>333</v>
      </c>
      <c r="D37" t="s">
        <v>2</v>
      </c>
      <c r="E37" t="s">
        <v>333</v>
      </c>
      <c r="F37" t="s">
        <v>13</v>
      </c>
      <c r="G37" t="s">
        <v>525</v>
      </c>
    </row>
    <row r="38" spans="1:7" x14ac:dyDescent="0.3">
      <c r="A38">
        <v>0</v>
      </c>
      <c r="B38" t="s">
        <v>57</v>
      </c>
      <c r="C38" t="s">
        <v>118</v>
      </c>
      <c r="D38" t="s">
        <v>2</v>
      </c>
      <c r="E38" t="s">
        <v>118</v>
      </c>
      <c r="F38" t="s">
        <v>13</v>
      </c>
      <c r="G38" t="s">
        <v>525</v>
      </c>
    </row>
    <row r="39" spans="1:7" x14ac:dyDescent="0.3">
      <c r="A39">
        <v>0</v>
      </c>
      <c r="B39" t="s">
        <v>312</v>
      </c>
      <c r="C39" t="s">
        <v>406</v>
      </c>
      <c r="D39" t="s">
        <v>2</v>
      </c>
      <c r="E39" t="s">
        <v>406</v>
      </c>
      <c r="F39" t="s">
        <v>13</v>
      </c>
      <c r="G39" t="s">
        <v>525</v>
      </c>
    </row>
    <row r="40" spans="1:7" x14ac:dyDescent="0.3">
      <c r="A40">
        <v>0</v>
      </c>
      <c r="B40" t="s">
        <v>312</v>
      </c>
      <c r="C40" t="s">
        <v>315</v>
      </c>
      <c r="D40" t="s">
        <v>2</v>
      </c>
      <c r="E40" t="s">
        <v>315</v>
      </c>
      <c r="F40" t="s">
        <v>13</v>
      </c>
      <c r="G40" t="s">
        <v>525</v>
      </c>
    </row>
    <row r="41" spans="1:7" x14ac:dyDescent="0.3">
      <c r="A41">
        <v>0</v>
      </c>
      <c r="B41" t="s">
        <v>312</v>
      </c>
      <c r="C41" t="s">
        <v>358</v>
      </c>
      <c r="D41" t="s">
        <v>2</v>
      </c>
      <c r="E41" t="s">
        <v>358</v>
      </c>
      <c r="F41" t="s">
        <v>13</v>
      </c>
      <c r="G41" t="s">
        <v>525</v>
      </c>
    </row>
    <row r="42" spans="1:7" x14ac:dyDescent="0.3">
      <c r="A42">
        <v>0</v>
      </c>
      <c r="B42" t="s">
        <v>314</v>
      </c>
      <c r="C42" t="s">
        <v>444</v>
      </c>
      <c r="D42" t="s">
        <v>2</v>
      </c>
      <c r="E42" t="s">
        <v>444</v>
      </c>
      <c r="F42" t="s">
        <v>13</v>
      </c>
      <c r="G42" t="s">
        <v>525</v>
      </c>
    </row>
    <row r="43" spans="1:7" x14ac:dyDescent="0.3">
      <c r="A43">
        <v>0</v>
      </c>
      <c r="B43" t="s">
        <v>312</v>
      </c>
      <c r="C43" t="s">
        <v>439</v>
      </c>
      <c r="D43" t="s">
        <v>2</v>
      </c>
      <c r="E43" t="s">
        <v>439</v>
      </c>
      <c r="F43" t="s">
        <v>13</v>
      </c>
      <c r="G43" t="s">
        <v>525</v>
      </c>
    </row>
    <row r="44" spans="1:7" x14ac:dyDescent="0.3">
      <c r="A44">
        <v>0</v>
      </c>
      <c r="B44" t="s">
        <v>312</v>
      </c>
      <c r="C44" t="s">
        <v>381</v>
      </c>
      <c r="D44" t="s">
        <v>2</v>
      </c>
      <c r="E44" t="s">
        <v>381</v>
      </c>
      <c r="F44" t="s">
        <v>13</v>
      </c>
      <c r="G44" t="s">
        <v>525</v>
      </c>
    </row>
    <row r="45" spans="1:7" x14ac:dyDescent="0.3">
      <c r="A45">
        <v>0</v>
      </c>
      <c r="B45" t="s">
        <v>312</v>
      </c>
      <c r="C45" t="s">
        <v>418</v>
      </c>
      <c r="D45" t="s">
        <v>2</v>
      </c>
      <c r="E45" t="s">
        <v>418</v>
      </c>
      <c r="F45" t="s">
        <v>13</v>
      </c>
      <c r="G45" t="s">
        <v>525</v>
      </c>
    </row>
    <row r="46" spans="1:7" x14ac:dyDescent="0.3">
      <c r="A46">
        <v>0</v>
      </c>
      <c r="B46" t="s">
        <v>314</v>
      </c>
      <c r="C46" t="s">
        <v>465</v>
      </c>
      <c r="D46" t="s">
        <v>2</v>
      </c>
      <c r="E46" t="s">
        <v>465</v>
      </c>
      <c r="F46" t="s">
        <v>13</v>
      </c>
      <c r="G46" t="s">
        <v>525</v>
      </c>
    </row>
    <row r="47" spans="1:7" x14ac:dyDescent="0.3">
      <c r="A47">
        <v>0</v>
      </c>
      <c r="B47" t="s">
        <v>105</v>
      </c>
      <c r="C47" t="s">
        <v>103</v>
      </c>
      <c r="D47" t="s">
        <v>2</v>
      </c>
      <c r="E47" t="s">
        <v>103</v>
      </c>
      <c r="F47" t="s">
        <v>13</v>
      </c>
      <c r="G47" t="s">
        <v>525</v>
      </c>
    </row>
    <row r="48" spans="1:7" x14ac:dyDescent="0.3">
      <c r="A48">
        <v>0</v>
      </c>
      <c r="B48" t="s">
        <v>312</v>
      </c>
      <c r="C48" t="s">
        <v>320</v>
      </c>
      <c r="D48" t="s">
        <v>2</v>
      </c>
      <c r="E48" t="s">
        <v>320</v>
      </c>
      <c r="F48" t="s">
        <v>13</v>
      </c>
      <c r="G48" t="s">
        <v>525</v>
      </c>
    </row>
    <row r="49" spans="1:7" x14ac:dyDescent="0.3">
      <c r="A49">
        <v>0</v>
      </c>
      <c r="B49" t="s">
        <v>312</v>
      </c>
      <c r="C49" t="s">
        <v>334</v>
      </c>
      <c r="D49" t="s">
        <v>2</v>
      </c>
      <c r="E49" t="s">
        <v>334</v>
      </c>
      <c r="F49" t="s">
        <v>13</v>
      </c>
      <c r="G49" t="s">
        <v>525</v>
      </c>
    </row>
    <row r="50" spans="1:7" x14ac:dyDescent="0.3">
      <c r="A50">
        <v>0</v>
      </c>
      <c r="B50" t="s">
        <v>312</v>
      </c>
      <c r="C50" t="s">
        <v>435</v>
      </c>
      <c r="D50" t="s">
        <v>2</v>
      </c>
      <c r="E50" t="s">
        <v>435</v>
      </c>
      <c r="F50" t="s">
        <v>13</v>
      </c>
      <c r="G50" t="s">
        <v>525</v>
      </c>
    </row>
    <row r="51" spans="1:7" x14ac:dyDescent="0.3">
      <c r="A51">
        <v>0</v>
      </c>
      <c r="B51" t="s">
        <v>319</v>
      </c>
      <c r="C51" t="s">
        <v>456</v>
      </c>
      <c r="D51" t="s">
        <v>2</v>
      </c>
      <c r="E51" t="s">
        <v>456</v>
      </c>
      <c r="F51" t="s">
        <v>13</v>
      </c>
      <c r="G51" t="s">
        <v>525</v>
      </c>
    </row>
    <row r="52" spans="1:7" x14ac:dyDescent="0.3">
      <c r="A52">
        <v>0</v>
      </c>
      <c r="B52" t="s">
        <v>312</v>
      </c>
      <c r="C52" t="s">
        <v>474</v>
      </c>
      <c r="D52" t="s">
        <v>2</v>
      </c>
      <c r="E52" t="s">
        <v>474</v>
      </c>
      <c r="F52" t="s">
        <v>13</v>
      </c>
      <c r="G52" t="s">
        <v>525</v>
      </c>
    </row>
    <row r="53" spans="1:7" x14ac:dyDescent="0.3">
      <c r="A53">
        <v>0</v>
      </c>
      <c r="B53" t="s">
        <v>319</v>
      </c>
      <c r="C53" t="s">
        <v>318</v>
      </c>
      <c r="D53" t="s">
        <v>2</v>
      </c>
      <c r="E53" t="s">
        <v>318</v>
      </c>
      <c r="F53" t="s">
        <v>13</v>
      </c>
      <c r="G53" t="s">
        <v>525</v>
      </c>
    </row>
    <row r="54" spans="1:7" x14ac:dyDescent="0.3">
      <c r="A54">
        <v>0</v>
      </c>
      <c r="B54" t="s">
        <v>314</v>
      </c>
      <c r="C54" t="s">
        <v>475</v>
      </c>
      <c r="D54" t="s">
        <v>2</v>
      </c>
      <c r="E54" t="s">
        <v>475</v>
      </c>
      <c r="F54" t="s">
        <v>13</v>
      </c>
      <c r="G54" t="s">
        <v>525</v>
      </c>
    </row>
    <row r="55" spans="1:7" x14ac:dyDescent="0.3">
      <c r="A55">
        <v>0</v>
      </c>
      <c r="B55" t="s">
        <v>314</v>
      </c>
      <c r="C55" t="s">
        <v>449</v>
      </c>
      <c r="D55" t="s">
        <v>2</v>
      </c>
      <c r="E55" t="s">
        <v>449</v>
      </c>
      <c r="F55" t="s">
        <v>13</v>
      </c>
      <c r="G55" t="s">
        <v>525</v>
      </c>
    </row>
    <row r="56" spans="1:7" x14ac:dyDescent="0.3">
      <c r="A56">
        <v>0</v>
      </c>
      <c r="B56" t="s">
        <v>314</v>
      </c>
      <c r="C56" t="s">
        <v>176</v>
      </c>
      <c r="D56" t="s">
        <v>2</v>
      </c>
      <c r="E56" t="s">
        <v>176</v>
      </c>
      <c r="F56" t="s">
        <v>13</v>
      </c>
      <c r="G56" t="s">
        <v>525</v>
      </c>
    </row>
    <row r="57" spans="1:7" x14ac:dyDescent="0.3">
      <c r="A57">
        <v>0</v>
      </c>
      <c r="B57" t="s">
        <v>312</v>
      </c>
      <c r="C57" t="s">
        <v>388</v>
      </c>
      <c r="D57" t="s">
        <v>2</v>
      </c>
      <c r="E57" t="s">
        <v>388</v>
      </c>
      <c r="F57" t="s">
        <v>13</v>
      </c>
      <c r="G57" t="s">
        <v>525</v>
      </c>
    </row>
    <row r="58" spans="1:7" x14ac:dyDescent="0.3">
      <c r="A58">
        <v>0</v>
      </c>
      <c r="B58" t="s">
        <v>319</v>
      </c>
      <c r="C58" t="s">
        <v>429</v>
      </c>
      <c r="D58" t="s">
        <v>2</v>
      </c>
      <c r="E58" t="s">
        <v>429</v>
      </c>
      <c r="F58" t="s">
        <v>13</v>
      </c>
      <c r="G58" t="s">
        <v>525</v>
      </c>
    </row>
    <row r="59" spans="1:7" x14ac:dyDescent="0.3">
      <c r="A59">
        <v>0</v>
      </c>
      <c r="B59" t="s">
        <v>312</v>
      </c>
      <c r="C59" t="s">
        <v>272</v>
      </c>
      <c r="D59" t="s">
        <v>2</v>
      </c>
      <c r="E59" t="s">
        <v>272</v>
      </c>
      <c r="F59" t="s">
        <v>13</v>
      </c>
      <c r="G59" t="s">
        <v>525</v>
      </c>
    </row>
    <row r="60" spans="1:7" x14ac:dyDescent="0.3">
      <c r="A60">
        <v>0</v>
      </c>
      <c r="B60" t="s">
        <v>312</v>
      </c>
      <c r="C60" t="s">
        <v>410</v>
      </c>
      <c r="D60" t="s">
        <v>2</v>
      </c>
      <c r="E60" t="s">
        <v>410</v>
      </c>
      <c r="F60" t="s">
        <v>13</v>
      </c>
      <c r="G60" t="s">
        <v>525</v>
      </c>
    </row>
    <row r="61" spans="1:7" x14ac:dyDescent="0.3">
      <c r="A61">
        <v>0</v>
      </c>
      <c r="B61" t="s">
        <v>319</v>
      </c>
      <c r="C61" t="s">
        <v>363</v>
      </c>
      <c r="D61" t="s">
        <v>2</v>
      </c>
      <c r="E61" t="s">
        <v>363</v>
      </c>
      <c r="F61" t="s">
        <v>13</v>
      </c>
      <c r="G61" t="s">
        <v>525</v>
      </c>
    </row>
    <row r="62" spans="1:7" x14ac:dyDescent="0.3">
      <c r="A62">
        <v>0</v>
      </c>
      <c r="B62" t="s">
        <v>312</v>
      </c>
      <c r="C62" t="s">
        <v>382</v>
      </c>
      <c r="D62" t="s">
        <v>2</v>
      </c>
      <c r="E62" t="s">
        <v>382</v>
      </c>
      <c r="F62" t="s">
        <v>13</v>
      </c>
      <c r="G62" t="s">
        <v>525</v>
      </c>
    </row>
    <row r="63" spans="1:7" x14ac:dyDescent="0.3">
      <c r="A63">
        <v>0</v>
      </c>
      <c r="B63" t="s">
        <v>312</v>
      </c>
      <c r="C63" t="s">
        <v>424</v>
      </c>
      <c r="D63" t="s">
        <v>2</v>
      </c>
      <c r="E63" t="s">
        <v>424</v>
      </c>
      <c r="F63" t="s">
        <v>13</v>
      </c>
      <c r="G63" t="s">
        <v>525</v>
      </c>
    </row>
    <row r="64" spans="1:7" x14ac:dyDescent="0.3">
      <c r="A64">
        <v>0</v>
      </c>
      <c r="B64" t="s">
        <v>314</v>
      </c>
      <c r="C64" t="s">
        <v>351</v>
      </c>
      <c r="D64" t="s">
        <v>2</v>
      </c>
      <c r="E64" t="s">
        <v>351</v>
      </c>
      <c r="F64" t="s">
        <v>13</v>
      </c>
      <c r="G64" t="s">
        <v>525</v>
      </c>
    </row>
    <row r="65" spans="1:7" x14ac:dyDescent="0.3">
      <c r="A65">
        <v>0</v>
      </c>
      <c r="B65" t="s">
        <v>312</v>
      </c>
      <c r="C65" t="s">
        <v>347</v>
      </c>
      <c r="D65" t="s">
        <v>2</v>
      </c>
      <c r="E65" t="s">
        <v>347</v>
      </c>
      <c r="F65" t="s">
        <v>13</v>
      </c>
      <c r="G65" t="s">
        <v>525</v>
      </c>
    </row>
    <row r="66" spans="1:7" x14ac:dyDescent="0.3">
      <c r="A66">
        <v>0</v>
      </c>
      <c r="B66" t="s">
        <v>314</v>
      </c>
      <c r="C66" t="s">
        <v>453</v>
      </c>
      <c r="D66" t="s">
        <v>2</v>
      </c>
      <c r="E66" t="s">
        <v>453</v>
      </c>
      <c r="F66" t="s">
        <v>13</v>
      </c>
      <c r="G66" t="s">
        <v>525</v>
      </c>
    </row>
    <row r="67" spans="1:7" x14ac:dyDescent="0.3">
      <c r="A67">
        <v>0</v>
      </c>
      <c r="B67" t="s">
        <v>319</v>
      </c>
      <c r="C67" t="s">
        <v>457</v>
      </c>
      <c r="D67" t="s">
        <v>2</v>
      </c>
      <c r="E67" t="s">
        <v>457</v>
      </c>
      <c r="F67" t="s">
        <v>13</v>
      </c>
      <c r="G67" t="s">
        <v>525</v>
      </c>
    </row>
    <row r="68" spans="1:7" x14ac:dyDescent="0.3">
      <c r="A68">
        <v>0</v>
      </c>
      <c r="B68" t="s">
        <v>312</v>
      </c>
      <c r="C68" t="s">
        <v>485</v>
      </c>
      <c r="D68" t="s">
        <v>2</v>
      </c>
      <c r="E68" t="s">
        <v>485</v>
      </c>
      <c r="F68" t="s">
        <v>13</v>
      </c>
      <c r="G68" t="s">
        <v>525</v>
      </c>
    </row>
    <row r="69" spans="1:7" x14ac:dyDescent="0.3">
      <c r="A69">
        <v>0</v>
      </c>
      <c r="B69" t="s">
        <v>312</v>
      </c>
      <c r="C69" t="s">
        <v>355</v>
      </c>
      <c r="D69" t="s">
        <v>2</v>
      </c>
      <c r="E69" t="s">
        <v>355</v>
      </c>
      <c r="F69" t="s">
        <v>13</v>
      </c>
      <c r="G69" t="s">
        <v>525</v>
      </c>
    </row>
    <row r="70" spans="1:7" x14ac:dyDescent="0.3">
      <c r="A70">
        <v>0</v>
      </c>
      <c r="B70" t="s">
        <v>312</v>
      </c>
      <c r="C70" t="s">
        <v>338</v>
      </c>
      <c r="D70" t="s">
        <v>2</v>
      </c>
      <c r="E70" t="s">
        <v>338</v>
      </c>
      <c r="F70" t="s">
        <v>13</v>
      </c>
      <c r="G70" t="s">
        <v>525</v>
      </c>
    </row>
    <row r="71" spans="1:7" x14ac:dyDescent="0.3">
      <c r="A71">
        <v>0</v>
      </c>
      <c r="B71" t="s">
        <v>312</v>
      </c>
      <c r="C71" t="s">
        <v>394</v>
      </c>
      <c r="D71" t="s">
        <v>2</v>
      </c>
      <c r="E71" t="s">
        <v>394</v>
      </c>
      <c r="F71" t="s">
        <v>13</v>
      </c>
      <c r="G71" t="s">
        <v>525</v>
      </c>
    </row>
    <row r="72" spans="1:7" x14ac:dyDescent="0.3">
      <c r="A72">
        <v>0</v>
      </c>
      <c r="B72" t="s">
        <v>312</v>
      </c>
      <c r="C72" t="s">
        <v>438</v>
      </c>
      <c r="D72" t="s">
        <v>2</v>
      </c>
      <c r="E72" t="s">
        <v>438</v>
      </c>
      <c r="F72" t="s">
        <v>13</v>
      </c>
      <c r="G72" t="s">
        <v>525</v>
      </c>
    </row>
    <row r="73" spans="1:7" x14ac:dyDescent="0.3">
      <c r="A73">
        <v>0</v>
      </c>
      <c r="B73" t="s">
        <v>312</v>
      </c>
      <c r="C73" t="s">
        <v>486</v>
      </c>
      <c r="D73" t="s">
        <v>2</v>
      </c>
      <c r="E73" t="s">
        <v>486</v>
      </c>
      <c r="F73" t="s">
        <v>13</v>
      </c>
      <c r="G73" t="s">
        <v>525</v>
      </c>
    </row>
    <row r="74" spans="1:7" x14ac:dyDescent="0.3">
      <c r="A74">
        <v>0</v>
      </c>
      <c r="B74" t="s">
        <v>319</v>
      </c>
      <c r="C74" t="s">
        <v>419</v>
      </c>
      <c r="D74" t="s">
        <v>2</v>
      </c>
      <c r="E74" t="s">
        <v>419</v>
      </c>
      <c r="F74" t="s">
        <v>13</v>
      </c>
      <c r="G74" t="s">
        <v>525</v>
      </c>
    </row>
    <row r="75" spans="1:7" x14ac:dyDescent="0.3">
      <c r="A75">
        <v>0</v>
      </c>
      <c r="B75" t="s">
        <v>57</v>
      </c>
      <c r="C75" t="s">
        <v>353</v>
      </c>
      <c r="D75" t="s">
        <v>2</v>
      </c>
      <c r="E75" t="s">
        <v>353</v>
      </c>
      <c r="F75" t="s">
        <v>13</v>
      </c>
      <c r="G75" t="s">
        <v>525</v>
      </c>
    </row>
    <row r="76" spans="1:7" x14ac:dyDescent="0.3">
      <c r="A76">
        <v>0</v>
      </c>
      <c r="B76" t="s">
        <v>319</v>
      </c>
      <c r="C76" t="s">
        <v>489</v>
      </c>
      <c r="D76" t="s">
        <v>2</v>
      </c>
      <c r="E76" t="s">
        <v>489</v>
      </c>
      <c r="F76" t="s">
        <v>13</v>
      </c>
      <c r="G76" t="s">
        <v>525</v>
      </c>
    </row>
    <row r="77" spans="1:7" x14ac:dyDescent="0.3">
      <c r="A77">
        <v>0</v>
      </c>
      <c r="B77" t="s">
        <v>312</v>
      </c>
      <c r="C77" t="s">
        <v>386</v>
      </c>
      <c r="D77" t="s">
        <v>2</v>
      </c>
      <c r="E77" t="s">
        <v>386</v>
      </c>
      <c r="F77" t="s">
        <v>13</v>
      </c>
      <c r="G77" t="s">
        <v>525</v>
      </c>
    </row>
    <row r="78" spans="1:7" x14ac:dyDescent="0.3">
      <c r="A78">
        <v>0</v>
      </c>
      <c r="B78" t="s">
        <v>319</v>
      </c>
      <c r="C78" t="s">
        <v>389</v>
      </c>
      <c r="D78" t="s">
        <v>2</v>
      </c>
      <c r="E78" t="s">
        <v>389</v>
      </c>
      <c r="F78" t="s">
        <v>13</v>
      </c>
      <c r="G78" t="s">
        <v>525</v>
      </c>
    </row>
    <row r="79" spans="1:7" x14ac:dyDescent="0.3">
      <c r="A79">
        <v>0</v>
      </c>
      <c r="B79" t="s">
        <v>312</v>
      </c>
      <c r="C79" t="s">
        <v>340</v>
      </c>
      <c r="D79" t="s">
        <v>2</v>
      </c>
      <c r="E79" t="s">
        <v>340</v>
      </c>
      <c r="F79" t="s">
        <v>13</v>
      </c>
      <c r="G79" t="s">
        <v>525</v>
      </c>
    </row>
    <row r="80" spans="1:7" x14ac:dyDescent="0.3">
      <c r="A80">
        <v>0</v>
      </c>
      <c r="B80" t="s">
        <v>312</v>
      </c>
      <c r="C80" t="s">
        <v>368</v>
      </c>
      <c r="D80" t="s">
        <v>2</v>
      </c>
      <c r="E80" t="s">
        <v>368</v>
      </c>
      <c r="F80" t="s">
        <v>13</v>
      </c>
      <c r="G80" t="s">
        <v>525</v>
      </c>
    </row>
    <row r="81" spans="1:7" x14ac:dyDescent="0.3">
      <c r="A81">
        <v>0</v>
      </c>
      <c r="B81" t="s">
        <v>312</v>
      </c>
      <c r="C81" t="s">
        <v>328</v>
      </c>
      <c r="D81" t="s">
        <v>2</v>
      </c>
      <c r="E81" t="s">
        <v>328</v>
      </c>
      <c r="F81" t="s">
        <v>13</v>
      </c>
      <c r="G81" t="s">
        <v>525</v>
      </c>
    </row>
    <row r="82" spans="1:7" x14ac:dyDescent="0.3">
      <c r="A82">
        <v>0</v>
      </c>
      <c r="B82" t="s">
        <v>312</v>
      </c>
      <c r="C82" t="s">
        <v>479</v>
      </c>
      <c r="D82" t="s">
        <v>2</v>
      </c>
      <c r="E82" t="s">
        <v>479</v>
      </c>
      <c r="F82" t="s">
        <v>13</v>
      </c>
      <c r="G82" t="s">
        <v>525</v>
      </c>
    </row>
    <row r="83" spans="1:7" x14ac:dyDescent="0.3">
      <c r="A83">
        <v>0</v>
      </c>
      <c r="B83" t="s">
        <v>57</v>
      </c>
      <c r="C83" t="s">
        <v>116</v>
      </c>
      <c r="D83" t="s">
        <v>2</v>
      </c>
      <c r="E83" t="s">
        <v>116</v>
      </c>
      <c r="F83" t="s">
        <v>13</v>
      </c>
      <c r="G83" t="s">
        <v>525</v>
      </c>
    </row>
    <row r="84" spans="1:7" x14ac:dyDescent="0.3">
      <c r="A84">
        <v>0</v>
      </c>
      <c r="B84" t="s">
        <v>312</v>
      </c>
      <c r="C84" t="s">
        <v>352</v>
      </c>
      <c r="D84" t="s">
        <v>2</v>
      </c>
      <c r="E84" t="s">
        <v>352</v>
      </c>
      <c r="F84" t="s">
        <v>13</v>
      </c>
      <c r="G84" t="s">
        <v>525</v>
      </c>
    </row>
    <row r="85" spans="1:7" x14ac:dyDescent="0.3">
      <c r="A85">
        <v>0</v>
      </c>
      <c r="B85" t="s">
        <v>312</v>
      </c>
      <c r="C85" t="s">
        <v>417</v>
      </c>
      <c r="D85" t="s">
        <v>2</v>
      </c>
      <c r="E85" t="s">
        <v>417</v>
      </c>
      <c r="F85" t="s">
        <v>13</v>
      </c>
      <c r="G85" t="s">
        <v>525</v>
      </c>
    </row>
    <row r="86" spans="1:7" x14ac:dyDescent="0.3">
      <c r="A86">
        <v>0</v>
      </c>
      <c r="B86" t="s">
        <v>312</v>
      </c>
      <c r="C86" t="s">
        <v>447</v>
      </c>
      <c r="D86" t="s">
        <v>2</v>
      </c>
      <c r="E86" t="s">
        <v>447</v>
      </c>
      <c r="F86" t="s">
        <v>13</v>
      </c>
      <c r="G86" t="s">
        <v>525</v>
      </c>
    </row>
    <row r="87" spans="1:7" x14ac:dyDescent="0.3">
      <c r="A87">
        <v>0</v>
      </c>
      <c r="B87" t="s">
        <v>319</v>
      </c>
      <c r="C87" t="s">
        <v>329</v>
      </c>
      <c r="D87" t="s">
        <v>2</v>
      </c>
      <c r="E87" t="s">
        <v>329</v>
      </c>
      <c r="F87" t="s">
        <v>13</v>
      </c>
      <c r="G87" t="s">
        <v>525</v>
      </c>
    </row>
    <row r="88" spans="1:7" x14ac:dyDescent="0.3">
      <c r="A88">
        <v>0</v>
      </c>
      <c r="B88" t="s">
        <v>312</v>
      </c>
      <c r="C88" t="s">
        <v>252</v>
      </c>
      <c r="D88" t="s">
        <v>2</v>
      </c>
      <c r="E88" t="s">
        <v>252</v>
      </c>
      <c r="F88" t="s">
        <v>13</v>
      </c>
      <c r="G88" t="s">
        <v>525</v>
      </c>
    </row>
    <row r="89" spans="1:7" x14ac:dyDescent="0.3">
      <c r="A89">
        <v>0</v>
      </c>
      <c r="B89" t="s">
        <v>312</v>
      </c>
      <c r="C89" t="s">
        <v>317</v>
      </c>
      <c r="D89" t="s">
        <v>2</v>
      </c>
      <c r="E89" t="s">
        <v>317</v>
      </c>
      <c r="F89" t="s">
        <v>13</v>
      </c>
      <c r="G89" t="s">
        <v>525</v>
      </c>
    </row>
    <row r="90" spans="1:7" x14ac:dyDescent="0.3">
      <c r="A90">
        <v>0</v>
      </c>
      <c r="B90" t="s">
        <v>312</v>
      </c>
      <c r="C90" t="s">
        <v>436</v>
      </c>
      <c r="D90" t="s">
        <v>2</v>
      </c>
      <c r="E90" t="s">
        <v>436</v>
      </c>
      <c r="F90" t="s">
        <v>13</v>
      </c>
      <c r="G90" t="s">
        <v>525</v>
      </c>
    </row>
    <row r="91" spans="1:7" x14ac:dyDescent="0.3">
      <c r="A91">
        <v>0</v>
      </c>
      <c r="B91" t="s">
        <v>319</v>
      </c>
      <c r="C91" t="s">
        <v>490</v>
      </c>
      <c r="D91" t="s">
        <v>2</v>
      </c>
      <c r="E91" t="s">
        <v>490</v>
      </c>
      <c r="F91" t="s">
        <v>13</v>
      </c>
      <c r="G91" t="s">
        <v>525</v>
      </c>
    </row>
    <row r="92" spans="1:7" x14ac:dyDescent="0.3">
      <c r="A92">
        <v>0</v>
      </c>
      <c r="B92" t="s">
        <v>312</v>
      </c>
      <c r="C92" t="s">
        <v>391</v>
      </c>
      <c r="D92" t="s">
        <v>2</v>
      </c>
      <c r="E92" t="s">
        <v>391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235</v>
      </c>
      <c r="D93" t="s">
        <v>2</v>
      </c>
      <c r="E93" t="s">
        <v>235</v>
      </c>
      <c r="F93" t="s">
        <v>13</v>
      </c>
      <c r="G93" t="s">
        <v>525</v>
      </c>
    </row>
    <row r="94" spans="1:7" x14ac:dyDescent="0.3">
      <c r="A94">
        <v>0</v>
      </c>
      <c r="B94" t="s">
        <v>312</v>
      </c>
      <c r="C94" t="s">
        <v>493</v>
      </c>
      <c r="D94" t="s">
        <v>2</v>
      </c>
      <c r="E94" t="s">
        <v>493</v>
      </c>
      <c r="F94" t="s">
        <v>13</v>
      </c>
      <c r="G94" t="s">
        <v>525</v>
      </c>
    </row>
    <row r="95" spans="1:7" x14ac:dyDescent="0.3">
      <c r="A95">
        <v>0</v>
      </c>
      <c r="B95" t="s">
        <v>312</v>
      </c>
      <c r="C95" t="s">
        <v>335</v>
      </c>
      <c r="D95" t="s">
        <v>2</v>
      </c>
      <c r="E95" t="s">
        <v>335</v>
      </c>
      <c r="F95" t="s">
        <v>13</v>
      </c>
      <c r="G95" t="s">
        <v>525</v>
      </c>
    </row>
    <row r="96" spans="1:7" x14ac:dyDescent="0.3">
      <c r="A96">
        <v>0</v>
      </c>
      <c r="B96" t="s">
        <v>312</v>
      </c>
      <c r="C96" t="s">
        <v>354</v>
      </c>
      <c r="D96" t="s">
        <v>2</v>
      </c>
      <c r="E96" t="s">
        <v>354</v>
      </c>
      <c r="F96" t="s">
        <v>13</v>
      </c>
      <c r="G96" t="s">
        <v>525</v>
      </c>
    </row>
    <row r="97" spans="1:7" x14ac:dyDescent="0.3">
      <c r="A97">
        <v>0</v>
      </c>
      <c r="B97" t="s">
        <v>319</v>
      </c>
      <c r="C97" t="s">
        <v>360</v>
      </c>
      <c r="D97" t="s">
        <v>2</v>
      </c>
      <c r="E97" t="s">
        <v>360</v>
      </c>
      <c r="F97" t="s">
        <v>13</v>
      </c>
      <c r="G97" t="s">
        <v>525</v>
      </c>
    </row>
    <row r="98" spans="1:7" x14ac:dyDescent="0.3">
      <c r="A98">
        <v>0</v>
      </c>
      <c r="B98" t="s">
        <v>314</v>
      </c>
      <c r="C98" t="s">
        <v>356</v>
      </c>
      <c r="D98" t="s">
        <v>2</v>
      </c>
      <c r="E98" t="s">
        <v>356</v>
      </c>
      <c r="F98" t="s">
        <v>13</v>
      </c>
      <c r="G98" t="s">
        <v>525</v>
      </c>
    </row>
    <row r="99" spans="1:7" x14ac:dyDescent="0.3">
      <c r="A99">
        <v>0</v>
      </c>
      <c r="B99" t="s">
        <v>312</v>
      </c>
      <c r="C99" t="s">
        <v>405</v>
      </c>
      <c r="D99" t="s">
        <v>2</v>
      </c>
      <c r="E99" t="s">
        <v>405</v>
      </c>
      <c r="F99" t="s">
        <v>13</v>
      </c>
      <c r="G99" t="s">
        <v>525</v>
      </c>
    </row>
    <row r="100" spans="1:7" x14ac:dyDescent="0.3">
      <c r="A100">
        <v>0</v>
      </c>
      <c r="B100" t="s">
        <v>312</v>
      </c>
      <c r="C100" t="s">
        <v>471</v>
      </c>
      <c r="D100" t="s">
        <v>2</v>
      </c>
      <c r="E100" t="s">
        <v>471</v>
      </c>
      <c r="F100" t="s">
        <v>13</v>
      </c>
      <c r="G100" t="s">
        <v>525</v>
      </c>
    </row>
    <row r="101" spans="1:7" x14ac:dyDescent="0.3">
      <c r="A101">
        <v>0</v>
      </c>
      <c r="B101" t="s">
        <v>319</v>
      </c>
      <c r="C101" t="s">
        <v>421</v>
      </c>
      <c r="D101" t="s">
        <v>2</v>
      </c>
      <c r="E101" t="s">
        <v>421</v>
      </c>
      <c r="F101" t="s">
        <v>13</v>
      </c>
      <c r="G101" t="s">
        <v>525</v>
      </c>
    </row>
    <row r="102" spans="1:7" x14ac:dyDescent="0.3">
      <c r="A102">
        <v>0</v>
      </c>
      <c r="B102" t="s">
        <v>312</v>
      </c>
      <c r="C102" t="s">
        <v>321</v>
      </c>
      <c r="D102" t="s">
        <v>2</v>
      </c>
      <c r="E102" t="s">
        <v>321</v>
      </c>
      <c r="F102" t="s">
        <v>13</v>
      </c>
      <c r="G102" t="s">
        <v>525</v>
      </c>
    </row>
    <row r="103" spans="1:7" x14ac:dyDescent="0.3">
      <c r="A103">
        <v>0</v>
      </c>
      <c r="B103" t="s">
        <v>105</v>
      </c>
      <c r="C103" t="s">
        <v>113</v>
      </c>
      <c r="D103" t="s">
        <v>2</v>
      </c>
      <c r="E103" t="s">
        <v>113</v>
      </c>
      <c r="F103" t="s">
        <v>13</v>
      </c>
      <c r="G103" t="s">
        <v>525</v>
      </c>
    </row>
    <row r="104" spans="1:7" x14ac:dyDescent="0.3">
      <c r="A104">
        <v>0</v>
      </c>
      <c r="B104" t="s">
        <v>312</v>
      </c>
      <c r="C104" t="s">
        <v>348</v>
      </c>
      <c r="D104" t="s">
        <v>2</v>
      </c>
      <c r="E104" t="s">
        <v>348</v>
      </c>
      <c r="F104" t="s">
        <v>13</v>
      </c>
      <c r="G104" t="s">
        <v>525</v>
      </c>
    </row>
    <row r="105" spans="1:7" x14ac:dyDescent="0.3">
      <c r="A105">
        <v>0</v>
      </c>
      <c r="B105" t="s">
        <v>105</v>
      </c>
      <c r="C105" t="s">
        <v>469</v>
      </c>
      <c r="D105" t="s">
        <v>2</v>
      </c>
      <c r="E105" t="s">
        <v>469</v>
      </c>
      <c r="F105" t="s">
        <v>13</v>
      </c>
      <c r="G105" t="s">
        <v>525</v>
      </c>
    </row>
    <row r="106" spans="1:7" x14ac:dyDescent="0.3">
      <c r="A106">
        <v>0</v>
      </c>
      <c r="B106" t="s">
        <v>314</v>
      </c>
      <c r="C106" t="s">
        <v>481</v>
      </c>
      <c r="D106" t="s">
        <v>2</v>
      </c>
      <c r="E106" t="s">
        <v>481</v>
      </c>
      <c r="F106" t="s">
        <v>13</v>
      </c>
      <c r="G106" t="s">
        <v>525</v>
      </c>
    </row>
    <row r="107" spans="1:7" x14ac:dyDescent="0.3">
      <c r="A107">
        <v>0</v>
      </c>
      <c r="B107" t="s">
        <v>312</v>
      </c>
      <c r="C107" t="s">
        <v>398</v>
      </c>
      <c r="D107" t="s">
        <v>2</v>
      </c>
      <c r="E107" t="s">
        <v>398</v>
      </c>
      <c r="F107" t="s">
        <v>13</v>
      </c>
      <c r="G107" t="s">
        <v>525</v>
      </c>
    </row>
    <row r="108" spans="1:7" x14ac:dyDescent="0.3">
      <c r="A108">
        <v>0</v>
      </c>
      <c r="B108" t="s">
        <v>314</v>
      </c>
      <c r="C108" t="s">
        <v>342</v>
      </c>
      <c r="D108" t="s">
        <v>2</v>
      </c>
      <c r="E108" t="s">
        <v>342</v>
      </c>
      <c r="F108" t="s">
        <v>13</v>
      </c>
      <c r="G108" t="s">
        <v>525</v>
      </c>
    </row>
    <row r="109" spans="1:7" x14ac:dyDescent="0.3">
      <c r="A109">
        <v>0</v>
      </c>
      <c r="B109" t="s">
        <v>312</v>
      </c>
      <c r="C109" t="s">
        <v>322</v>
      </c>
      <c r="D109" t="s">
        <v>2</v>
      </c>
      <c r="E109" t="s">
        <v>322</v>
      </c>
      <c r="F109" t="s">
        <v>13</v>
      </c>
      <c r="G109" t="s">
        <v>525</v>
      </c>
    </row>
    <row r="110" spans="1:7" x14ac:dyDescent="0.3">
      <c r="A110">
        <v>0</v>
      </c>
      <c r="B110" t="s">
        <v>314</v>
      </c>
      <c r="C110" t="s">
        <v>409</v>
      </c>
      <c r="D110" t="s">
        <v>2</v>
      </c>
      <c r="E110" t="s">
        <v>409</v>
      </c>
      <c r="F110" t="s">
        <v>13</v>
      </c>
      <c r="G110" t="s">
        <v>525</v>
      </c>
    </row>
    <row r="111" spans="1:7" x14ac:dyDescent="0.3">
      <c r="A111">
        <v>0</v>
      </c>
      <c r="B111" t="s">
        <v>314</v>
      </c>
      <c r="C111" t="s">
        <v>480</v>
      </c>
      <c r="D111" t="s">
        <v>2</v>
      </c>
      <c r="E111" t="s">
        <v>480</v>
      </c>
      <c r="F111" t="s">
        <v>13</v>
      </c>
      <c r="G111" t="s">
        <v>525</v>
      </c>
    </row>
    <row r="112" spans="1:7" x14ac:dyDescent="0.3">
      <c r="A112">
        <v>0</v>
      </c>
      <c r="B112" t="s">
        <v>105</v>
      </c>
      <c r="C112" t="s">
        <v>121</v>
      </c>
      <c r="D112" t="s">
        <v>2</v>
      </c>
      <c r="E112" t="s">
        <v>121</v>
      </c>
      <c r="F112" t="s">
        <v>13</v>
      </c>
      <c r="G112" t="s">
        <v>525</v>
      </c>
    </row>
    <row r="113" spans="1:7" x14ac:dyDescent="0.3">
      <c r="A113">
        <v>0</v>
      </c>
      <c r="B113" t="s">
        <v>312</v>
      </c>
      <c r="C113" t="s">
        <v>359</v>
      </c>
      <c r="D113" t="s">
        <v>2</v>
      </c>
      <c r="E113" t="s">
        <v>359</v>
      </c>
      <c r="F113" t="s">
        <v>13</v>
      </c>
      <c r="G113" t="s">
        <v>525</v>
      </c>
    </row>
    <row r="114" spans="1:7" x14ac:dyDescent="0.3">
      <c r="A114">
        <v>0</v>
      </c>
      <c r="B114" t="s">
        <v>319</v>
      </c>
      <c r="C114" t="s">
        <v>468</v>
      </c>
      <c r="D114" t="s">
        <v>2</v>
      </c>
      <c r="E114" t="s">
        <v>468</v>
      </c>
      <c r="F114" t="s">
        <v>13</v>
      </c>
      <c r="G114" t="s">
        <v>525</v>
      </c>
    </row>
    <row r="115" spans="1:7" x14ac:dyDescent="0.3">
      <c r="A115">
        <v>0</v>
      </c>
      <c r="B115" t="s">
        <v>319</v>
      </c>
      <c r="C115" t="s">
        <v>458</v>
      </c>
      <c r="D115" t="s">
        <v>2</v>
      </c>
      <c r="E115" t="s">
        <v>458</v>
      </c>
      <c r="F115" t="s">
        <v>13</v>
      </c>
      <c r="G115" t="s">
        <v>525</v>
      </c>
    </row>
    <row r="116" spans="1:7" x14ac:dyDescent="0.3">
      <c r="A116">
        <v>0</v>
      </c>
      <c r="B116" t="s">
        <v>312</v>
      </c>
      <c r="C116" t="s">
        <v>370</v>
      </c>
      <c r="D116" t="s">
        <v>2</v>
      </c>
      <c r="E116" t="s">
        <v>370</v>
      </c>
      <c r="F116" t="s">
        <v>13</v>
      </c>
      <c r="G116" t="s">
        <v>525</v>
      </c>
    </row>
    <row r="117" spans="1:7" x14ac:dyDescent="0.3">
      <c r="A117">
        <v>0</v>
      </c>
      <c r="B117" t="s">
        <v>57</v>
      </c>
      <c r="C117" t="s">
        <v>114</v>
      </c>
      <c r="D117" t="s">
        <v>2</v>
      </c>
      <c r="E117" t="s">
        <v>114</v>
      </c>
      <c r="F117" t="s">
        <v>13</v>
      </c>
      <c r="G117" t="s">
        <v>525</v>
      </c>
    </row>
    <row r="118" spans="1:7" x14ac:dyDescent="0.3">
      <c r="A118">
        <v>0</v>
      </c>
      <c r="B118" t="s">
        <v>319</v>
      </c>
      <c r="C118" t="s">
        <v>404</v>
      </c>
      <c r="D118" t="s">
        <v>2</v>
      </c>
      <c r="E118" t="s">
        <v>404</v>
      </c>
      <c r="F118" t="s">
        <v>13</v>
      </c>
      <c r="G118" t="s">
        <v>525</v>
      </c>
    </row>
    <row r="119" spans="1:7" x14ac:dyDescent="0.3">
      <c r="A119">
        <v>0</v>
      </c>
      <c r="B119" t="s">
        <v>312</v>
      </c>
      <c r="C119" t="s">
        <v>369</v>
      </c>
      <c r="D119" t="s">
        <v>2</v>
      </c>
      <c r="E119" t="s">
        <v>369</v>
      </c>
      <c r="F119" t="s">
        <v>13</v>
      </c>
      <c r="G119" t="s">
        <v>525</v>
      </c>
    </row>
    <row r="120" spans="1:7" x14ac:dyDescent="0.3">
      <c r="A120">
        <v>0</v>
      </c>
      <c r="B120" t="s">
        <v>57</v>
      </c>
      <c r="C120" t="s">
        <v>122</v>
      </c>
      <c r="D120" t="s">
        <v>2</v>
      </c>
      <c r="E120" t="s">
        <v>122</v>
      </c>
      <c r="F120" t="s">
        <v>13</v>
      </c>
      <c r="G120" t="s">
        <v>525</v>
      </c>
    </row>
    <row r="121" spans="1:7" x14ac:dyDescent="0.3">
      <c r="A121">
        <v>0</v>
      </c>
      <c r="B121" t="s">
        <v>319</v>
      </c>
      <c r="C121" t="s">
        <v>390</v>
      </c>
      <c r="D121" t="s">
        <v>2</v>
      </c>
      <c r="E121" t="s">
        <v>390</v>
      </c>
      <c r="F121" t="s">
        <v>13</v>
      </c>
      <c r="G121" t="s">
        <v>525</v>
      </c>
    </row>
    <row r="122" spans="1:7" x14ac:dyDescent="0.3">
      <c r="A122">
        <v>0</v>
      </c>
      <c r="B122" t="s">
        <v>312</v>
      </c>
      <c r="C122" t="s">
        <v>492</v>
      </c>
      <c r="D122" t="s">
        <v>2</v>
      </c>
      <c r="E122" t="s">
        <v>492</v>
      </c>
      <c r="F122" t="s">
        <v>13</v>
      </c>
      <c r="G122" t="s">
        <v>525</v>
      </c>
    </row>
    <row r="123" spans="1:7" x14ac:dyDescent="0.3">
      <c r="A123">
        <v>0</v>
      </c>
      <c r="B123" t="s">
        <v>312</v>
      </c>
      <c r="C123" t="s">
        <v>345</v>
      </c>
      <c r="D123" t="s">
        <v>2</v>
      </c>
      <c r="E123" t="s">
        <v>345</v>
      </c>
      <c r="F123" t="s">
        <v>13</v>
      </c>
      <c r="G123" t="s">
        <v>525</v>
      </c>
    </row>
    <row r="124" spans="1:7" x14ac:dyDescent="0.3">
      <c r="A124">
        <v>0</v>
      </c>
      <c r="B124" t="s">
        <v>314</v>
      </c>
      <c r="C124" t="s">
        <v>374</v>
      </c>
      <c r="D124" t="s">
        <v>2</v>
      </c>
      <c r="E124" t="s">
        <v>374</v>
      </c>
      <c r="F124" t="s">
        <v>13</v>
      </c>
      <c r="G124" t="s">
        <v>525</v>
      </c>
    </row>
    <row r="125" spans="1:7" x14ac:dyDescent="0.3">
      <c r="A125">
        <v>0</v>
      </c>
      <c r="B125" t="s">
        <v>105</v>
      </c>
      <c r="C125" t="s">
        <v>124</v>
      </c>
      <c r="D125" t="s">
        <v>2</v>
      </c>
      <c r="E125" t="s">
        <v>124</v>
      </c>
      <c r="F125" t="s">
        <v>13</v>
      </c>
      <c r="G125" t="s">
        <v>525</v>
      </c>
    </row>
    <row r="126" spans="1:7" x14ac:dyDescent="0.3">
      <c r="A126">
        <v>0</v>
      </c>
      <c r="B126" t="s">
        <v>312</v>
      </c>
      <c r="C126" t="s">
        <v>440</v>
      </c>
      <c r="D126" t="s">
        <v>2</v>
      </c>
      <c r="E126" t="s">
        <v>440</v>
      </c>
      <c r="F126" t="s">
        <v>13</v>
      </c>
      <c r="G126" t="s">
        <v>525</v>
      </c>
    </row>
    <row r="127" spans="1:7" x14ac:dyDescent="0.3">
      <c r="A127">
        <v>0</v>
      </c>
      <c r="B127" t="s">
        <v>312</v>
      </c>
      <c r="C127" t="s">
        <v>316</v>
      </c>
      <c r="D127" t="s">
        <v>2</v>
      </c>
      <c r="E127" t="s">
        <v>316</v>
      </c>
      <c r="F127" t="s">
        <v>13</v>
      </c>
      <c r="G127" t="s">
        <v>525</v>
      </c>
    </row>
    <row r="128" spans="1:7" x14ac:dyDescent="0.3">
      <c r="A128">
        <v>0</v>
      </c>
      <c r="B128" t="s">
        <v>312</v>
      </c>
      <c r="C128" t="s">
        <v>427</v>
      </c>
      <c r="D128" t="s">
        <v>2</v>
      </c>
      <c r="E128" t="s">
        <v>427</v>
      </c>
      <c r="F128" t="s">
        <v>13</v>
      </c>
      <c r="G128" t="s">
        <v>525</v>
      </c>
    </row>
    <row r="129" spans="1:7" x14ac:dyDescent="0.3">
      <c r="A129">
        <v>0</v>
      </c>
      <c r="B129" t="s">
        <v>312</v>
      </c>
      <c r="C129" t="s">
        <v>332</v>
      </c>
      <c r="D129" t="s">
        <v>2</v>
      </c>
      <c r="E129" t="s">
        <v>332</v>
      </c>
      <c r="F129" t="s">
        <v>13</v>
      </c>
      <c r="G129" t="s">
        <v>525</v>
      </c>
    </row>
    <row r="130" spans="1:7" x14ac:dyDescent="0.3">
      <c r="A130">
        <v>0</v>
      </c>
      <c r="B130" t="s">
        <v>312</v>
      </c>
      <c r="C130" t="s">
        <v>336</v>
      </c>
      <c r="D130" t="s">
        <v>2</v>
      </c>
      <c r="E130" t="s">
        <v>336</v>
      </c>
      <c r="F130" t="s">
        <v>13</v>
      </c>
      <c r="G130" t="s">
        <v>525</v>
      </c>
    </row>
    <row r="131" spans="1:7" x14ac:dyDescent="0.3">
      <c r="A131">
        <v>0</v>
      </c>
      <c r="B131" t="s">
        <v>314</v>
      </c>
      <c r="C131" t="s">
        <v>393</v>
      </c>
      <c r="D131" t="s">
        <v>2</v>
      </c>
      <c r="E131" t="s">
        <v>393</v>
      </c>
      <c r="F131" t="s">
        <v>13</v>
      </c>
      <c r="G131" t="s">
        <v>525</v>
      </c>
    </row>
    <row r="132" spans="1:7" x14ac:dyDescent="0.3">
      <c r="A132">
        <v>0</v>
      </c>
      <c r="B132" t="s">
        <v>312</v>
      </c>
      <c r="C132" t="s">
        <v>339</v>
      </c>
      <c r="D132" t="s">
        <v>2</v>
      </c>
      <c r="E132" t="s">
        <v>339</v>
      </c>
      <c r="F132" t="s">
        <v>13</v>
      </c>
      <c r="G132" t="s">
        <v>525</v>
      </c>
    </row>
    <row r="133" spans="1:7" x14ac:dyDescent="0.3">
      <c r="A133">
        <v>0</v>
      </c>
      <c r="B133" t="s">
        <v>312</v>
      </c>
      <c r="C133" t="s">
        <v>400</v>
      </c>
      <c r="D133" t="s">
        <v>2</v>
      </c>
      <c r="E133" t="s">
        <v>400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380</v>
      </c>
      <c r="D134" t="s">
        <v>2</v>
      </c>
      <c r="E134" t="s">
        <v>380</v>
      </c>
      <c r="F134" t="s">
        <v>13</v>
      </c>
      <c r="G134" t="s">
        <v>525</v>
      </c>
    </row>
    <row r="135" spans="1:7" x14ac:dyDescent="0.3">
      <c r="A135">
        <v>0</v>
      </c>
      <c r="B135" t="s">
        <v>312</v>
      </c>
      <c r="C135" t="s">
        <v>442</v>
      </c>
      <c r="D135" t="s">
        <v>2</v>
      </c>
      <c r="E135" t="s">
        <v>442</v>
      </c>
      <c r="F135" t="s">
        <v>13</v>
      </c>
      <c r="G135" t="s">
        <v>525</v>
      </c>
    </row>
    <row r="136" spans="1:7" x14ac:dyDescent="0.3">
      <c r="A136">
        <v>0</v>
      </c>
      <c r="B136" t="s">
        <v>314</v>
      </c>
      <c r="C136" t="s">
        <v>349</v>
      </c>
      <c r="D136" t="s">
        <v>2</v>
      </c>
      <c r="E136" t="s">
        <v>349</v>
      </c>
      <c r="F136" t="s">
        <v>13</v>
      </c>
      <c r="G136" t="s">
        <v>525</v>
      </c>
    </row>
    <row r="137" spans="1:7" x14ac:dyDescent="0.3">
      <c r="A137">
        <v>0</v>
      </c>
      <c r="B137" t="s">
        <v>57</v>
      </c>
      <c r="C137" t="s">
        <v>470</v>
      </c>
      <c r="D137" t="s">
        <v>2</v>
      </c>
      <c r="E137" t="s">
        <v>470</v>
      </c>
      <c r="F137" t="s">
        <v>13</v>
      </c>
      <c r="G137" t="s">
        <v>525</v>
      </c>
    </row>
    <row r="138" spans="1:7" x14ac:dyDescent="0.3">
      <c r="A138">
        <v>0</v>
      </c>
      <c r="B138" t="s">
        <v>319</v>
      </c>
      <c r="C138" t="s">
        <v>463</v>
      </c>
      <c r="D138" t="s">
        <v>2</v>
      </c>
      <c r="E138" t="s">
        <v>463</v>
      </c>
      <c r="F138" t="s">
        <v>13</v>
      </c>
      <c r="G138" t="s">
        <v>525</v>
      </c>
    </row>
    <row r="139" spans="1:7" x14ac:dyDescent="0.3">
      <c r="A139">
        <v>0</v>
      </c>
      <c r="B139" t="s">
        <v>314</v>
      </c>
      <c r="C139" t="s">
        <v>343</v>
      </c>
      <c r="D139" t="s">
        <v>2</v>
      </c>
      <c r="E139" t="s">
        <v>343</v>
      </c>
      <c r="F139" t="s">
        <v>13</v>
      </c>
      <c r="G139" t="s">
        <v>525</v>
      </c>
    </row>
    <row r="140" spans="1:7" x14ac:dyDescent="0.3">
      <c r="A140">
        <v>0</v>
      </c>
      <c r="B140" t="s">
        <v>312</v>
      </c>
      <c r="C140" t="s">
        <v>371</v>
      </c>
      <c r="D140" t="s">
        <v>2</v>
      </c>
      <c r="E140" t="s">
        <v>371</v>
      </c>
      <c r="F140" t="s">
        <v>13</v>
      </c>
      <c r="G140" t="s">
        <v>525</v>
      </c>
    </row>
    <row r="141" spans="1:7" x14ac:dyDescent="0.3">
      <c r="A141">
        <v>0</v>
      </c>
      <c r="B141" t="s">
        <v>312</v>
      </c>
      <c r="C141" t="s">
        <v>366</v>
      </c>
      <c r="D141" t="s">
        <v>2</v>
      </c>
      <c r="E141" t="s">
        <v>366</v>
      </c>
      <c r="F141" t="s">
        <v>13</v>
      </c>
      <c r="G141" t="s">
        <v>525</v>
      </c>
    </row>
    <row r="142" spans="1:7" x14ac:dyDescent="0.3">
      <c r="A142">
        <v>0</v>
      </c>
      <c r="B142" t="s">
        <v>312</v>
      </c>
      <c r="C142" t="s">
        <v>384</v>
      </c>
      <c r="D142" t="s">
        <v>2</v>
      </c>
      <c r="E142" t="s">
        <v>384</v>
      </c>
      <c r="F142" t="s">
        <v>13</v>
      </c>
      <c r="G142" t="s">
        <v>525</v>
      </c>
    </row>
    <row r="143" spans="1:7" x14ac:dyDescent="0.3">
      <c r="A143">
        <v>0</v>
      </c>
      <c r="B143" t="s">
        <v>319</v>
      </c>
      <c r="C143" t="s">
        <v>464</v>
      </c>
      <c r="D143" t="s">
        <v>2</v>
      </c>
      <c r="E143" t="s">
        <v>464</v>
      </c>
      <c r="F143" t="s">
        <v>13</v>
      </c>
      <c r="G143" t="s">
        <v>525</v>
      </c>
    </row>
    <row r="144" spans="1:7" x14ac:dyDescent="0.3">
      <c r="A144">
        <v>0</v>
      </c>
      <c r="B144" t="s">
        <v>312</v>
      </c>
      <c r="C144" t="s">
        <v>323</v>
      </c>
      <c r="D144" t="s">
        <v>2</v>
      </c>
      <c r="E144" t="s">
        <v>323</v>
      </c>
      <c r="F144" t="s">
        <v>13</v>
      </c>
      <c r="G144" t="s">
        <v>525</v>
      </c>
    </row>
    <row r="145" spans="1:7" x14ac:dyDescent="0.3">
      <c r="A145">
        <v>0</v>
      </c>
      <c r="B145" t="s">
        <v>314</v>
      </c>
      <c r="C145" t="s">
        <v>414</v>
      </c>
      <c r="D145" t="s">
        <v>2</v>
      </c>
      <c r="E145" t="s">
        <v>414</v>
      </c>
      <c r="F145" t="s">
        <v>13</v>
      </c>
      <c r="G145" t="s">
        <v>525</v>
      </c>
    </row>
    <row r="146" spans="1:7" x14ac:dyDescent="0.3">
      <c r="A146">
        <v>0</v>
      </c>
      <c r="B146" t="s">
        <v>312</v>
      </c>
      <c r="C146" t="s">
        <v>261</v>
      </c>
      <c r="D146" t="s">
        <v>2</v>
      </c>
      <c r="E146" t="s">
        <v>261</v>
      </c>
      <c r="F146" t="s">
        <v>13</v>
      </c>
      <c r="G146" t="s">
        <v>525</v>
      </c>
    </row>
    <row r="147" spans="1:7" x14ac:dyDescent="0.3">
      <c r="A147">
        <v>0</v>
      </c>
      <c r="B147" t="s">
        <v>319</v>
      </c>
      <c r="C147" t="s">
        <v>364</v>
      </c>
      <c r="D147" t="s">
        <v>2</v>
      </c>
      <c r="E147" t="s">
        <v>364</v>
      </c>
      <c r="F147" t="s">
        <v>13</v>
      </c>
      <c r="G147" t="s">
        <v>525</v>
      </c>
    </row>
    <row r="148" spans="1:7" x14ac:dyDescent="0.3">
      <c r="A148">
        <v>0</v>
      </c>
      <c r="B148" t="s">
        <v>312</v>
      </c>
      <c r="C148" t="s">
        <v>373</v>
      </c>
      <c r="D148" t="s">
        <v>2</v>
      </c>
      <c r="E148" t="s">
        <v>373</v>
      </c>
      <c r="F148" t="s">
        <v>13</v>
      </c>
      <c r="G148" t="s">
        <v>525</v>
      </c>
    </row>
    <row r="149" spans="1:7" x14ac:dyDescent="0.3">
      <c r="A149">
        <v>0</v>
      </c>
      <c r="B149" t="s">
        <v>312</v>
      </c>
      <c r="C149" t="s">
        <v>482</v>
      </c>
      <c r="D149" t="s">
        <v>2</v>
      </c>
      <c r="E149" t="s">
        <v>482</v>
      </c>
      <c r="F149" t="s">
        <v>13</v>
      </c>
      <c r="G149" t="s">
        <v>525</v>
      </c>
    </row>
    <row r="150" spans="1:7" x14ac:dyDescent="0.3">
      <c r="A150">
        <v>0</v>
      </c>
      <c r="B150" t="s">
        <v>312</v>
      </c>
      <c r="C150" t="s">
        <v>412</v>
      </c>
      <c r="D150" t="s">
        <v>2</v>
      </c>
      <c r="E150" t="s">
        <v>412</v>
      </c>
      <c r="F150" t="s">
        <v>13</v>
      </c>
      <c r="G150" t="s">
        <v>525</v>
      </c>
    </row>
    <row r="151" spans="1:7" x14ac:dyDescent="0.3">
      <c r="A151">
        <v>0</v>
      </c>
      <c r="B151" t="s">
        <v>312</v>
      </c>
      <c r="C151" t="s">
        <v>434</v>
      </c>
      <c r="D151" t="s">
        <v>2</v>
      </c>
      <c r="E151" t="s">
        <v>434</v>
      </c>
      <c r="F151" t="s">
        <v>13</v>
      </c>
      <c r="G151" t="s">
        <v>525</v>
      </c>
    </row>
    <row r="152" spans="1:7" x14ac:dyDescent="0.3">
      <c r="A152">
        <v>0</v>
      </c>
      <c r="B152" t="s">
        <v>314</v>
      </c>
      <c r="C152" t="s">
        <v>443</v>
      </c>
      <c r="D152" t="s">
        <v>2</v>
      </c>
      <c r="E152" t="s">
        <v>443</v>
      </c>
      <c r="F152" t="s">
        <v>13</v>
      </c>
      <c r="G152" t="s">
        <v>525</v>
      </c>
    </row>
    <row r="153" spans="1:7" x14ac:dyDescent="0.3">
      <c r="A153">
        <v>0</v>
      </c>
      <c r="B153" t="s">
        <v>319</v>
      </c>
      <c r="C153" t="s">
        <v>430</v>
      </c>
      <c r="D153" t="s">
        <v>2</v>
      </c>
      <c r="E153" t="s">
        <v>430</v>
      </c>
      <c r="F153" t="s">
        <v>13</v>
      </c>
      <c r="G153" t="s">
        <v>525</v>
      </c>
    </row>
    <row r="154" spans="1:7" x14ac:dyDescent="0.3">
      <c r="A154">
        <v>0</v>
      </c>
      <c r="B154" t="s">
        <v>314</v>
      </c>
      <c r="C154" t="s">
        <v>408</v>
      </c>
      <c r="D154" t="s">
        <v>2</v>
      </c>
      <c r="E154" t="s">
        <v>408</v>
      </c>
      <c r="F154" t="s">
        <v>13</v>
      </c>
      <c r="G154" t="s">
        <v>525</v>
      </c>
    </row>
    <row r="155" spans="1:7" x14ac:dyDescent="0.3">
      <c r="A155">
        <v>0</v>
      </c>
      <c r="B155" t="s">
        <v>312</v>
      </c>
      <c r="C155" t="s">
        <v>138</v>
      </c>
      <c r="D155" t="s">
        <v>2</v>
      </c>
      <c r="E155" t="s">
        <v>138</v>
      </c>
      <c r="F155" t="s">
        <v>13</v>
      </c>
      <c r="G155" t="s">
        <v>525</v>
      </c>
    </row>
    <row r="156" spans="1:7" x14ac:dyDescent="0.3">
      <c r="A156">
        <v>0</v>
      </c>
      <c r="B156" t="s">
        <v>312</v>
      </c>
      <c r="C156" t="s">
        <v>275</v>
      </c>
      <c r="D156" t="s">
        <v>2</v>
      </c>
      <c r="E156" t="s">
        <v>275</v>
      </c>
      <c r="F156" t="s">
        <v>13</v>
      </c>
      <c r="G156" t="s">
        <v>525</v>
      </c>
    </row>
    <row r="157" spans="1:7" x14ac:dyDescent="0.3">
      <c r="A157">
        <v>0</v>
      </c>
      <c r="B157" t="s">
        <v>312</v>
      </c>
      <c r="C157" t="s">
        <v>337</v>
      </c>
      <c r="D157" t="s">
        <v>2</v>
      </c>
      <c r="E157" t="s">
        <v>337</v>
      </c>
      <c r="F157" t="s">
        <v>13</v>
      </c>
      <c r="G157" t="s">
        <v>525</v>
      </c>
    </row>
    <row r="158" spans="1:7" x14ac:dyDescent="0.3">
      <c r="A158">
        <v>0</v>
      </c>
      <c r="B158" t="s">
        <v>312</v>
      </c>
      <c r="C158" t="s">
        <v>331</v>
      </c>
      <c r="D158" t="s">
        <v>2</v>
      </c>
      <c r="E158" t="s">
        <v>331</v>
      </c>
      <c r="F158" t="s">
        <v>13</v>
      </c>
      <c r="G158" t="s">
        <v>525</v>
      </c>
    </row>
    <row r="159" spans="1:7" x14ac:dyDescent="0.3">
      <c r="A159">
        <v>0</v>
      </c>
      <c r="B159" t="s">
        <v>312</v>
      </c>
      <c r="C159" t="s">
        <v>452</v>
      </c>
      <c r="D159" t="s">
        <v>2</v>
      </c>
      <c r="E159" t="s">
        <v>452</v>
      </c>
      <c r="F159" t="s">
        <v>13</v>
      </c>
      <c r="G159" t="s">
        <v>525</v>
      </c>
    </row>
    <row r="160" spans="1:7" x14ac:dyDescent="0.3">
      <c r="A160">
        <v>0</v>
      </c>
      <c r="B160" t="s">
        <v>319</v>
      </c>
      <c r="C160" t="s">
        <v>477</v>
      </c>
      <c r="D160" t="s">
        <v>2</v>
      </c>
      <c r="E160" t="s">
        <v>477</v>
      </c>
      <c r="F160" t="s">
        <v>13</v>
      </c>
      <c r="G160" t="s">
        <v>525</v>
      </c>
    </row>
    <row r="161" spans="1:7" x14ac:dyDescent="0.3">
      <c r="A161">
        <v>0</v>
      </c>
      <c r="B161" t="s">
        <v>312</v>
      </c>
      <c r="C161" t="s">
        <v>446</v>
      </c>
      <c r="D161" t="s">
        <v>2</v>
      </c>
      <c r="E161" t="s">
        <v>446</v>
      </c>
      <c r="F161" t="s">
        <v>13</v>
      </c>
      <c r="G161" t="s">
        <v>525</v>
      </c>
    </row>
    <row r="162" spans="1:7" x14ac:dyDescent="0.3">
      <c r="A162">
        <v>0</v>
      </c>
      <c r="B162" t="s">
        <v>319</v>
      </c>
      <c r="C162" t="s">
        <v>491</v>
      </c>
      <c r="D162" t="s">
        <v>2</v>
      </c>
      <c r="E162" t="s">
        <v>491</v>
      </c>
      <c r="F162" t="s">
        <v>13</v>
      </c>
      <c r="G162" t="s">
        <v>525</v>
      </c>
    </row>
    <row r="163" spans="1:7" x14ac:dyDescent="0.3">
      <c r="A163">
        <v>0</v>
      </c>
      <c r="B163" t="s">
        <v>312</v>
      </c>
      <c r="C163" t="s">
        <v>326</v>
      </c>
      <c r="D163" t="s">
        <v>2</v>
      </c>
      <c r="E163" t="s">
        <v>326</v>
      </c>
      <c r="F163" t="s">
        <v>13</v>
      </c>
      <c r="G163" t="s">
        <v>525</v>
      </c>
    </row>
    <row r="164" spans="1:7" x14ac:dyDescent="0.3">
      <c r="A164">
        <v>0</v>
      </c>
      <c r="B164" t="s">
        <v>319</v>
      </c>
      <c r="C164" t="s">
        <v>415</v>
      </c>
      <c r="D164" t="s">
        <v>2</v>
      </c>
      <c r="E164" t="s">
        <v>415</v>
      </c>
      <c r="F164" t="s">
        <v>13</v>
      </c>
      <c r="G164" t="s">
        <v>525</v>
      </c>
    </row>
    <row r="165" spans="1:7" x14ac:dyDescent="0.3">
      <c r="A165">
        <v>0</v>
      </c>
      <c r="B165" t="s">
        <v>314</v>
      </c>
      <c r="C165" t="s">
        <v>451</v>
      </c>
      <c r="D165" t="s">
        <v>2</v>
      </c>
      <c r="E165" t="s">
        <v>451</v>
      </c>
      <c r="F165" t="s">
        <v>13</v>
      </c>
      <c r="G165" t="s">
        <v>525</v>
      </c>
    </row>
    <row r="166" spans="1:7" x14ac:dyDescent="0.3">
      <c r="A166">
        <v>0</v>
      </c>
      <c r="B166" t="s">
        <v>314</v>
      </c>
      <c r="C166" t="s">
        <v>448</v>
      </c>
      <c r="D166" t="s">
        <v>2</v>
      </c>
      <c r="E166" t="s">
        <v>448</v>
      </c>
      <c r="F166" t="s">
        <v>13</v>
      </c>
      <c r="G166" t="s">
        <v>525</v>
      </c>
    </row>
    <row r="167" spans="1:7" x14ac:dyDescent="0.3">
      <c r="A167">
        <v>0</v>
      </c>
      <c r="B167" t="s">
        <v>312</v>
      </c>
      <c r="C167" t="s">
        <v>423</v>
      </c>
      <c r="D167" t="s">
        <v>2</v>
      </c>
      <c r="E167" t="s">
        <v>423</v>
      </c>
      <c r="F167" t="s">
        <v>13</v>
      </c>
      <c r="G167" t="s">
        <v>525</v>
      </c>
    </row>
    <row r="168" spans="1:7" x14ac:dyDescent="0.3">
      <c r="A168">
        <v>0</v>
      </c>
      <c r="B168" t="s">
        <v>319</v>
      </c>
      <c r="C168" t="s">
        <v>361</v>
      </c>
      <c r="D168" t="s">
        <v>2</v>
      </c>
      <c r="E168" t="s">
        <v>361</v>
      </c>
      <c r="F168" t="s">
        <v>13</v>
      </c>
      <c r="G168" t="s">
        <v>525</v>
      </c>
    </row>
    <row r="169" spans="1:7" x14ac:dyDescent="0.3">
      <c r="A169">
        <v>0</v>
      </c>
      <c r="B169" t="s">
        <v>314</v>
      </c>
      <c r="C169" t="s">
        <v>467</v>
      </c>
      <c r="D169" t="s">
        <v>2</v>
      </c>
      <c r="E169" t="s">
        <v>467</v>
      </c>
      <c r="F169" t="s">
        <v>13</v>
      </c>
      <c r="G169" t="s">
        <v>525</v>
      </c>
    </row>
    <row r="170" spans="1:7" x14ac:dyDescent="0.3">
      <c r="A170">
        <v>0</v>
      </c>
      <c r="B170" t="s">
        <v>319</v>
      </c>
      <c r="C170" t="s">
        <v>420</v>
      </c>
      <c r="D170" t="s">
        <v>2</v>
      </c>
      <c r="E170" t="s">
        <v>420</v>
      </c>
      <c r="F170" t="s">
        <v>13</v>
      </c>
      <c r="G170" t="s">
        <v>525</v>
      </c>
    </row>
    <row r="171" spans="1:7" x14ac:dyDescent="0.3">
      <c r="A171">
        <v>0</v>
      </c>
      <c r="B171" t="s">
        <v>314</v>
      </c>
      <c r="C171" t="s">
        <v>487</v>
      </c>
      <c r="D171" t="s">
        <v>2</v>
      </c>
      <c r="E171" t="s">
        <v>487</v>
      </c>
      <c r="F171" t="s">
        <v>13</v>
      </c>
      <c r="G171" t="s">
        <v>525</v>
      </c>
    </row>
    <row r="172" spans="1:7" x14ac:dyDescent="0.3">
      <c r="A172">
        <v>0</v>
      </c>
      <c r="B172" t="s">
        <v>312</v>
      </c>
      <c r="C172" t="s">
        <v>149</v>
      </c>
      <c r="D172" t="s">
        <v>2</v>
      </c>
      <c r="E172" t="s">
        <v>149</v>
      </c>
      <c r="F172" t="s">
        <v>13</v>
      </c>
      <c r="G172" t="s">
        <v>525</v>
      </c>
    </row>
    <row r="173" spans="1:7" x14ac:dyDescent="0.3">
      <c r="A173">
        <v>0</v>
      </c>
      <c r="B173" t="s">
        <v>314</v>
      </c>
      <c r="C173" t="s">
        <v>377</v>
      </c>
      <c r="D173" t="s">
        <v>2</v>
      </c>
      <c r="E173" t="s">
        <v>377</v>
      </c>
      <c r="F173" t="s">
        <v>13</v>
      </c>
      <c r="G173" t="s">
        <v>525</v>
      </c>
    </row>
    <row r="174" spans="1:7" x14ac:dyDescent="0.3">
      <c r="A174">
        <v>0</v>
      </c>
      <c r="B174" t="s">
        <v>312</v>
      </c>
      <c r="C174" t="s">
        <v>403</v>
      </c>
      <c r="D174" t="s">
        <v>2</v>
      </c>
      <c r="E174" t="s">
        <v>403</v>
      </c>
      <c r="F174" t="s">
        <v>13</v>
      </c>
      <c r="G174" t="s">
        <v>525</v>
      </c>
    </row>
    <row r="175" spans="1:7" x14ac:dyDescent="0.3">
      <c r="A175">
        <v>0</v>
      </c>
      <c r="B175" t="s">
        <v>312</v>
      </c>
      <c r="C175" t="s">
        <v>387</v>
      </c>
      <c r="D175" t="s">
        <v>2</v>
      </c>
      <c r="E175" t="s">
        <v>387</v>
      </c>
      <c r="F175" t="s">
        <v>13</v>
      </c>
      <c r="G175" t="s">
        <v>525</v>
      </c>
    </row>
    <row r="176" spans="1:7" x14ac:dyDescent="0.3">
      <c r="A176">
        <v>0</v>
      </c>
      <c r="B176" t="s">
        <v>312</v>
      </c>
      <c r="C176" t="s">
        <v>431</v>
      </c>
      <c r="D176" t="s">
        <v>2</v>
      </c>
      <c r="E176" t="s">
        <v>431</v>
      </c>
      <c r="F176" t="s">
        <v>13</v>
      </c>
      <c r="G176" t="s">
        <v>525</v>
      </c>
    </row>
    <row r="177" spans="1:7" x14ac:dyDescent="0.3">
      <c r="A177">
        <v>0</v>
      </c>
      <c r="B177" t="s">
        <v>319</v>
      </c>
      <c r="C177" t="s">
        <v>459</v>
      </c>
      <c r="D177" t="s">
        <v>2</v>
      </c>
      <c r="E177" t="s">
        <v>459</v>
      </c>
      <c r="F177" t="s">
        <v>13</v>
      </c>
      <c r="G177" t="s">
        <v>525</v>
      </c>
    </row>
    <row r="178" spans="1:7" x14ac:dyDescent="0.3">
      <c r="A178">
        <v>0</v>
      </c>
      <c r="B178" t="s">
        <v>314</v>
      </c>
      <c r="C178" t="s">
        <v>376</v>
      </c>
      <c r="D178" t="s">
        <v>2</v>
      </c>
      <c r="E178" t="s">
        <v>376</v>
      </c>
      <c r="F178" t="s">
        <v>13</v>
      </c>
      <c r="G178" t="s">
        <v>525</v>
      </c>
    </row>
    <row r="179" spans="1:7" x14ac:dyDescent="0.3">
      <c r="A179">
        <v>0</v>
      </c>
      <c r="B179" t="s">
        <v>312</v>
      </c>
      <c r="C179" t="s">
        <v>379</v>
      </c>
      <c r="D179" t="s">
        <v>2</v>
      </c>
      <c r="E179" t="s">
        <v>379</v>
      </c>
      <c r="F179" t="s">
        <v>13</v>
      </c>
      <c r="G179" t="s">
        <v>525</v>
      </c>
    </row>
    <row r="180" spans="1:7" x14ac:dyDescent="0.3">
      <c r="A180">
        <v>0</v>
      </c>
      <c r="B180" t="s">
        <v>314</v>
      </c>
      <c r="C180" t="s">
        <v>445</v>
      </c>
      <c r="D180" t="s">
        <v>2</v>
      </c>
      <c r="E180" t="s">
        <v>445</v>
      </c>
      <c r="F180" t="s">
        <v>13</v>
      </c>
      <c r="G180" t="s">
        <v>525</v>
      </c>
    </row>
    <row r="181" spans="1:7" x14ac:dyDescent="0.3">
      <c r="A181">
        <v>0</v>
      </c>
      <c r="B181" t="s">
        <v>319</v>
      </c>
      <c r="C181" t="s">
        <v>460</v>
      </c>
      <c r="D181" t="s">
        <v>2</v>
      </c>
      <c r="E181" t="s">
        <v>460</v>
      </c>
      <c r="F181" t="s">
        <v>13</v>
      </c>
      <c r="G181" t="s">
        <v>525</v>
      </c>
    </row>
    <row r="182" spans="1:7" x14ac:dyDescent="0.3">
      <c r="A182">
        <v>0</v>
      </c>
      <c r="B182" t="s">
        <v>314</v>
      </c>
      <c r="C182" t="s">
        <v>450</v>
      </c>
      <c r="D182" t="s">
        <v>2</v>
      </c>
      <c r="E182" t="s">
        <v>450</v>
      </c>
      <c r="F182" t="s">
        <v>13</v>
      </c>
      <c r="G182" t="s">
        <v>525</v>
      </c>
    </row>
    <row r="183" spans="1:7" x14ac:dyDescent="0.3">
      <c r="A183">
        <v>0</v>
      </c>
      <c r="B183" t="s">
        <v>312</v>
      </c>
      <c r="C183" t="s">
        <v>473</v>
      </c>
      <c r="D183" t="s">
        <v>2</v>
      </c>
      <c r="E183" t="s">
        <v>473</v>
      </c>
      <c r="F183" t="s">
        <v>13</v>
      </c>
      <c r="G183" t="s">
        <v>525</v>
      </c>
    </row>
    <row r="184" spans="1:7" x14ac:dyDescent="0.3">
      <c r="A184">
        <v>0</v>
      </c>
      <c r="B184" t="s">
        <v>314</v>
      </c>
      <c r="C184" t="s">
        <v>313</v>
      </c>
      <c r="D184" t="s">
        <v>2</v>
      </c>
      <c r="E184" t="s">
        <v>313</v>
      </c>
      <c r="F184" t="s">
        <v>13</v>
      </c>
      <c r="G184" t="s">
        <v>525</v>
      </c>
    </row>
    <row r="185" spans="1:7" x14ac:dyDescent="0.3">
      <c r="A185">
        <v>0</v>
      </c>
      <c r="B185" t="s">
        <v>312</v>
      </c>
      <c r="C185" t="s">
        <v>472</v>
      </c>
      <c r="D185" t="s">
        <v>2</v>
      </c>
      <c r="E185" t="s">
        <v>472</v>
      </c>
      <c r="F185" t="s">
        <v>13</v>
      </c>
      <c r="G185" t="s">
        <v>525</v>
      </c>
    </row>
    <row r="186" spans="1:7" x14ac:dyDescent="0.3">
      <c r="A186">
        <v>0</v>
      </c>
      <c r="B186" t="s">
        <v>312</v>
      </c>
      <c r="C186" t="s">
        <v>402</v>
      </c>
      <c r="D186" t="s">
        <v>2</v>
      </c>
      <c r="E186" t="s">
        <v>402</v>
      </c>
      <c r="F186" t="s">
        <v>13</v>
      </c>
      <c r="G186" t="s">
        <v>525</v>
      </c>
    </row>
    <row r="187" spans="1:7" x14ac:dyDescent="0.3">
      <c r="A187">
        <v>0</v>
      </c>
      <c r="B187" t="s">
        <v>314</v>
      </c>
      <c r="C187" t="s">
        <v>455</v>
      </c>
      <c r="D187" t="s">
        <v>2</v>
      </c>
      <c r="E187" t="s">
        <v>455</v>
      </c>
      <c r="F187" t="s">
        <v>13</v>
      </c>
      <c r="G187" t="s">
        <v>525</v>
      </c>
    </row>
    <row r="188" spans="1:7" x14ac:dyDescent="0.3">
      <c r="A188">
        <v>0</v>
      </c>
      <c r="B188" t="s">
        <v>312</v>
      </c>
      <c r="C188" t="s">
        <v>411</v>
      </c>
      <c r="D188" t="s">
        <v>2</v>
      </c>
      <c r="E188" t="s">
        <v>411</v>
      </c>
      <c r="F188" t="s">
        <v>13</v>
      </c>
      <c r="G188" t="s">
        <v>525</v>
      </c>
    </row>
    <row r="189" spans="1:7" x14ac:dyDescent="0.3">
      <c r="A189">
        <v>0</v>
      </c>
      <c r="B189" t="s">
        <v>312</v>
      </c>
      <c r="C189" t="s">
        <v>488</v>
      </c>
      <c r="D189" t="s">
        <v>2</v>
      </c>
      <c r="E189" t="s">
        <v>488</v>
      </c>
      <c r="F189" t="s">
        <v>13</v>
      </c>
      <c r="G189" t="s">
        <v>525</v>
      </c>
    </row>
    <row r="190" spans="1:7" x14ac:dyDescent="0.3">
      <c r="A190">
        <v>0</v>
      </c>
      <c r="B190" t="s">
        <v>319</v>
      </c>
      <c r="C190" t="s">
        <v>462</v>
      </c>
      <c r="D190" t="s">
        <v>2</v>
      </c>
      <c r="E190" t="s">
        <v>462</v>
      </c>
      <c r="F190" t="s">
        <v>13</v>
      </c>
      <c r="G190" t="s">
        <v>525</v>
      </c>
    </row>
    <row r="191" spans="1:7" x14ac:dyDescent="0.3">
      <c r="A191">
        <v>0</v>
      </c>
      <c r="B191" t="s">
        <v>312</v>
      </c>
      <c r="C191" t="s">
        <v>246</v>
      </c>
      <c r="D191" t="s">
        <v>2</v>
      </c>
      <c r="E191" t="s">
        <v>246</v>
      </c>
      <c r="F191" t="s">
        <v>13</v>
      </c>
      <c r="G191" t="s">
        <v>525</v>
      </c>
    </row>
    <row r="192" spans="1:7" x14ac:dyDescent="0.3">
      <c r="A192">
        <v>0</v>
      </c>
      <c r="B192" t="s">
        <v>312</v>
      </c>
      <c r="C192" t="s">
        <v>357</v>
      </c>
      <c r="D192" t="s">
        <v>2</v>
      </c>
      <c r="E192" t="s">
        <v>357</v>
      </c>
      <c r="F192" t="s">
        <v>13</v>
      </c>
      <c r="G192" t="s">
        <v>525</v>
      </c>
    </row>
    <row r="193" spans="1:7" x14ac:dyDescent="0.3">
      <c r="A193">
        <v>0</v>
      </c>
      <c r="B193" t="s">
        <v>314</v>
      </c>
      <c r="C193" t="s">
        <v>341</v>
      </c>
      <c r="D193" t="s">
        <v>2</v>
      </c>
      <c r="E193" t="s">
        <v>341</v>
      </c>
      <c r="F193" t="s">
        <v>13</v>
      </c>
      <c r="G193" t="s">
        <v>525</v>
      </c>
    </row>
    <row r="194" spans="1:7" x14ac:dyDescent="0.3">
      <c r="A194">
        <v>0</v>
      </c>
      <c r="B194" t="s">
        <v>319</v>
      </c>
      <c r="C194" t="s">
        <v>466</v>
      </c>
      <c r="D194" t="s">
        <v>2</v>
      </c>
      <c r="E194" t="s">
        <v>466</v>
      </c>
      <c r="F194" t="s">
        <v>13</v>
      </c>
      <c r="G194" t="s">
        <v>525</v>
      </c>
    </row>
    <row r="195" spans="1:7" x14ac:dyDescent="0.3">
      <c r="A195">
        <v>0</v>
      </c>
      <c r="B195" t="s">
        <v>319</v>
      </c>
      <c r="C195" t="s">
        <v>362</v>
      </c>
      <c r="D195" t="s">
        <v>2</v>
      </c>
      <c r="E195" t="s">
        <v>362</v>
      </c>
      <c r="F195" t="s">
        <v>13</v>
      </c>
      <c r="G195" t="s">
        <v>525</v>
      </c>
    </row>
    <row r="196" spans="1:7" x14ac:dyDescent="0.3">
      <c r="A196">
        <v>0</v>
      </c>
      <c r="B196" t="s">
        <v>312</v>
      </c>
      <c r="C196" t="s">
        <v>433</v>
      </c>
      <c r="D196" t="s">
        <v>2</v>
      </c>
      <c r="E196" t="s">
        <v>433</v>
      </c>
      <c r="F196" t="s">
        <v>13</v>
      </c>
      <c r="G196" t="s">
        <v>525</v>
      </c>
    </row>
    <row r="197" spans="1:7" x14ac:dyDescent="0.3">
      <c r="A197">
        <v>0</v>
      </c>
      <c r="B197" t="s">
        <v>312</v>
      </c>
      <c r="C197" t="s">
        <v>397</v>
      </c>
      <c r="D197" t="s">
        <v>2</v>
      </c>
      <c r="E197" t="s">
        <v>397</v>
      </c>
      <c r="F197" t="s">
        <v>13</v>
      </c>
      <c r="G197" t="s">
        <v>525</v>
      </c>
    </row>
    <row r="198" spans="1:7" x14ac:dyDescent="0.3">
      <c r="A198">
        <v>0</v>
      </c>
      <c r="B198" t="s">
        <v>319</v>
      </c>
      <c r="C198" t="s">
        <v>378</v>
      </c>
      <c r="D198" t="s">
        <v>2</v>
      </c>
      <c r="E198" t="s">
        <v>378</v>
      </c>
      <c r="F198" t="s">
        <v>13</v>
      </c>
      <c r="G198" t="s">
        <v>525</v>
      </c>
    </row>
    <row r="199" spans="1:7" x14ac:dyDescent="0.3">
      <c r="A199">
        <v>0</v>
      </c>
      <c r="B199" t="s">
        <v>105</v>
      </c>
      <c r="C199" t="s">
        <v>117</v>
      </c>
      <c r="D199" t="s">
        <v>2</v>
      </c>
      <c r="E199" t="s">
        <v>117</v>
      </c>
      <c r="F199" t="s">
        <v>13</v>
      </c>
      <c r="G199" t="s">
        <v>525</v>
      </c>
    </row>
    <row r="200" spans="1:7" x14ac:dyDescent="0.3">
      <c r="A200">
        <v>0</v>
      </c>
      <c r="B200" t="s">
        <v>312</v>
      </c>
      <c r="C200" t="s">
        <v>476</v>
      </c>
      <c r="D200" t="s">
        <v>2</v>
      </c>
      <c r="E200" t="s">
        <v>476</v>
      </c>
      <c r="F200" t="s">
        <v>13</v>
      </c>
      <c r="G200" t="s">
        <v>525</v>
      </c>
    </row>
    <row r="201" spans="1:7" x14ac:dyDescent="0.3">
      <c r="A201">
        <v>0</v>
      </c>
      <c r="B201" t="s">
        <v>319</v>
      </c>
      <c r="C201" t="s">
        <v>478</v>
      </c>
      <c r="D201" t="s">
        <v>2</v>
      </c>
      <c r="E201" t="s">
        <v>478</v>
      </c>
      <c r="F201" t="s">
        <v>13</v>
      </c>
      <c r="G201" t="s">
        <v>525</v>
      </c>
    </row>
    <row r="202" spans="1:7" x14ac:dyDescent="0.3">
      <c r="A202">
        <v>0</v>
      </c>
      <c r="B202" t="s">
        <v>312</v>
      </c>
      <c r="C202" t="s">
        <v>367</v>
      </c>
      <c r="D202" t="s">
        <v>2</v>
      </c>
      <c r="E202" t="s">
        <v>367</v>
      </c>
      <c r="F202" t="s">
        <v>13</v>
      </c>
      <c r="G202" t="s">
        <v>525</v>
      </c>
    </row>
    <row r="203" spans="1:7" x14ac:dyDescent="0.3">
      <c r="A203">
        <v>0</v>
      </c>
      <c r="B203" t="s">
        <v>312</v>
      </c>
      <c r="C203" t="s">
        <v>346</v>
      </c>
      <c r="D203" t="s">
        <v>2</v>
      </c>
      <c r="E203" t="s">
        <v>346</v>
      </c>
      <c r="F203" t="s">
        <v>13</v>
      </c>
      <c r="G203" t="s">
        <v>525</v>
      </c>
    </row>
    <row r="204" spans="1:7" x14ac:dyDescent="0.3">
      <c r="A204">
        <v>0</v>
      </c>
      <c r="B204" t="s">
        <v>105</v>
      </c>
      <c r="C204" t="s">
        <v>119</v>
      </c>
      <c r="D204" t="s">
        <v>2</v>
      </c>
      <c r="E204" t="s">
        <v>119</v>
      </c>
      <c r="F204" t="s">
        <v>13</v>
      </c>
      <c r="G204" t="s">
        <v>525</v>
      </c>
    </row>
    <row r="205" spans="1:7" x14ac:dyDescent="0.3">
      <c r="A205">
        <v>0</v>
      </c>
      <c r="B205" t="s">
        <v>312</v>
      </c>
      <c r="C205" t="s">
        <v>385</v>
      </c>
      <c r="D205" t="s">
        <v>2</v>
      </c>
      <c r="E205" t="s">
        <v>385</v>
      </c>
      <c r="F205" t="s">
        <v>13</v>
      </c>
      <c r="G205" t="s">
        <v>525</v>
      </c>
    </row>
    <row r="206" spans="1:7" x14ac:dyDescent="0.3">
      <c r="A206">
        <v>0</v>
      </c>
      <c r="B206" t="s">
        <v>57</v>
      </c>
      <c r="C206" t="s">
        <v>120</v>
      </c>
      <c r="D206" t="s">
        <v>2</v>
      </c>
      <c r="E206" t="s">
        <v>120</v>
      </c>
      <c r="F206" t="s">
        <v>13</v>
      </c>
      <c r="G206" t="s">
        <v>525</v>
      </c>
    </row>
    <row r="207" spans="1:7" x14ac:dyDescent="0.3">
      <c r="A207">
        <v>0</v>
      </c>
      <c r="B207" t="s">
        <v>312</v>
      </c>
      <c r="C207" t="s">
        <v>324</v>
      </c>
      <c r="D207" t="s">
        <v>2</v>
      </c>
      <c r="E207" t="s">
        <v>324</v>
      </c>
      <c r="F207" t="s">
        <v>13</v>
      </c>
      <c r="G207" t="s">
        <v>525</v>
      </c>
    </row>
    <row r="208" spans="1:7" x14ac:dyDescent="0.3">
      <c r="A208">
        <v>0</v>
      </c>
      <c r="B208" t="s">
        <v>312</v>
      </c>
      <c r="C208" t="s">
        <v>327</v>
      </c>
      <c r="D208" t="s">
        <v>2</v>
      </c>
      <c r="E208" t="s">
        <v>327</v>
      </c>
      <c r="F208" t="s">
        <v>13</v>
      </c>
      <c r="G208" t="s">
        <v>525</v>
      </c>
    </row>
    <row r="209" spans="1:7" x14ac:dyDescent="0.3">
      <c r="A209">
        <v>0</v>
      </c>
      <c r="B209" t="s">
        <v>314</v>
      </c>
      <c r="C209" t="s">
        <v>441</v>
      </c>
      <c r="D209" t="s">
        <v>2</v>
      </c>
      <c r="E209" t="s">
        <v>441</v>
      </c>
      <c r="F209" t="s">
        <v>13</v>
      </c>
      <c r="G209" t="s">
        <v>525</v>
      </c>
    </row>
    <row r="210" spans="1:7" x14ac:dyDescent="0.3">
      <c r="A210">
        <v>0</v>
      </c>
      <c r="B210" t="s">
        <v>105</v>
      </c>
      <c r="C210" t="s">
        <v>115</v>
      </c>
      <c r="D210" t="s">
        <v>2</v>
      </c>
      <c r="E210" t="s">
        <v>115</v>
      </c>
      <c r="F210" t="s">
        <v>13</v>
      </c>
      <c r="G210" t="s">
        <v>525</v>
      </c>
    </row>
    <row r="211" spans="1:7" x14ac:dyDescent="0.3">
      <c r="A211">
        <v>0</v>
      </c>
      <c r="B211" t="s">
        <v>312</v>
      </c>
      <c r="C211" t="s">
        <v>484</v>
      </c>
      <c r="D211" t="s">
        <v>2</v>
      </c>
      <c r="E211" t="s">
        <v>484</v>
      </c>
      <c r="F211" t="s">
        <v>13</v>
      </c>
      <c r="G211" t="s">
        <v>525</v>
      </c>
    </row>
    <row r="212" spans="1:7" x14ac:dyDescent="0.3">
      <c r="A212">
        <v>0</v>
      </c>
      <c r="B212" t="s">
        <v>312</v>
      </c>
      <c r="C212" t="s">
        <v>311</v>
      </c>
      <c r="D212" t="s">
        <v>2</v>
      </c>
      <c r="E212" t="s">
        <v>311</v>
      </c>
      <c r="F212" t="s">
        <v>13</v>
      </c>
      <c r="G212" t="s">
        <v>525</v>
      </c>
    </row>
    <row r="213" spans="1:7" x14ac:dyDescent="0.3">
      <c r="A213">
        <v>0</v>
      </c>
      <c r="B213" t="s">
        <v>312</v>
      </c>
      <c r="C213" t="s">
        <v>365</v>
      </c>
      <c r="D213" t="s">
        <v>2</v>
      </c>
      <c r="E213" t="s">
        <v>365</v>
      </c>
      <c r="F213" t="s">
        <v>13</v>
      </c>
      <c r="G213" t="s">
        <v>525</v>
      </c>
    </row>
    <row r="214" spans="1:7" x14ac:dyDescent="0.3">
      <c r="A214">
        <v>0</v>
      </c>
      <c r="B214" t="s">
        <v>314</v>
      </c>
      <c r="C214" t="s">
        <v>350</v>
      </c>
      <c r="D214" t="s">
        <v>2</v>
      </c>
      <c r="E214" t="s">
        <v>350</v>
      </c>
      <c r="F214" t="s">
        <v>13</v>
      </c>
      <c r="G214" t="s">
        <v>525</v>
      </c>
    </row>
    <row r="215" spans="1:7" x14ac:dyDescent="0.3">
      <c r="A215">
        <v>0</v>
      </c>
      <c r="B215" t="s">
        <v>105</v>
      </c>
      <c r="C215" t="s">
        <v>123</v>
      </c>
      <c r="D215" t="s">
        <v>2</v>
      </c>
      <c r="E215" t="s">
        <v>123</v>
      </c>
      <c r="F215" t="s">
        <v>13</v>
      </c>
      <c r="G215" t="s">
        <v>525</v>
      </c>
    </row>
    <row r="216" spans="1:7" x14ac:dyDescent="0.3">
      <c r="A216">
        <v>0</v>
      </c>
      <c r="B216" t="s">
        <v>312</v>
      </c>
      <c r="C216" t="s">
        <v>396</v>
      </c>
      <c r="D216" t="s">
        <v>2</v>
      </c>
      <c r="E216" t="s">
        <v>396</v>
      </c>
      <c r="F216" t="s">
        <v>13</v>
      </c>
      <c r="G216" t="s">
        <v>525</v>
      </c>
    </row>
    <row r="217" spans="1:7" x14ac:dyDescent="0.3">
      <c r="A217">
        <v>0</v>
      </c>
      <c r="B217" t="s">
        <v>312</v>
      </c>
      <c r="C217" t="s">
        <v>428</v>
      </c>
      <c r="D217" t="s">
        <v>2</v>
      </c>
      <c r="E217" t="s">
        <v>428</v>
      </c>
      <c r="F217" t="s">
        <v>13</v>
      </c>
      <c r="G217" t="s">
        <v>525</v>
      </c>
    </row>
    <row r="218" spans="1:7" x14ac:dyDescent="0.3">
      <c r="A218">
        <v>0</v>
      </c>
      <c r="B218" t="s">
        <v>312</v>
      </c>
      <c r="C218" t="s">
        <v>383</v>
      </c>
      <c r="D218" t="s">
        <v>2</v>
      </c>
      <c r="E218" t="s">
        <v>383</v>
      </c>
      <c r="F218" t="s">
        <v>13</v>
      </c>
      <c r="G218" t="s">
        <v>525</v>
      </c>
    </row>
    <row r="219" spans="1:7" x14ac:dyDescent="0.3">
      <c r="A219">
        <v>0</v>
      </c>
      <c r="B219" t="s">
        <v>312</v>
      </c>
      <c r="C219" t="s">
        <v>426</v>
      </c>
      <c r="D219" t="s">
        <v>2</v>
      </c>
      <c r="E219" t="s">
        <v>426</v>
      </c>
      <c r="F219" t="s">
        <v>13</v>
      </c>
      <c r="G219" t="s">
        <v>525</v>
      </c>
    </row>
    <row r="220" spans="1:7" x14ac:dyDescent="0.3">
      <c r="A220">
        <v>0</v>
      </c>
      <c r="B220" t="s">
        <v>312</v>
      </c>
      <c r="C220" t="s">
        <v>437</v>
      </c>
      <c r="D220" t="s">
        <v>2</v>
      </c>
      <c r="E220" t="s">
        <v>437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454</v>
      </c>
      <c r="D221" t="s">
        <v>2</v>
      </c>
      <c r="E221" t="s">
        <v>454</v>
      </c>
      <c r="F221" t="s">
        <v>13</v>
      </c>
      <c r="G221" t="s">
        <v>525</v>
      </c>
    </row>
    <row r="222" spans="1:7" x14ac:dyDescent="0.3">
      <c r="A222">
        <v>0</v>
      </c>
      <c r="B222" t="s">
        <v>312</v>
      </c>
      <c r="C222" t="s">
        <v>425</v>
      </c>
      <c r="D222" t="s">
        <v>2</v>
      </c>
      <c r="E222" t="s">
        <v>425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344</v>
      </c>
      <c r="D223" t="s">
        <v>2</v>
      </c>
      <c r="E223" t="s">
        <v>344</v>
      </c>
      <c r="F223" t="s">
        <v>13</v>
      </c>
      <c r="G223" t="s">
        <v>525</v>
      </c>
    </row>
    <row r="224" spans="1:7" x14ac:dyDescent="0.3">
      <c r="A224">
        <v>0</v>
      </c>
      <c r="B224" t="s">
        <v>312</v>
      </c>
      <c r="C224" t="s">
        <v>407</v>
      </c>
      <c r="D224" t="s">
        <v>2</v>
      </c>
      <c r="E224" t="s">
        <v>407</v>
      </c>
      <c r="F224" t="s">
        <v>13</v>
      </c>
      <c r="G224" t="s">
        <v>525</v>
      </c>
    </row>
    <row r="225" spans="1:7" x14ac:dyDescent="0.3">
      <c r="A225">
        <v>0</v>
      </c>
      <c r="B225" t="s">
        <v>314</v>
      </c>
      <c r="C225" t="s">
        <v>413</v>
      </c>
      <c r="D225" t="s">
        <v>2</v>
      </c>
      <c r="E225" t="s">
        <v>413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392</v>
      </c>
      <c r="D226" t="s">
        <v>2</v>
      </c>
      <c r="E226" t="s">
        <v>392</v>
      </c>
      <c r="F226" t="s">
        <v>13</v>
      </c>
      <c r="G226" t="s">
        <v>525</v>
      </c>
    </row>
    <row r="227" spans="1:7" x14ac:dyDescent="0.3">
      <c r="A227">
        <v>0</v>
      </c>
      <c r="B227" t="s">
        <v>319</v>
      </c>
      <c r="C227" t="s">
        <v>422</v>
      </c>
      <c r="D227" t="s">
        <v>2</v>
      </c>
      <c r="E227" t="s">
        <v>422</v>
      </c>
      <c r="F227" t="s">
        <v>13</v>
      </c>
      <c r="G227" t="s">
        <v>525</v>
      </c>
    </row>
    <row r="228" spans="1:7" x14ac:dyDescent="0.3">
      <c r="A228">
        <v>0</v>
      </c>
      <c r="B228" t="s">
        <v>314</v>
      </c>
      <c r="C228" t="s">
        <v>495</v>
      </c>
      <c r="D228" t="s">
        <v>494</v>
      </c>
      <c r="E228" t="s">
        <v>495</v>
      </c>
      <c r="F228" t="s">
        <v>13</v>
      </c>
      <c r="G228" t="s">
        <v>525</v>
      </c>
    </row>
    <row r="229" spans="1:7" x14ac:dyDescent="0.3">
      <c r="A229">
        <v>0</v>
      </c>
      <c r="B229" t="s">
        <v>314</v>
      </c>
      <c r="C229" t="s">
        <v>497</v>
      </c>
      <c r="D229" t="s">
        <v>494</v>
      </c>
      <c r="E229" t="s">
        <v>497</v>
      </c>
      <c r="F229" t="s">
        <v>13</v>
      </c>
      <c r="G229" t="s">
        <v>525</v>
      </c>
    </row>
    <row r="230" spans="1:7" x14ac:dyDescent="0.3">
      <c r="A230">
        <v>0</v>
      </c>
      <c r="B230" t="s">
        <v>314</v>
      </c>
      <c r="C230" t="s">
        <v>496</v>
      </c>
      <c r="D230" t="s">
        <v>494</v>
      </c>
      <c r="E230" t="s">
        <v>496</v>
      </c>
      <c r="F230" t="s">
        <v>13</v>
      </c>
      <c r="G230" t="s">
        <v>525</v>
      </c>
    </row>
    <row r="231" spans="1:7" x14ac:dyDescent="0.3">
      <c r="A231">
        <v>0</v>
      </c>
      <c r="B231" t="s">
        <v>312</v>
      </c>
      <c r="C231" t="s">
        <v>513</v>
      </c>
      <c r="D231" t="s">
        <v>498</v>
      </c>
      <c r="E231" t="s">
        <v>513</v>
      </c>
      <c r="F231" t="s">
        <v>13</v>
      </c>
      <c r="G231" t="s">
        <v>525</v>
      </c>
    </row>
    <row r="232" spans="1:7" x14ac:dyDescent="0.3">
      <c r="A232">
        <v>0</v>
      </c>
      <c r="B232" t="s">
        <v>312</v>
      </c>
      <c r="C232" t="s">
        <v>515</v>
      </c>
      <c r="D232" t="s">
        <v>498</v>
      </c>
      <c r="E232" t="s">
        <v>515</v>
      </c>
      <c r="F232" t="s">
        <v>13</v>
      </c>
      <c r="G232" t="s">
        <v>525</v>
      </c>
    </row>
    <row r="233" spans="1:7" x14ac:dyDescent="0.3">
      <c r="A233">
        <v>0</v>
      </c>
      <c r="B233" t="s">
        <v>312</v>
      </c>
      <c r="C233" t="s">
        <v>509</v>
      </c>
      <c r="D233" t="s">
        <v>498</v>
      </c>
      <c r="E233" t="s">
        <v>509</v>
      </c>
      <c r="F233" t="s">
        <v>13</v>
      </c>
      <c r="G233" t="s">
        <v>525</v>
      </c>
    </row>
    <row r="234" spans="1:7" x14ac:dyDescent="0.3">
      <c r="A234">
        <v>0</v>
      </c>
      <c r="B234" t="s">
        <v>312</v>
      </c>
      <c r="C234" t="s">
        <v>502</v>
      </c>
      <c r="D234" t="s">
        <v>498</v>
      </c>
      <c r="E234" t="s">
        <v>502</v>
      </c>
      <c r="F234" t="s">
        <v>13</v>
      </c>
      <c r="G234" t="s">
        <v>525</v>
      </c>
    </row>
    <row r="235" spans="1:7" x14ac:dyDescent="0.3">
      <c r="A235">
        <v>0</v>
      </c>
      <c r="B235" t="s">
        <v>312</v>
      </c>
      <c r="C235" t="s">
        <v>500</v>
      </c>
      <c r="D235" t="s">
        <v>498</v>
      </c>
      <c r="E235" t="s">
        <v>500</v>
      </c>
      <c r="F235" t="s">
        <v>13</v>
      </c>
      <c r="G235" t="s">
        <v>525</v>
      </c>
    </row>
    <row r="236" spans="1:7" x14ac:dyDescent="0.3">
      <c r="A236">
        <v>0</v>
      </c>
      <c r="B236" t="s">
        <v>507</v>
      </c>
      <c r="C236" t="s">
        <v>506</v>
      </c>
      <c r="D236" t="s">
        <v>498</v>
      </c>
      <c r="E236" t="s">
        <v>506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514</v>
      </c>
      <c r="D237" t="s">
        <v>498</v>
      </c>
      <c r="E237" t="s">
        <v>514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499</v>
      </c>
      <c r="D238" t="s">
        <v>498</v>
      </c>
      <c r="E238" t="s">
        <v>499</v>
      </c>
      <c r="F238" t="s">
        <v>13</v>
      </c>
      <c r="G238" t="s">
        <v>525</v>
      </c>
    </row>
    <row r="239" spans="1:7" x14ac:dyDescent="0.3">
      <c r="A239">
        <v>0</v>
      </c>
      <c r="B239" t="s">
        <v>312</v>
      </c>
      <c r="C239" t="s">
        <v>508</v>
      </c>
      <c r="D239" t="s">
        <v>498</v>
      </c>
      <c r="E239" t="s">
        <v>508</v>
      </c>
      <c r="F239" t="s">
        <v>13</v>
      </c>
      <c r="G239" t="s">
        <v>525</v>
      </c>
    </row>
    <row r="240" spans="1:7" x14ac:dyDescent="0.3">
      <c r="A240">
        <v>0</v>
      </c>
      <c r="B240" t="s">
        <v>312</v>
      </c>
      <c r="C240" t="s">
        <v>519</v>
      </c>
      <c r="D240" t="s">
        <v>498</v>
      </c>
      <c r="E240" t="s">
        <v>519</v>
      </c>
      <c r="F240" t="s">
        <v>13</v>
      </c>
      <c r="G240" t="s">
        <v>525</v>
      </c>
    </row>
    <row r="241" spans="1:7" x14ac:dyDescent="0.3">
      <c r="A241">
        <v>0</v>
      </c>
      <c r="B241" t="s">
        <v>312</v>
      </c>
      <c r="C241" t="s">
        <v>510</v>
      </c>
      <c r="D241" t="s">
        <v>498</v>
      </c>
      <c r="E241" t="s">
        <v>510</v>
      </c>
      <c r="F241" t="s">
        <v>13</v>
      </c>
      <c r="G241" t="s">
        <v>525</v>
      </c>
    </row>
    <row r="242" spans="1:7" x14ac:dyDescent="0.3">
      <c r="A242">
        <v>0</v>
      </c>
      <c r="B242" t="s">
        <v>312</v>
      </c>
      <c r="C242" t="s">
        <v>521</v>
      </c>
      <c r="D242" t="s">
        <v>498</v>
      </c>
      <c r="E242" t="s">
        <v>521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501</v>
      </c>
      <c r="D243" t="s">
        <v>498</v>
      </c>
      <c r="E243" t="s">
        <v>501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504</v>
      </c>
      <c r="D244" t="s">
        <v>498</v>
      </c>
      <c r="E244" t="s">
        <v>504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t="s">
        <v>520</v>
      </c>
      <c r="D245" t="s">
        <v>498</v>
      </c>
      <c r="E245" t="s">
        <v>520</v>
      </c>
      <c r="F245" t="s">
        <v>13</v>
      </c>
      <c r="G245" t="s">
        <v>525</v>
      </c>
    </row>
    <row r="246" spans="1:7" x14ac:dyDescent="0.3">
      <c r="A246">
        <v>0</v>
      </c>
      <c r="B246" t="s">
        <v>312</v>
      </c>
      <c r="C246" t="s">
        <v>523</v>
      </c>
      <c r="D246" t="s">
        <v>498</v>
      </c>
      <c r="E246" t="s">
        <v>523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503</v>
      </c>
      <c r="D247" t="s">
        <v>498</v>
      </c>
      <c r="E247" t="s">
        <v>503</v>
      </c>
      <c r="F247" t="s">
        <v>13</v>
      </c>
      <c r="G247" t="s">
        <v>525</v>
      </c>
    </row>
    <row r="248" spans="1:7" x14ac:dyDescent="0.3">
      <c r="A248">
        <v>0</v>
      </c>
      <c r="B248" t="s">
        <v>312</v>
      </c>
      <c r="C248" t="s">
        <v>512</v>
      </c>
      <c r="D248" t="s">
        <v>498</v>
      </c>
      <c r="E248" t="s">
        <v>512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505</v>
      </c>
      <c r="D249" t="s">
        <v>498</v>
      </c>
      <c r="E249" t="s">
        <v>505</v>
      </c>
      <c r="F249" t="s">
        <v>13</v>
      </c>
      <c r="G249" t="s">
        <v>525</v>
      </c>
    </row>
    <row r="250" spans="1:7" x14ac:dyDescent="0.3">
      <c r="A250">
        <v>0</v>
      </c>
      <c r="B250" t="s">
        <v>312</v>
      </c>
      <c r="C250" t="s">
        <v>518</v>
      </c>
      <c r="D250" t="s">
        <v>498</v>
      </c>
      <c r="E250" t="s">
        <v>518</v>
      </c>
      <c r="F250" t="s">
        <v>13</v>
      </c>
      <c r="G250" t="s">
        <v>525</v>
      </c>
    </row>
    <row r="251" spans="1:7" x14ac:dyDescent="0.3">
      <c r="A251">
        <v>0</v>
      </c>
      <c r="B251" t="s">
        <v>312</v>
      </c>
      <c r="C251" t="s">
        <v>522</v>
      </c>
      <c r="D251" t="s">
        <v>498</v>
      </c>
      <c r="E251" t="s">
        <v>522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516</v>
      </c>
      <c r="D252" t="s">
        <v>498</v>
      </c>
      <c r="E252" t="s">
        <v>516</v>
      </c>
      <c r="F252" t="s">
        <v>13</v>
      </c>
      <c r="G252" t="s">
        <v>525</v>
      </c>
    </row>
    <row r="253" spans="1:7" x14ac:dyDescent="0.3">
      <c r="A253">
        <v>0</v>
      </c>
      <c r="B253" t="s">
        <v>312</v>
      </c>
      <c r="C253" t="s">
        <v>517</v>
      </c>
      <c r="D253" t="s">
        <v>498</v>
      </c>
      <c r="E253" t="s">
        <v>517</v>
      </c>
      <c r="F253" t="s">
        <v>13</v>
      </c>
      <c r="G253" t="s">
        <v>525</v>
      </c>
    </row>
    <row r="254" spans="1:7" x14ac:dyDescent="0.3">
      <c r="A254">
        <v>0</v>
      </c>
      <c r="B254" t="s">
        <v>16</v>
      </c>
      <c r="C254" s="2" t="s">
        <v>22</v>
      </c>
      <c r="D254" t="s">
        <v>2</v>
      </c>
      <c r="E254" s="2" t="s">
        <v>22</v>
      </c>
      <c r="F254" t="s">
        <v>13</v>
      </c>
      <c r="G254" t="s">
        <v>525</v>
      </c>
    </row>
    <row r="255" spans="1:7" x14ac:dyDescent="0.3">
      <c r="A255">
        <v>0</v>
      </c>
      <c r="B255" t="s">
        <v>16</v>
      </c>
      <c r="C255" s="2" t="s">
        <v>49</v>
      </c>
      <c r="D255" t="s">
        <v>2</v>
      </c>
      <c r="E255" s="2" t="s">
        <v>49</v>
      </c>
      <c r="F255" t="s">
        <v>13</v>
      </c>
      <c r="G255" t="s">
        <v>525</v>
      </c>
    </row>
    <row r="256" spans="1:7" x14ac:dyDescent="0.3">
      <c r="A256">
        <v>0</v>
      </c>
      <c r="B256" t="s">
        <v>312</v>
      </c>
      <c r="C256" s="2" t="s">
        <v>55</v>
      </c>
      <c r="D256" t="s">
        <v>2</v>
      </c>
      <c r="E256" s="2" t="s">
        <v>55</v>
      </c>
      <c r="F256" t="s">
        <v>13</v>
      </c>
      <c r="G256" t="s">
        <v>525</v>
      </c>
    </row>
    <row r="257" spans="1:7" x14ac:dyDescent="0.3">
      <c r="A257">
        <v>0</v>
      </c>
      <c r="B257" t="s">
        <v>312</v>
      </c>
      <c r="C257" t="s">
        <v>59</v>
      </c>
      <c r="D257" t="s">
        <v>2</v>
      </c>
      <c r="E257" t="s">
        <v>59</v>
      </c>
      <c r="F257" t="s">
        <v>13</v>
      </c>
      <c r="G257" t="s">
        <v>525</v>
      </c>
    </row>
    <row r="258" spans="1:7" x14ac:dyDescent="0.3">
      <c r="A258">
        <v>0</v>
      </c>
      <c r="B258" t="s">
        <v>16</v>
      </c>
      <c r="C258" s="2" t="s">
        <v>61</v>
      </c>
      <c r="D258" t="s">
        <v>2</v>
      </c>
      <c r="E258" s="2" t="s">
        <v>61</v>
      </c>
      <c r="F258" t="s">
        <v>13</v>
      </c>
      <c r="G258" t="s">
        <v>525</v>
      </c>
    </row>
    <row r="259" spans="1:7" x14ac:dyDescent="0.3">
      <c r="A259">
        <v>0</v>
      </c>
      <c r="B259" t="s">
        <v>312</v>
      </c>
      <c r="C259" s="2" t="s">
        <v>67</v>
      </c>
      <c r="D259" t="s">
        <v>2</v>
      </c>
      <c r="E259" s="2" t="s">
        <v>67</v>
      </c>
      <c r="F259" t="s">
        <v>13</v>
      </c>
      <c r="G259" t="s">
        <v>525</v>
      </c>
    </row>
    <row r="260" spans="1:7" x14ac:dyDescent="0.3">
      <c r="A260">
        <v>0</v>
      </c>
      <c r="B260" t="s">
        <v>312</v>
      </c>
      <c r="C260" t="s">
        <v>73</v>
      </c>
      <c r="D260" t="s">
        <v>2</v>
      </c>
      <c r="E260" t="s">
        <v>73</v>
      </c>
      <c r="F260" t="s">
        <v>13</v>
      </c>
      <c r="G260" t="s">
        <v>525</v>
      </c>
    </row>
    <row r="261" spans="1:7" x14ac:dyDescent="0.3">
      <c r="A261">
        <v>0</v>
      </c>
      <c r="B261" t="s">
        <v>312</v>
      </c>
      <c r="C261" t="s">
        <v>79</v>
      </c>
      <c r="D261" t="s">
        <v>2</v>
      </c>
      <c r="E261" t="s">
        <v>79</v>
      </c>
      <c r="F261" t="s">
        <v>13</v>
      </c>
      <c r="G261" t="s">
        <v>525</v>
      </c>
    </row>
    <row r="262" spans="1:7" x14ac:dyDescent="0.3">
      <c r="A262">
        <v>0</v>
      </c>
      <c r="B262" t="s">
        <v>312</v>
      </c>
      <c r="C262" t="s">
        <v>82</v>
      </c>
      <c r="D262" t="s">
        <v>2</v>
      </c>
      <c r="E262" t="s">
        <v>82</v>
      </c>
      <c r="F262" t="s">
        <v>13</v>
      </c>
      <c r="G262" t="s">
        <v>525</v>
      </c>
    </row>
    <row r="263" spans="1:7" x14ac:dyDescent="0.3">
      <c r="A263">
        <v>0</v>
      </c>
      <c r="B263" t="s">
        <v>312</v>
      </c>
      <c r="C263" t="s">
        <v>85</v>
      </c>
      <c r="D263" t="s">
        <v>2</v>
      </c>
      <c r="E263" t="s">
        <v>85</v>
      </c>
      <c r="F263" t="s">
        <v>13</v>
      </c>
      <c r="G263" t="s">
        <v>525</v>
      </c>
    </row>
    <row r="264" spans="1:7" x14ac:dyDescent="0.3">
      <c r="A264">
        <v>0</v>
      </c>
      <c r="B264" t="s">
        <v>312</v>
      </c>
      <c r="C264" t="s">
        <v>88</v>
      </c>
      <c r="D264" t="s">
        <v>2</v>
      </c>
      <c r="E264" t="s">
        <v>88</v>
      </c>
      <c r="F264" t="s">
        <v>13</v>
      </c>
      <c r="G264" t="s">
        <v>525</v>
      </c>
    </row>
    <row r="265" spans="1:7" x14ac:dyDescent="0.3">
      <c r="A265">
        <v>0</v>
      </c>
      <c r="B265" t="s">
        <v>312</v>
      </c>
      <c r="C265" t="s">
        <v>91</v>
      </c>
      <c r="D265" t="s">
        <v>2</v>
      </c>
      <c r="E265" t="s">
        <v>91</v>
      </c>
      <c r="F265" t="s">
        <v>13</v>
      </c>
      <c r="G265" t="s">
        <v>525</v>
      </c>
    </row>
    <row r="266" spans="1:7" x14ac:dyDescent="0.3">
      <c r="A266">
        <v>0</v>
      </c>
      <c r="B266" t="s">
        <v>312</v>
      </c>
      <c r="C266" t="s">
        <v>94</v>
      </c>
      <c r="D266" t="s">
        <v>2</v>
      </c>
      <c r="E266" t="s">
        <v>94</v>
      </c>
      <c r="F266" t="s">
        <v>13</v>
      </c>
      <c r="G266" t="s">
        <v>525</v>
      </c>
    </row>
    <row r="267" spans="1:7" x14ac:dyDescent="0.3">
      <c r="A267">
        <v>0</v>
      </c>
      <c r="B267" t="s">
        <v>312</v>
      </c>
      <c r="C267" t="s">
        <v>97</v>
      </c>
      <c r="D267" t="s">
        <v>2</v>
      </c>
      <c r="E267" t="s">
        <v>97</v>
      </c>
      <c r="F267" t="s">
        <v>13</v>
      </c>
      <c r="G267" t="s">
        <v>525</v>
      </c>
    </row>
    <row r="268" spans="1:7" x14ac:dyDescent="0.3">
      <c r="A268">
        <v>0</v>
      </c>
      <c r="B268" t="s">
        <v>312</v>
      </c>
      <c r="C268" t="s">
        <v>100</v>
      </c>
      <c r="D268" t="s">
        <v>2</v>
      </c>
      <c r="E268" t="s">
        <v>100</v>
      </c>
      <c r="F268" t="s">
        <v>13</v>
      </c>
      <c r="G268" t="s">
        <v>525</v>
      </c>
    </row>
  </sheetData>
  <pageMargins left="0.75" right="0.75" top="1" bottom="1" header="0.5" footer="0.5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268"/>
  <sheetViews>
    <sheetView workbookViewId="0">
      <selection activeCell="A2" sqref="A2:H268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1.1299999999999999</v>
      </c>
      <c r="B2" t="s">
        <v>57</v>
      </c>
      <c r="C2" t="s">
        <v>690</v>
      </c>
      <c r="D2" t="s">
        <v>2</v>
      </c>
      <c r="E2" t="s">
        <v>79</v>
      </c>
      <c r="F2" s="4" t="s">
        <v>13</v>
      </c>
      <c r="G2" t="s">
        <v>525</v>
      </c>
      <c r="H2" t="s">
        <v>626</v>
      </c>
    </row>
    <row r="3" spans="1:9" x14ac:dyDescent="0.3">
      <c r="A3">
        <v>1.6016713091922004</v>
      </c>
      <c r="B3" t="s">
        <v>57</v>
      </c>
      <c r="C3" t="s">
        <v>665</v>
      </c>
      <c r="D3" t="s">
        <v>2</v>
      </c>
      <c r="E3" t="s">
        <v>149</v>
      </c>
      <c r="F3" t="s">
        <v>13</v>
      </c>
      <c r="G3" t="s">
        <v>525</v>
      </c>
      <c r="H3" t="s">
        <v>626</v>
      </c>
    </row>
    <row r="4" spans="1:9" x14ac:dyDescent="0.3">
      <c r="A4">
        <v>5.0139275766016712E-2</v>
      </c>
      <c r="B4" t="s">
        <v>57</v>
      </c>
      <c r="C4" t="s">
        <v>693</v>
      </c>
      <c r="D4" t="s">
        <v>2</v>
      </c>
      <c r="E4" t="s">
        <v>112</v>
      </c>
      <c r="F4" t="s">
        <v>13</v>
      </c>
      <c r="G4" t="s">
        <v>525</v>
      </c>
      <c r="H4" t="s">
        <v>626</v>
      </c>
    </row>
    <row r="5" spans="1:9" x14ac:dyDescent="0.3">
      <c r="A5">
        <v>0.34818941504178275</v>
      </c>
      <c r="B5" t="s">
        <v>57</v>
      </c>
      <c r="C5" t="s">
        <v>666</v>
      </c>
      <c r="D5" t="s">
        <v>2</v>
      </c>
      <c r="E5" t="s">
        <v>149</v>
      </c>
      <c r="F5" t="s">
        <v>13</v>
      </c>
      <c r="G5" t="s">
        <v>525</v>
      </c>
      <c r="H5" t="s">
        <v>626</v>
      </c>
    </row>
    <row r="6" spans="1:9" x14ac:dyDescent="0.3">
      <c r="A6">
        <f>$A$2*'[1]MGS prod'!I11</f>
        <v>0</v>
      </c>
      <c r="B6" t="s">
        <v>314</v>
      </c>
      <c r="C6" t="s">
        <v>620</v>
      </c>
      <c r="D6" t="s">
        <v>2</v>
      </c>
      <c r="E6" s="2" t="s">
        <v>455</v>
      </c>
      <c r="F6" t="s">
        <v>13</v>
      </c>
      <c r="G6" t="s">
        <v>525</v>
      </c>
      <c r="H6" t="s">
        <v>621</v>
      </c>
    </row>
    <row r="7" spans="1:9" x14ac:dyDescent="0.3">
      <c r="A7">
        <f>$A$2*'[1]MGS prod'!I12</f>
        <v>1.3819057173058638E-7</v>
      </c>
      <c r="B7" t="s">
        <v>314</v>
      </c>
      <c r="C7" t="s">
        <v>622</v>
      </c>
      <c r="D7" t="s">
        <v>2</v>
      </c>
      <c r="E7" s="2" t="s">
        <v>409</v>
      </c>
      <c r="F7" t="s">
        <v>13</v>
      </c>
      <c r="G7" t="s">
        <v>525</v>
      </c>
      <c r="H7" t="s">
        <v>621</v>
      </c>
    </row>
    <row r="8" spans="1:9" x14ac:dyDescent="0.3">
      <c r="A8">
        <f>$A$2*'[1]MGS prod'!I13</f>
        <v>1.8538851659853049E-7</v>
      </c>
      <c r="B8" t="s">
        <v>314</v>
      </c>
      <c r="C8" t="s">
        <v>623</v>
      </c>
      <c r="D8" t="s">
        <v>2</v>
      </c>
      <c r="E8" s="2" t="s">
        <v>443</v>
      </c>
      <c r="F8" t="s">
        <v>13</v>
      </c>
      <c r="G8" t="s">
        <v>525</v>
      </c>
      <c r="H8" t="s">
        <v>621</v>
      </c>
    </row>
    <row r="9" spans="1:9" x14ac:dyDescent="0.3">
      <c r="A9">
        <v>49</v>
      </c>
      <c r="B9" t="s">
        <v>542</v>
      </c>
      <c r="C9" t="s">
        <v>648</v>
      </c>
      <c r="D9" t="s">
        <v>2</v>
      </c>
      <c r="E9" t="s">
        <v>111</v>
      </c>
      <c r="F9" t="s">
        <v>13</v>
      </c>
      <c r="G9" t="s">
        <v>525</v>
      </c>
      <c r="H9" t="s">
        <v>626</v>
      </c>
    </row>
    <row r="10" spans="1:9" x14ac:dyDescent="0.3">
      <c r="A10">
        <v>28.8</v>
      </c>
      <c r="B10" t="s">
        <v>527</v>
      </c>
      <c r="C10" t="s">
        <v>725</v>
      </c>
      <c r="D10" t="s">
        <v>2</v>
      </c>
      <c r="E10" t="s">
        <v>469</v>
      </c>
      <c r="F10" t="s">
        <v>13</v>
      </c>
      <c r="G10" t="s">
        <v>525</v>
      </c>
      <c r="H10" t="s">
        <v>626</v>
      </c>
    </row>
    <row r="11" spans="1:9" x14ac:dyDescent="0.3">
      <c r="A11">
        <v>2.9956135658500056E-7</v>
      </c>
      <c r="B11" t="s">
        <v>314</v>
      </c>
      <c r="C11" t="s">
        <v>654</v>
      </c>
      <c r="D11" t="s">
        <v>2</v>
      </c>
      <c r="E11" s="2" t="s">
        <v>449</v>
      </c>
      <c r="F11" t="s">
        <v>13</v>
      </c>
      <c r="G11" t="s">
        <v>525</v>
      </c>
      <c r="H11" t="s">
        <v>655</v>
      </c>
    </row>
    <row r="12" spans="1:9" x14ac:dyDescent="0.3">
      <c r="A12">
        <v>1.6475874612175031E-6</v>
      </c>
      <c r="B12" t="s">
        <v>314</v>
      </c>
      <c r="C12" t="s">
        <v>656</v>
      </c>
      <c r="D12" t="s">
        <v>2</v>
      </c>
      <c r="E12" s="2" t="s">
        <v>487</v>
      </c>
      <c r="F12" t="s">
        <v>13</v>
      </c>
      <c r="G12" t="s">
        <v>525</v>
      </c>
      <c r="H12" t="s">
        <v>655</v>
      </c>
    </row>
    <row r="13" spans="1:9" x14ac:dyDescent="0.3">
      <c r="A13">
        <v>6.0268891979601298E-7</v>
      </c>
      <c r="B13" t="s">
        <v>314</v>
      </c>
      <c r="C13" t="s">
        <v>495</v>
      </c>
      <c r="D13" t="s">
        <v>494</v>
      </c>
      <c r="E13" t="s">
        <v>495</v>
      </c>
      <c r="F13" t="s">
        <v>13</v>
      </c>
      <c r="G13" t="s">
        <v>525</v>
      </c>
      <c r="H13" t="s">
        <v>655</v>
      </c>
    </row>
    <row r="14" spans="1:9" x14ac:dyDescent="0.3">
      <c r="A14">
        <v>2.9670839128419101E-6</v>
      </c>
      <c r="B14" t="s">
        <v>314</v>
      </c>
      <c r="C14" t="s">
        <v>496</v>
      </c>
      <c r="D14" t="s">
        <v>494</v>
      </c>
      <c r="E14" s="2" t="s">
        <v>496</v>
      </c>
      <c r="F14" t="s">
        <v>13</v>
      </c>
      <c r="G14" t="s">
        <v>525</v>
      </c>
      <c r="H14" t="s">
        <v>655</v>
      </c>
    </row>
    <row r="15" spans="1:9" x14ac:dyDescent="0.3">
      <c r="A15">
        <v>2.5961984237366715E-6</v>
      </c>
      <c r="B15" t="s">
        <v>314</v>
      </c>
      <c r="C15" t="s">
        <v>497</v>
      </c>
      <c r="D15" t="s">
        <v>494</v>
      </c>
      <c r="E15" s="2" t="s">
        <v>497</v>
      </c>
      <c r="F15" t="s">
        <v>13</v>
      </c>
      <c r="G15" t="s">
        <v>525</v>
      </c>
      <c r="H15" t="s">
        <v>655</v>
      </c>
    </row>
    <row r="16" spans="1:9" x14ac:dyDescent="0.3">
      <c r="A16" s="5">
        <v>5.0000000000000004E-8</v>
      </c>
      <c r="B16" t="s">
        <v>507</v>
      </c>
      <c r="C16" t="s">
        <v>506</v>
      </c>
      <c r="D16" t="s">
        <v>498</v>
      </c>
      <c r="E16" s="2" t="s">
        <v>506</v>
      </c>
      <c r="F16" t="s">
        <v>13</v>
      </c>
      <c r="G16" t="s">
        <v>525</v>
      </c>
      <c r="H16" t="s">
        <v>655</v>
      </c>
    </row>
    <row r="17" spans="1:8" x14ac:dyDescent="0.3">
      <c r="A17">
        <v>3.5991174853372436E-2</v>
      </c>
      <c r="B17" t="s">
        <v>57</v>
      </c>
      <c r="C17" t="s">
        <v>694</v>
      </c>
      <c r="D17" t="s">
        <v>498</v>
      </c>
      <c r="E17" t="s">
        <v>516</v>
      </c>
      <c r="F17" t="s">
        <v>13</v>
      </c>
      <c r="G17" t="s">
        <v>525</v>
      </c>
      <c r="H17" t="s">
        <v>726</v>
      </c>
    </row>
    <row r="18" spans="1:8" x14ac:dyDescent="0.3">
      <c r="A18">
        <v>1.0235520527859239E-7</v>
      </c>
      <c r="B18" t="s">
        <v>57</v>
      </c>
      <c r="C18" t="s">
        <v>695</v>
      </c>
      <c r="D18" t="s">
        <v>498</v>
      </c>
      <c r="E18" t="s">
        <v>505</v>
      </c>
      <c r="F18" t="s">
        <v>13</v>
      </c>
      <c r="G18" t="s">
        <v>525</v>
      </c>
      <c r="H18" t="s">
        <v>726</v>
      </c>
    </row>
    <row r="19" spans="1:8" x14ac:dyDescent="0.3">
      <c r="A19">
        <v>2.0751466275659822E-4</v>
      </c>
      <c r="B19" t="s">
        <v>57</v>
      </c>
      <c r="C19" t="s">
        <v>696</v>
      </c>
      <c r="D19" t="s">
        <v>498</v>
      </c>
      <c r="E19" t="s">
        <v>510</v>
      </c>
      <c r="F19" t="s">
        <v>13</v>
      </c>
      <c r="G19" t="s">
        <v>525</v>
      </c>
      <c r="H19" t="s">
        <v>726</v>
      </c>
    </row>
    <row r="20" spans="1:8" x14ac:dyDescent="0.3">
      <c r="A20">
        <v>2.8042521994134892E-6</v>
      </c>
      <c r="B20" t="s">
        <v>57</v>
      </c>
      <c r="C20" t="s">
        <v>697</v>
      </c>
      <c r="D20" t="s">
        <v>498</v>
      </c>
      <c r="E20" t="s">
        <v>517</v>
      </c>
      <c r="F20" t="s">
        <v>13</v>
      </c>
      <c r="G20" t="s">
        <v>525</v>
      </c>
      <c r="H20" t="s">
        <v>726</v>
      </c>
    </row>
    <row r="21" spans="1:8" x14ac:dyDescent="0.3">
      <c r="A21">
        <v>3.3789836876832846E-2</v>
      </c>
      <c r="B21" t="s">
        <v>57</v>
      </c>
      <c r="C21" t="s">
        <v>698</v>
      </c>
      <c r="D21" t="s">
        <v>498</v>
      </c>
      <c r="E21" t="s">
        <v>516</v>
      </c>
      <c r="F21" t="s">
        <v>13</v>
      </c>
      <c r="G21" t="s">
        <v>525</v>
      </c>
      <c r="H21" t="s">
        <v>726</v>
      </c>
    </row>
    <row r="22" spans="1:8" x14ac:dyDescent="0.3">
      <c r="A22">
        <v>1.9629765395894428E-6</v>
      </c>
      <c r="B22" t="s">
        <v>57</v>
      </c>
      <c r="C22" t="s">
        <v>699</v>
      </c>
      <c r="D22" t="s">
        <v>498</v>
      </c>
      <c r="E22" t="s">
        <v>523</v>
      </c>
      <c r="F22" t="s">
        <v>13</v>
      </c>
      <c r="G22" t="s">
        <v>525</v>
      </c>
      <c r="H22" t="s">
        <v>726</v>
      </c>
    </row>
    <row r="23" spans="1:8" x14ac:dyDescent="0.3">
      <c r="A23">
        <v>5.6085043988269784E-6</v>
      </c>
      <c r="B23" t="s">
        <v>57</v>
      </c>
      <c r="C23" t="s">
        <v>700</v>
      </c>
      <c r="D23" t="s">
        <v>498</v>
      </c>
      <c r="E23" t="s">
        <v>516</v>
      </c>
      <c r="F23" t="s">
        <v>13</v>
      </c>
      <c r="G23" t="s">
        <v>525</v>
      </c>
      <c r="H23" t="s">
        <v>726</v>
      </c>
    </row>
    <row r="24" spans="1:8" x14ac:dyDescent="0.3">
      <c r="A24">
        <v>0</v>
      </c>
      <c r="B24" t="s">
        <v>312</v>
      </c>
      <c r="C24" t="s">
        <v>483</v>
      </c>
      <c r="D24" t="s">
        <v>2</v>
      </c>
      <c r="E24" t="s">
        <v>483</v>
      </c>
      <c r="F24" t="s">
        <v>13</v>
      </c>
      <c r="G24" t="s">
        <v>525</v>
      </c>
    </row>
    <row r="25" spans="1:8" x14ac:dyDescent="0.3">
      <c r="A25">
        <v>0</v>
      </c>
      <c r="B25" t="s">
        <v>105</v>
      </c>
      <c r="C25" t="s">
        <v>125</v>
      </c>
      <c r="D25" t="s">
        <v>2</v>
      </c>
      <c r="E25" t="s">
        <v>125</v>
      </c>
      <c r="F25" t="s">
        <v>13</v>
      </c>
      <c r="G25" t="s">
        <v>525</v>
      </c>
    </row>
    <row r="26" spans="1:8" x14ac:dyDescent="0.3">
      <c r="A26">
        <v>0</v>
      </c>
      <c r="B26" t="s">
        <v>319</v>
      </c>
      <c r="C26" t="s">
        <v>461</v>
      </c>
      <c r="D26" t="s">
        <v>2</v>
      </c>
      <c r="E26" t="s">
        <v>461</v>
      </c>
      <c r="F26" t="s">
        <v>13</v>
      </c>
      <c r="G26" t="s">
        <v>525</v>
      </c>
    </row>
    <row r="27" spans="1:8" x14ac:dyDescent="0.3">
      <c r="A27">
        <v>0</v>
      </c>
      <c r="B27" t="s">
        <v>314</v>
      </c>
      <c r="C27" t="s">
        <v>395</v>
      </c>
      <c r="D27" t="s">
        <v>2</v>
      </c>
      <c r="E27" t="s">
        <v>395</v>
      </c>
      <c r="F27" t="s">
        <v>13</v>
      </c>
      <c r="G27" t="s">
        <v>525</v>
      </c>
    </row>
    <row r="28" spans="1:8" x14ac:dyDescent="0.3">
      <c r="A28">
        <v>0</v>
      </c>
      <c r="B28" t="s">
        <v>312</v>
      </c>
      <c r="C28" t="s">
        <v>399</v>
      </c>
      <c r="D28" t="s">
        <v>2</v>
      </c>
      <c r="E28" t="s">
        <v>399</v>
      </c>
      <c r="F28" t="s">
        <v>13</v>
      </c>
      <c r="G28" t="s">
        <v>525</v>
      </c>
    </row>
    <row r="29" spans="1:8" x14ac:dyDescent="0.3">
      <c r="A29">
        <v>0</v>
      </c>
      <c r="B29" t="s">
        <v>314</v>
      </c>
      <c r="C29" t="s">
        <v>432</v>
      </c>
      <c r="D29" t="s">
        <v>2</v>
      </c>
      <c r="E29" t="s">
        <v>432</v>
      </c>
      <c r="F29" t="s">
        <v>13</v>
      </c>
      <c r="G29" t="s">
        <v>525</v>
      </c>
    </row>
    <row r="30" spans="1:8" x14ac:dyDescent="0.3">
      <c r="A30">
        <v>0</v>
      </c>
      <c r="B30" t="s">
        <v>312</v>
      </c>
      <c r="C30" t="s">
        <v>325</v>
      </c>
      <c r="D30" t="s">
        <v>2</v>
      </c>
      <c r="E30" t="s">
        <v>325</v>
      </c>
      <c r="F30" t="s">
        <v>13</v>
      </c>
      <c r="G30" t="s">
        <v>525</v>
      </c>
    </row>
    <row r="31" spans="1:8" x14ac:dyDescent="0.3">
      <c r="A31">
        <v>0</v>
      </c>
      <c r="B31" t="s">
        <v>314</v>
      </c>
      <c r="C31" t="s">
        <v>372</v>
      </c>
      <c r="D31" t="s">
        <v>2</v>
      </c>
      <c r="E31" t="s">
        <v>372</v>
      </c>
      <c r="F31" t="s">
        <v>13</v>
      </c>
      <c r="G31" t="s">
        <v>525</v>
      </c>
    </row>
    <row r="32" spans="1:8" x14ac:dyDescent="0.3">
      <c r="A32">
        <v>0</v>
      </c>
      <c r="B32" t="s">
        <v>314</v>
      </c>
      <c r="C32" t="s">
        <v>260</v>
      </c>
      <c r="D32" t="s">
        <v>2</v>
      </c>
      <c r="E32" t="s">
        <v>260</v>
      </c>
      <c r="F32" t="s">
        <v>13</v>
      </c>
      <c r="G32" t="s">
        <v>525</v>
      </c>
    </row>
    <row r="33" spans="1:7" x14ac:dyDescent="0.3">
      <c r="A33">
        <v>0</v>
      </c>
      <c r="B33" t="s">
        <v>312</v>
      </c>
      <c r="C33" t="s">
        <v>330</v>
      </c>
      <c r="D33" t="s">
        <v>2</v>
      </c>
      <c r="E33" t="s">
        <v>330</v>
      </c>
      <c r="F33" t="s">
        <v>13</v>
      </c>
      <c r="G33" t="s">
        <v>525</v>
      </c>
    </row>
    <row r="34" spans="1:7" x14ac:dyDescent="0.3">
      <c r="A34">
        <v>0</v>
      </c>
      <c r="B34" t="s">
        <v>105</v>
      </c>
      <c r="C34" t="s">
        <v>401</v>
      </c>
      <c r="D34" t="s">
        <v>2</v>
      </c>
      <c r="E34" t="s">
        <v>401</v>
      </c>
      <c r="F34" t="s">
        <v>13</v>
      </c>
      <c r="G34" t="s">
        <v>525</v>
      </c>
    </row>
    <row r="35" spans="1:7" x14ac:dyDescent="0.3">
      <c r="A35">
        <v>0</v>
      </c>
      <c r="B35" t="s">
        <v>312</v>
      </c>
      <c r="C35" t="s">
        <v>416</v>
      </c>
      <c r="D35" t="s">
        <v>2</v>
      </c>
      <c r="E35" t="s">
        <v>416</v>
      </c>
      <c r="F35" t="s">
        <v>13</v>
      </c>
      <c r="G35" t="s">
        <v>525</v>
      </c>
    </row>
    <row r="36" spans="1:7" x14ac:dyDescent="0.3">
      <c r="A36">
        <v>0</v>
      </c>
      <c r="B36" t="s">
        <v>319</v>
      </c>
      <c r="C36" t="s">
        <v>375</v>
      </c>
      <c r="D36" t="s">
        <v>2</v>
      </c>
      <c r="E36" t="s">
        <v>375</v>
      </c>
      <c r="F36" t="s">
        <v>13</v>
      </c>
      <c r="G36" t="s">
        <v>525</v>
      </c>
    </row>
    <row r="37" spans="1:7" x14ac:dyDescent="0.3">
      <c r="A37">
        <v>0</v>
      </c>
      <c r="B37" t="s">
        <v>312</v>
      </c>
      <c r="C37" t="s">
        <v>333</v>
      </c>
      <c r="D37" t="s">
        <v>2</v>
      </c>
      <c r="E37" t="s">
        <v>333</v>
      </c>
      <c r="F37" t="s">
        <v>13</v>
      </c>
      <c r="G37" t="s">
        <v>525</v>
      </c>
    </row>
    <row r="38" spans="1:7" x14ac:dyDescent="0.3">
      <c r="A38">
        <v>0</v>
      </c>
      <c r="B38" t="s">
        <v>57</v>
      </c>
      <c r="C38" t="s">
        <v>118</v>
      </c>
      <c r="D38" t="s">
        <v>2</v>
      </c>
      <c r="E38" t="s">
        <v>118</v>
      </c>
      <c r="F38" t="s">
        <v>13</v>
      </c>
      <c r="G38" t="s">
        <v>525</v>
      </c>
    </row>
    <row r="39" spans="1:7" x14ac:dyDescent="0.3">
      <c r="A39">
        <v>0</v>
      </c>
      <c r="B39" t="s">
        <v>312</v>
      </c>
      <c r="C39" t="s">
        <v>406</v>
      </c>
      <c r="D39" t="s">
        <v>2</v>
      </c>
      <c r="E39" t="s">
        <v>406</v>
      </c>
      <c r="F39" t="s">
        <v>13</v>
      </c>
      <c r="G39" t="s">
        <v>525</v>
      </c>
    </row>
    <row r="40" spans="1:7" x14ac:dyDescent="0.3">
      <c r="A40">
        <v>0</v>
      </c>
      <c r="B40" t="s">
        <v>312</v>
      </c>
      <c r="C40" t="s">
        <v>315</v>
      </c>
      <c r="D40" t="s">
        <v>2</v>
      </c>
      <c r="E40" t="s">
        <v>315</v>
      </c>
      <c r="F40" t="s">
        <v>13</v>
      </c>
      <c r="G40" t="s">
        <v>525</v>
      </c>
    </row>
    <row r="41" spans="1:7" x14ac:dyDescent="0.3">
      <c r="A41">
        <v>0</v>
      </c>
      <c r="B41" t="s">
        <v>312</v>
      </c>
      <c r="C41" t="s">
        <v>358</v>
      </c>
      <c r="D41" t="s">
        <v>2</v>
      </c>
      <c r="E41" t="s">
        <v>358</v>
      </c>
      <c r="F41" t="s">
        <v>13</v>
      </c>
      <c r="G41" t="s">
        <v>525</v>
      </c>
    </row>
    <row r="42" spans="1:7" x14ac:dyDescent="0.3">
      <c r="A42">
        <v>0</v>
      </c>
      <c r="B42" t="s">
        <v>314</v>
      </c>
      <c r="C42" t="s">
        <v>444</v>
      </c>
      <c r="D42" t="s">
        <v>2</v>
      </c>
      <c r="E42" t="s">
        <v>444</v>
      </c>
      <c r="F42" t="s">
        <v>13</v>
      </c>
      <c r="G42" t="s">
        <v>525</v>
      </c>
    </row>
    <row r="43" spans="1:7" x14ac:dyDescent="0.3">
      <c r="A43">
        <v>0</v>
      </c>
      <c r="B43" t="s">
        <v>312</v>
      </c>
      <c r="C43" t="s">
        <v>439</v>
      </c>
      <c r="D43" t="s">
        <v>2</v>
      </c>
      <c r="E43" t="s">
        <v>439</v>
      </c>
      <c r="F43" t="s">
        <v>13</v>
      </c>
      <c r="G43" t="s">
        <v>525</v>
      </c>
    </row>
    <row r="44" spans="1:7" x14ac:dyDescent="0.3">
      <c r="A44">
        <v>0</v>
      </c>
      <c r="B44" t="s">
        <v>312</v>
      </c>
      <c r="C44" t="s">
        <v>381</v>
      </c>
      <c r="D44" t="s">
        <v>2</v>
      </c>
      <c r="E44" t="s">
        <v>381</v>
      </c>
      <c r="F44" t="s">
        <v>13</v>
      </c>
      <c r="G44" t="s">
        <v>525</v>
      </c>
    </row>
    <row r="45" spans="1:7" x14ac:dyDescent="0.3">
      <c r="A45">
        <v>0</v>
      </c>
      <c r="B45" t="s">
        <v>312</v>
      </c>
      <c r="C45" t="s">
        <v>418</v>
      </c>
      <c r="D45" t="s">
        <v>2</v>
      </c>
      <c r="E45" t="s">
        <v>418</v>
      </c>
      <c r="F45" t="s">
        <v>13</v>
      </c>
      <c r="G45" t="s">
        <v>525</v>
      </c>
    </row>
    <row r="46" spans="1:7" x14ac:dyDescent="0.3">
      <c r="A46">
        <v>0</v>
      </c>
      <c r="B46" t="s">
        <v>314</v>
      </c>
      <c r="C46" t="s">
        <v>465</v>
      </c>
      <c r="D46" t="s">
        <v>2</v>
      </c>
      <c r="E46" t="s">
        <v>465</v>
      </c>
      <c r="F46" t="s">
        <v>13</v>
      </c>
      <c r="G46" t="s">
        <v>525</v>
      </c>
    </row>
    <row r="47" spans="1:7" x14ac:dyDescent="0.3">
      <c r="A47">
        <v>0</v>
      </c>
      <c r="B47" t="s">
        <v>105</v>
      </c>
      <c r="C47" t="s">
        <v>103</v>
      </c>
      <c r="D47" t="s">
        <v>2</v>
      </c>
      <c r="E47" t="s">
        <v>103</v>
      </c>
      <c r="F47" t="s">
        <v>13</v>
      </c>
      <c r="G47" t="s">
        <v>525</v>
      </c>
    </row>
    <row r="48" spans="1:7" x14ac:dyDescent="0.3">
      <c r="A48">
        <v>0</v>
      </c>
      <c r="B48" t="s">
        <v>312</v>
      </c>
      <c r="C48" t="s">
        <v>320</v>
      </c>
      <c r="D48" t="s">
        <v>2</v>
      </c>
      <c r="E48" t="s">
        <v>320</v>
      </c>
      <c r="F48" t="s">
        <v>13</v>
      </c>
      <c r="G48" t="s">
        <v>525</v>
      </c>
    </row>
    <row r="49" spans="1:7" x14ac:dyDescent="0.3">
      <c r="A49">
        <v>0</v>
      </c>
      <c r="B49" t="s">
        <v>312</v>
      </c>
      <c r="C49" t="s">
        <v>334</v>
      </c>
      <c r="D49" t="s">
        <v>2</v>
      </c>
      <c r="E49" t="s">
        <v>334</v>
      </c>
      <c r="F49" t="s">
        <v>13</v>
      </c>
      <c r="G49" t="s">
        <v>525</v>
      </c>
    </row>
    <row r="50" spans="1:7" x14ac:dyDescent="0.3">
      <c r="A50">
        <v>0</v>
      </c>
      <c r="B50" t="s">
        <v>312</v>
      </c>
      <c r="C50" t="s">
        <v>435</v>
      </c>
      <c r="D50" t="s">
        <v>2</v>
      </c>
      <c r="E50" t="s">
        <v>435</v>
      </c>
      <c r="F50" t="s">
        <v>13</v>
      </c>
      <c r="G50" t="s">
        <v>525</v>
      </c>
    </row>
    <row r="51" spans="1:7" x14ac:dyDescent="0.3">
      <c r="A51">
        <v>0</v>
      </c>
      <c r="B51" t="s">
        <v>319</v>
      </c>
      <c r="C51" t="s">
        <v>456</v>
      </c>
      <c r="D51" t="s">
        <v>2</v>
      </c>
      <c r="E51" t="s">
        <v>456</v>
      </c>
      <c r="F51" t="s">
        <v>13</v>
      </c>
      <c r="G51" t="s">
        <v>525</v>
      </c>
    </row>
    <row r="52" spans="1:7" x14ac:dyDescent="0.3">
      <c r="A52">
        <v>0</v>
      </c>
      <c r="B52" t="s">
        <v>312</v>
      </c>
      <c r="C52" t="s">
        <v>474</v>
      </c>
      <c r="D52" t="s">
        <v>2</v>
      </c>
      <c r="E52" t="s">
        <v>474</v>
      </c>
      <c r="F52" t="s">
        <v>13</v>
      </c>
      <c r="G52" t="s">
        <v>525</v>
      </c>
    </row>
    <row r="53" spans="1:7" x14ac:dyDescent="0.3">
      <c r="A53">
        <v>0</v>
      </c>
      <c r="B53" t="s">
        <v>319</v>
      </c>
      <c r="C53" t="s">
        <v>318</v>
      </c>
      <c r="D53" t="s">
        <v>2</v>
      </c>
      <c r="E53" t="s">
        <v>318</v>
      </c>
      <c r="F53" t="s">
        <v>13</v>
      </c>
      <c r="G53" t="s">
        <v>525</v>
      </c>
    </row>
    <row r="54" spans="1:7" x14ac:dyDescent="0.3">
      <c r="A54">
        <v>0</v>
      </c>
      <c r="B54" t="s">
        <v>314</v>
      </c>
      <c r="C54" t="s">
        <v>475</v>
      </c>
      <c r="D54" t="s">
        <v>2</v>
      </c>
      <c r="E54" t="s">
        <v>475</v>
      </c>
      <c r="F54" t="s">
        <v>13</v>
      </c>
      <c r="G54" t="s">
        <v>525</v>
      </c>
    </row>
    <row r="55" spans="1:7" x14ac:dyDescent="0.3">
      <c r="A55">
        <v>0</v>
      </c>
      <c r="B55" t="s">
        <v>314</v>
      </c>
      <c r="C55" t="s">
        <v>449</v>
      </c>
      <c r="D55" t="s">
        <v>2</v>
      </c>
      <c r="E55" t="s">
        <v>449</v>
      </c>
      <c r="F55" t="s">
        <v>13</v>
      </c>
      <c r="G55" t="s">
        <v>525</v>
      </c>
    </row>
    <row r="56" spans="1:7" x14ac:dyDescent="0.3">
      <c r="A56">
        <v>0</v>
      </c>
      <c r="B56" t="s">
        <v>314</v>
      </c>
      <c r="C56" t="s">
        <v>176</v>
      </c>
      <c r="D56" t="s">
        <v>2</v>
      </c>
      <c r="E56" t="s">
        <v>176</v>
      </c>
      <c r="F56" t="s">
        <v>13</v>
      </c>
      <c r="G56" t="s">
        <v>525</v>
      </c>
    </row>
    <row r="57" spans="1:7" x14ac:dyDescent="0.3">
      <c r="A57">
        <v>0</v>
      </c>
      <c r="B57" t="s">
        <v>312</v>
      </c>
      <c r="C57" t="s">
        <v>388</v>
      </c>
      <c r="D57" t="s">
        <v>2</v>
      </c>
      <c r="E57" t="s">
        <v>388</v>
      </c>
      <c r="F57" t="s">
        <v>13</v>
      </c>
      <c r="G57" t="s">
        <v>525</v>
      </c>
    </row>
    <row r="58" spans="1:7" x14ac:dyDescent="0.3">
      <c r="A58">
        <v>0</v>
      </c>
      <c r="B58" t="s">
        <v>319</v>
      </c>
      <c r="C58" t="s">
        <v>429</v>
      </c>
      <c r="D58" t="s">
        <v>2</v>
      </c>
      <c r="E58" t="s">
        <v>429</v>
      </c>
      <c r="F58" t="s">
        <v>13</v>
      </c>
      <c r="G58" t="s">
        <v>525</v>
      </c>
    </row>
    <row r="59" spans="1:7" x14ac:dyDescent="0.3">
      <c r="A59">
        <v>0</v>
      </c>
      <c r="B59" t="s">
        <v>312</v>
      </c>
      <c r="C59" t="s">
        <v>272</v>
      </c>
      <c r="D59" t="s">
        <v>2</v>
      </c>
      <c r="E59" t="s">
        <v>272</v>
      </c>
      <c r="F59" t="s">
        <v>13</v>
      </c>
      <c r="G59" t="s">
        <v>525</v>
      </c>
    </row>
    <row r="60" spans="1:7" x14ac:dyDescent="0.3">
      <c r="A60">
        <v>0</v>
      </c>
      <c r="B60" t="s">
        <v>312</v>
      </c>
      <c r="C60" t="s">
        <v>410</v>
      </c>
      <c r="D60" t="s">
        <v>2</v>
      </c>
      <c r="E60" t="s">
        <v>410</v>
      </c>
      <c r="F60" t="s">
        <v>13</v>
      </c>
      <c r="G60" t="s">
        <v>525</v>
      </c>
    </row>
    <row r="61" spans="1:7" x14ac:dyDescent="0.3">
      <c r="A61">
        <v>0</v>
      </c>
      <c r="B61" t="s">
        <v>319</v>
      </c>
      <c r="C61" t="s">
        <v>363</v>
      </c>
      <c r="D61" t="s">
        <v>2</v>
      </c>
      <c r="E61" t="s">
        <v>363</v>
      </c>
      <c r="F61" t="s">
        <v>13</v>
      </c>
      <c r="G61" t="s">
        <v>525</v>
      </c>
    </row>
    <row r="62" spans="1:7" x14ac:dyDescent="0.3">
      <c r="A62">
        <v>0</v>
      </c>
      <c r="B62" t="s">
        <v>312</v>
      </c>
      <c r="C62" t="s">
        <v>382</v>
      </c>
      <c r="D62" t="s">
        <v>2</v>
      </c>
      <c r="E62" t="s">
        <v>382</v>
      </c>
      <c r="F62" t="s">
        <v>13</v>
      </c>
      <c r="G62" t="s">
        <v>525</v>
      </c>
    </row>
    <row r="63" spans="1:7" x14ac:dyDescent="0.3">
      <c r="A63">
        <v>0</v>
      </c>
      <c r="B63" t="s">
        <v>312</v>
      </c>
      <c r="C63" t="s">
        <v>424</v>
      </c>
      <c r="D63" t="s">
        <v>2</v>
      </c>
      <c r="E63" t="s">
        <v>424</v>
      </c>
      <c r="F63" t="s">
        <v>13</v>
      </c>
      <c r="G63" t="s">
        <v>525</v>
      </c>
    </row>
    <row r="64" spans="1:7" x14ac:dyDescent="0.3">
      <c r="A64">
        <v>0</v>
      </c>
      <c r="B64" t="s">
        <v>314</v>
      </c>
      <c r="C64" t="s">
        <v>351</v>
      </c>
      <c r="D64" t="s">
        <v>2</v>
      </c>
      <c r="E64" t="s">
        <v>351</v>
      </c>
      <c r="F64" t="s">
        <v>13</v>
      </c>
      <c r="G64" t="s">
        <v>525</v>
      </c>
    </row>
    <row r="65" spans="1:7" x14ac:dyDescent="0.3">
      <c r="A65">
        <v>0</v>
      </c>
      <c r="B65" t="s">
        <v>312</v>
      </c>
      <c r="C65" t="s">
        <v>347</v>
      </c>
      <c r="D65" t="s">
        <v>2</v>
      </c>
      <c r="E65" t="s">
        <v>347</v>
      </c>
      <c r="F65" t="s">
        <v>13</v>
      </c>
      <c r="G65" t="s">
        <v>525</v>
      </c>
    </row>
    <row r="66" spans="1:7" x14ac:dyDescent="0.3">
      <c r="A66">
        <v>0</v>
      </c>
      <c r="B66" t="s">
        <v>314</v>
      </c>
      <c r="C66" t="s">
        <v>453</v>
      </c>
      <c r="D66" t="s">
        <v>2</v>
      </c>
      <c r="E66" t="s">
        <v>453</v>
      </c>
      <c r="F66" t="s">
        <v>13</v>
      </c>
      <c r="G66" t="s">
        <v>525</v>
      </c>
    </row>
    <row r="67" spans="1:7" x14ac:dyDescent="0.3">
      <c r="A67">
        <v>0</v>
      </c>
      <c r="B67" t="s">
        <v>319</v>
      </c>
      <c r="C67" t="s">
        <v>457</v>
      </c>
      <c r="D67" t="s">
        <v>2</v>
      </c>
      <c r="E67" t="s">
        <v>457</v>
      </c>
      <c r="F67" t="s">
        <v>13</v>
      </c>
      <c r="G67" t="s">
        <v>525</v>
      </c>
    </row>
    <row r="68" spans="1:7" x14ac:dyDescent="0.3">
      <c r="A68">
        <v>0</v>
      </c>
      <c r="B68" t="s">
        <v>312</v>
      </c>
      <c r="C68" t="s">
        <v>485</v>
      </c>
      <c r="D68" t="s">
        <v>2</v>
      </c>
      <c r="E68" t="s">
        <v>485</v>
      </c>
      <c r="F68" t="s">
        <v>13</v>
      </c>
      <c r="G68" t="s">
        <v>525</v>
      </c>
    </row>
    <row r="69" spans="1:7" x14ac:dyDescent="0.3">
      <c r="A69">
        <v>0</v>
      </c>
      <c r="B69" t="s">
        <v>312</v>
      </c>
      <c r="C69" t="s">
        <v>355</v>
      </c>
      <c r="D69" t="s">
        <v>2</v>
      </c>
      <c r="E69" t="s">
        <v>355</v>
      </c>
      <c r="F69" t="s">
        <v>13</v>
      </c>
      <c r="G69" t="s">
        <v>525</v>
      </c>
    </row>
    <row r="70" spans="1:7" x14ac:dyDescent="0.3">
      <c r="A70">
        <v>0</v>
      </c>
      <c r="B70" t="s">
        <v>312</v>
      </c>
      <c r="C70" t="s">
        <v>338</v>
      </c>
      <c r="D70" t="s">
        <v>2</v>
      </c>
      <c r="E70" t="s">
        <v>338</v>
      </c>
      <c r="F70" t="s">
        <v>13</v>
      </c>
      <c r="G70" t="s">
        <v>525</v>
      </c>
    </row>
    <row r="71" spans="1:7" x14ac:dyDescent="0.3">
      <c r="A71">
        <v>0</v>
      </c>
      <c r="B71" t="s">
        <v>312</v>
      </c>
      <c r="C71" t="s">
        <v>394</v>
      </c>
      <c r="D71" t="s">
        <v>2</v>
      </c>
      <c r="E71" t="s">
        <v>394</v>
      </c>
      <c r="F71" t="s">
        <v>13</v>
      </c>
      <c r="G71" t="s">
        <v>525</v>
      </c>
    </row>
    <row r="72" spans="1:7" x14ac:dyDescent="0.3">
      <c r="A72">
        <v>0</v>
      </c>
      <c r="B72" t="s">
        <v>312</v>
      </c>
      <c r="C72" t="s">
        <v>438</v>
      </c>
      <c r="D72" t="s">
        <v>2</v>
      </c>
      <c r="E72" t="s">
        <v>438</v>
      </c>
      <c r="F72" t="s">
        <v>13</v>
      </c>
      <c r="G72" t="s">
        <v>525</v>
      </c>
    </row>
    <row r="73" spans="1:7" x14ac:dyDescent="0.3">
      <c r="A73">
        <v>0</v>
      </c>
      <c r="B73" t="s">
        <v>312</v>
      </c>
      <c r="C73" t="s">
        <v>486</v>
      </c>
      <c r="D73" t="s">
        <v>2</v>
      </c>
      <c r="E73" t="s">
        <v>486</v>
      </c>
      <c r="F73" t="s">
        <v>13</v>
      </c>
      <c r="G73" t="s">
        <v>525</v>
      </c>
    </row>
    <row r="74" spans="1:7" x14ac:dyDescent="0.3">
      <c r="A74">
        <v>0</v>
      </c>
      <c r="B74" t="s">
        <v>319</v>
      </c>
      <c r="C74" t="s">
        <v>419</v>
      </c>
      <c r="D74" t="s">
        <v>2</v>
      </c>
      <c r="E74" t="s">
        <v>419</v>
      </c>
      <c r="F74" t="s">
        <v>13</v>
      </c>
      <c r="G74" t="s">
        <v>525</v>
      </c>
    </row>
    <row r="75" spans="1:7" x14ac:dyDescent="0.3">
      <c r="A75">
        <v>0</v>
      </c>
      <c r="B75" t="s">
        <v>57</v>
      </c>
      <c r="C75" t="s">
        <v>353</v>
      </c>
      <c r="D75" t="s">
        <v>2</v>
      </c>
      <c r="E75" t="s">
        <v>353</v>
      </c>
      <c r="F75" t="s">
        <v>13</v>
      </c>
      <c r="G75" t="s">
        <v>525</v>
      </c>
    </row>
    <row r="76" spans="1:7" x14ac:dyDescent="0.3">
      <c r="A76">
        <v>0</v>
      </c>
      <c r="B76" t="s">
        <v>319</v>
      </c>
      <c r="C76" t="s">
        <v>489</v>
      </c>
      <c r="D76" t="s">
        <v>2</v>
      </c>
      <c r="E76" t="s">
        <v>489</v>
      </c>
      <c r="F76" t="s">
        <v>13</v>
      </c>
      <c r="G76" t="s">
        <v>525</v>
      </c>
    </row>
    <row r="77" spans="1:7" x14ac:dyDescent="0.3">
      <c r="A77">
        <v>0</v>
      </c>
      <c r="B77" t="s">
        <v>312</v>
      </c>
      <c r="C77" t="s">
        <v>386</v>
      </c>
      <c r="D77" t="s">
        <v>2</v>
      </c>
      <c r="E77" t="s">
        <v>386</v>
      </c>
      <c r="F77" t="s">
        <v>13</v>
      </c>
      <c r="G77" t="s">
        <v>525</v>
      </c>
    </row>
    <row r="78" spans="1:7" x14ac:dyDescent="0.3">
      <c r="A78">
        <v>0</v>
      </c>
      <c r="B78" t="s">
        <v>319</v>
      </c>
      <c r="C78" t="s">
        <v>389</v>
      </c>
      <c r="D78" t="s">
        <v>2</v>
      </c>
      <c r="E78" t="s">
        <v>389</v>
      </c>
      <c r="F78" t="s">
        <v>13</v>
      </c>
      <c r="G78" t="s">
        <v>525</v>
      </c>
    </row>
    <row r="79" spans="1:7" x14ac:dyDescent="0.3">
      <c r="A79">
        <v>0</v>
      </c>
      <c r="B79" t="s">
        <v>312</v>
      </c>
      <c r="C79" t="s">
        <v>340</v>
      </c>
      <c r="D79" t="s">
        <v>2</v>
      </c>
      <c r="E79" t="s">
        <v>340</v>
      </c>
      <c r="F79" t="s">
        <v>13</v>
      </c>
      <c r="G79" t="s">
        <v>525</v>
      </c>
    </row>
    <row r="80" spans="1:7" x14ac:dyDescent="0.3">
      <c r="A80">
        <v>0</v>
      </c>
      <c r="B80" t="s">
        <v>312</v>
      </c>
      <c r="C80" t="s">
        <v>368</v>
      </c>
      <c r="D80" t="s">
        <v>2</v>
      </c>
      <c r="E80" t="s">
        <v>368</v>
      </c>
      <c r="F80" t="s">
        <v>13</v>
      </c>
      <c r="G80" t="s">
        <v>525</v>
      </c>
    </row>
    <row r="81" spans="1:7" x14ac:dyDescent="0.3">
      <c r="A81">
        <v>0</v>
      </c>
      <c r="B81" t="s">
        <v>312</v>
      </c>
      <c r="C81" t="s">
        <v>328</v>
      </c>
      <c r="D81" t="s">
        <v>2</v>
      </c>
      <c r="E81" t="s">
        <v>328</v>
      </c>
      <c r="F81" t="s">
        <v>13</v>
      </c>
      <c r="G81" t="s">
        <v>525</v>
      </c>
    </row>
    <row r="82" spans="1:7" x14ac:dyDescent="0.3">
      <c r="A82">
        <v>0</v>
      </c>
      <c r="B82" t="s">
        <v>312</v>
      </c>
      <c r="C82" t="s">
        <v>479</v>
      </c>
      <c r="D82" t="s">
        <v>2</v>
      </c>
      <c r="E82" t="s">
        <v>479</v>
      </c>
      <c r="F82" t="s">
        <v>13</v>
      </c>
      <c r="G82" t="s">
        <v>525</v>
      </c>
    </row>
    <row r="83" spans="1:7" x14ac:dyDescent="0.3">
      <c r="A83">
        <v>0</v>
      </c>
      <c r="B83" t="s">
        <v>57</v>
      </c>
      <c r="C83" t="s">
        <v>116</v>
      </c>
      <c r="D83" t="s">
        <v>2</v>
      </c>
      <c r="E83" t="s">
        <v>116</v>
      </c>
      <c r="F83" t="s">
        <v>13</v>
      </c>
      <c r="G83" t="s">
        <v>525</v>
      </c>
    </row>
    <row r="84" spans="1:7" x14ac:dyDescent="0.3">
      <c r="A84">
        <v>0</v>
      </c>
      <c r="B84" t="s">
        <v>312</v>
      </c>
      <c r="C84" t="s">
        <v>352</v>
      </c>
      <c r="D84" t="s">
        <v>2</v>
      </c>
      <c r="E84" t="s">
        <v>352</v>
      </c>
      <c r="F84" t="s">
        <v>13</v>
      </c>
      <c r="G84" t="s">
        <v>525</v>
      </c>
    </row>
    <row r="85" spans="1:7" x14ac:dyDescent="0.3">
      <c r="A85">
        <v>0</v>
      </c>
      <c r="B85" t="s">
        <v>312</v>
      </c>
      <c r="C85" t="s">
        <v>417</v>
      </c>
      <c r="D85" t="s">
        <v>2</v>
      </c>
      <c r="E85" t="s">
        <v>417</v>
      </c>
      <c r="F85" t="s">
        <v>13</v>
      </c>
      <c r="G85" t="s">
        <v>525</v>
      </c>
    </row>
    <row r="86" spans="1:7" x14ac:dyDescent="0.3">
      <c r="A86">
        <v>0</v>
      </c>
      <c r="B86" t="s">
        <v>312</v>
      </c>
      <c r="C86" t="s">
        <v>447</v>
      </c>
      <c r="D86" t="s">
        <v>2</v>
      </c>
      <c r="E86" t="s">
        <v>447</v>
      </c>
      <c r="F86" t="s">
        <v>13</v>
      </c>
      <c r="G86" t="s">
        <v>525</v>
      </c>
    </row>
    <row r="87" spans="1:7" x14ac:dyDescent="0.3">
      <c r="A87">
        <v>0</v>
      </c>
      <c r="B87" t="s">
        <v>319</v>
      </c>
      <c r="C87" t="s">
        <v>329</v>
      </c>
      <c r="D87" t="s">
        <v>2</v>
      </c>
      <c r="E87" t="s">
        <v>329</v>
      </c>
      <c r="F87" t="s">
        <v>13</v>
      </c>
      <c r="G87" t="s">
        <v>525</v>
      </c>
    </row>
    <row r="88" spans="1:7" x14ac:dyDescent="0.3">
      <c r="A88">
        <v>0</v>
      </c>
      <c r="B88" t="s">
        <v>312</v>
      </c>
      <c r="C88" t="s">
        <v>252</v>
      </c>
      <c r="D88" t="s">
        <v>2</v>
      </c>
      <c r="E88" t="s">
        <v>252</v>
      </c>
      <c r="F88" t="s">
        <v>13</v>
      </c>
      <c r="G88" t="s">
        <v>525</v>
      </c>
    </row>
    <row r="89" spans="1:7" x14ac:dyDescent="0.3">
      <c r="A89">
        <v>0</v>
      </c>
      <c r="B89" t="s">
        <v>312</v>
      </c>
      <c r="C89" t="s">
        <v>317</v>
      </c>
      <c r="D89" t="s">
        <v>2</v>
      </c>
      <c r="E89" t="s">
        <v>317</v>
      </c>
      <c r="F89" t="s">
        <v>13</v>
      </c>
      <c r="G89" t="s">
        <v>525</v>
      </c>
    </row>
    <row r="90" spans="1:7" x14ac:dyDescent="0.3">
      <c r="A90">
        <v>0</v>
      </c>
      <c r="B90" t="s">
        <v>312</v>
      </c>
      <c r="C90" t="s">
        <v>436</v>
      </c>
      <c r="D90" t="s">
        <v>2</v>
      </c>
      <c r="E90" t="s">
        <v>436</v>
      </c>
      <c r="F90" t="s">
        <v>13</v>
      </c>
      <c r="G90" t="s">
        <v>525</v>
      </c>
    </row>
    <row r="91" spans="1:7" x14ac:dyDescent="0.3">
      <c r="A91">
        <v>0</v>
      </c>
      <c r="B91" t="s">
        <v>319</v>
      </c>
      <c r="C91" t="s">
        <v>490</v>
      </c>
      <c r="D91" t="s">
        <v>2</v>
      </c>
      <c r="E91" t="s">
        <v>490</v>
      </c>
      <c r="F91" t="s">
        <v>13</v>
      </c>
      <c r="G91" t="s">
        <v>525</v>
      </c>
    </row>
    <row r="92" spans="1:7" x14ac:dyDescent="0.3">
      <c r="A92">
        <v>0</v>
      </c>
      <c r="B92" t="s">
        <v>312</v>
      </c>
      <c r="C92" t="s">
        <v>391</v>
      </c>
      <c r="D92" t="s">
        <v>2</v>
      </c>
      <c r="E92" t="s">
        <v>391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235</v>
      </c>
      <c r="D93" t="s">
        <v>2</v>
      </c>
      <c r="E93" t="s">
        <v>235</v>
      </c>
      <c r="F93" t="s">
        <v>13</v>
      </c>
      <c r="G93" t="s">
        <v>525</v>
      </c>
    </row>
    <row r="94" spans="1:7" x14ac:dyDescent="0.3">
      <c r="A94">
        <v>0</v>
      </c>
      <c r="B94" t="s">
        <v>312</v>
      </c>
      <c r="C94" t="s">
        <v>493</v>
      </c>
      <c r="D94" t="s">
        <v>2</v>
      </c>
      <c r="E94" t="s">
        <v>493</v>
      </c>
      <c r="F94" t="s">
        <v>13</v>
      </c>
      <c r="G94" t="s">
        <v>525</v>
      </c>
    </row>
    <row r="95" spans="1:7" x14ac:dyDescent="0.3">
      <c r="A95">
        <v>0</v>
      </c>
      <c r="B95" t="s">
        <v>312</v>
      </c>
      <c r="C95" t="s">
        <v>335</v>
      </c>
      <c r="D95" t="s">
        <v>2</v>
      </c>
      <c r="E95" t="s">
        <v>335</v>
      </c>
      <c r="F95" t="s">
        <v>13</v>
      </c>
      <c r="G95" t="s">
        <v>525</v>
      </c>
    </row>
    <row r="96" spans="1:7" x14ac:dyDescent="0.3">
      <c r="A96">
        <v>0</v>
      </c>
      <c r="B96" t="s">
        <v>312</v>
      </c>
      <c r="C96" t="s">
        <v>354</v>
      </c>
      <c r="D96" t="s">
        <v>2</v>
      </c>
      <c r="E96" t="s">
        <v>354</v>
      </c>
      <c r="F96" t="s">
        <v>13</v>
      </c>
      <c r="G96" t="s">
        <v>525</v>
      </c>
    </row>
    <row r="97" spans="1:7" x14ac:dyDescent="0.3">
      <c r="A97">
        <v>0</v>
      </c>
      <c r="B97" t="s">
        <v>319</v>
      </c>
      <c r="C97" t="s">
        <v>360</v>
      </c>
      <c r="D97" t="s">
        <v>2</v>
      </c>
      <c r="E97" t="s">
        <v>360</v>
      </c>
      <c r="F97" t="s">
        <v>13</v>
      </c>
      <c r="G97" t="s">
        <v>525</v>
      </c>
    </row>
    <row r="98" spans="1:7" x14ac:dyDescent="0.3">
      <c r="A98">
        <v>0</v>
      </c>
      <c r="B98" t="s">
        <v>314</v>
      </c>
      <c r="C98" t="s">
        <v>356</v>
      </c>
      <c r="D98" t="s">
        <v>2</v>
      </c>
      <c r="E98" t="s">
        <v>356</v>
      </c>
      <c r="F98" t="s">
        <v>13</v>
      </c>
      <c r="G98" t="s">
        <v>525</v>
      </c>
    </row>
    <row r="99" spans="1:7" x14ac:dyDescent="0.3">
      <c r="A99">
        <v>0</v>
      </c>
      <c r="B99" t="s">
        <v>312</v>
      </c>
      <c r="C99" t="s">
        <v>405</v>
      </c>
      <c r="D99" t="s">
        <v>2</v>
      </c>
      <c r="E99" t="s">
        <v>405</v>
      </c>
      <c r="F99" t="s">
        <v>13</v>
      </c>
      <c r="G99" t="s">
        <v>525</v>
      </c>
    </row>
    <row r="100" spans="1:7" x14ac:dyDescent="0.3">
      <c r="A100">
        <v>0</v>
      </c>
      <c r="B100" t="s">
        <v>312</v>
      </c>
      <c r="C100" t="s">
        <v>471</v>
      </c>
      <c r="D100" t="s">
        <v>2</v>
      </c>
      <c r="E100" t="s">
        <v>471</v>
      </c>
      <c r="F100" t="s">
        <v>13</v>
      </c>
      <c r="G100" t="s">
        <v>525</v>
      </c>
    </row>
    <row r="101" spans="1:7" x14ac:dyDescent="0.3">
      <c r="A101">
        <v>0</v>
      </c>
      <c r="B101" t="s">
        <v>319</v>
      </c>
      <c r="C101" t="s">
        <v>421</v>
      </c>
      <c r="D101" t="s">
        <v>2</v>
      </c>
      <c r="E101" t="s">
        <v>421</v>
      </c>
      <c r="F101" t="s">
        <v>13</v>
      </c>
      <c r="G101" t="s">
        <v>525</v>
      </c>
    </row>
    <row r="102" spans="1:7" x14ac:dyDescent="0.3">
      <c r="A102">
        <v>0</v>
      </c>
      <c r="B102" t="s">
        <v>312</v>
      </c>
      <c r="C102" t="s">
        <v>321</v>
      </c>
      <c r="D102" t="s">
        <v>2</v>
      </c>
      <c r="E102" t="s">
        <v>321</v>
      </c>
      <c r="F102" t="s">
        <v>13</v>
      </c>
      <c r="G102" t="s">
        <v>525</v>
      </c>
    </row>
    <row r="103" spans="1:7" x14ac:dyDescent="0.3">
      <c r="A103">
        <v>0</v>
      </c>
      <c r="B103" t="s">
        <v>105</v>
      </c>
      <c r="C103" t="s">
        <v>113</v>
      </c>
      <c r="D103" t="s">
        <v>2</v>
      </c>
      <c r="E103" t="s">
        <v>113</v>
      </c>
      <c r="F103" t="s">
        <v>13</v>
      </c>
      <c r="G103" t="s">
        <v>525</v>
      </c>
    </row>
    <row r="104" spans="1:7" x14ac:dyDescent="0.3">
      <c r="A104">
        <v>0</v>
      </c>
      <c r="B104" t="s">
        <v>312</v>
      </c>
      <c r="C104" t="s">
        <v>348</v>
      </c>
      <c r="D104" t="s">
        <v>2</v>
      </c>
      <c r="E104" t="s">
        <v>348</v>
      </c>
      <c r="F104" t="s">
        <v>13</v>
      </c>
      <c r="G104" t="s">
        <v>525</v>
      </c>
    </row>
    <row r="105" spans="1:7" x14ac:dyDescent="0.3">
      <c r="A105">
        <v>0</v>
      </c>
      <c r="B105" t="s">
        <v>105</v>
      </c>
      <c r="C105" t="s">
        <v>469</v>
      </c>
      <c r="D105" t="s">
        <v>2</v>
      </c>
      <c r="E105" t="s">
        <v>469</v>
      </c>
      <c r="F105" t="s">
        <v>13</v>
      </c>
      <c r="G105" t="s">
        <v>525</v>
      </c>
    </row>
    <row r="106" spans="1:7" x14ac:dyDescent="0.3">
      <c r="A106">
        <v>0</v>
      </c>
      <c r="B106" t="s">
        <v>314</v>
      </c>
      <c r="C106" t="s">
        <v>481</v>
      </c>
      <c r="D106" t="s">
        <v>2</v>
      </c>
      <c r="E106" t="s">
        <v>481</v>
      </c>
      <c r="F106" t="s">
        <v>13</v>
      </c>
      <c r="G106" t="s">
        <v>525</v>
      </c>
    </row>
    <row r="107" spans="1:7" x14ac:dyDescent="0.3">
      <c r="A107">
        <v>0</v>
      </c>
      <c r="B107" t="s">
        <v>312</v>
      </c>
      <c r="C107" t="s">
        <v>398</v>
      </c>
      <c r="D107" t="s">
        <v>2</v>
      </c>
      <c r="E107" t="s">
        <v>398</v>
      </c>
      <c r="F107" t="s">
        <v>13</v>
      </c>
      <c r="G107" t="s">
        <v>525</v>
      </c>
    </row>
    <row r="108" spans="1:7" x14ac:dyDescent="0.3">
      <c r="A108">
        <v>0</v>
      </c>
      <c r="B108" t="s">
        <v>314</v>
      </c>
      <c r="C108" t="s">
        <v>342</v>
      </c>
      <c r="D108" t="s">
        <v>2</v>
      </c>
      <c r="E108" t="s">
        <v>342</v>
      </c>
      <c r="F108" t="s">
        <v>13</v>
      </c>
      <c r="G108" t="s">
        <v>525</v>
      </c>
    </row>
    <row r="109" spans="1:7" x14ac:dyDescent="0.3">
      <c r="A109">
        <v>0</v>
      </c>
      <c r="B109" t="s">
        <v>312</v>
      </c>
      <c r="C109" t="s">
        <v>322</v>
      </c>
      <c r="D109" t="s">
        <v>2</v>
      </c>
      <c r="E109" t="s">
        <v>322</v>
      </c>
      <c r="F109" t="s">
        <v>13</v>
      </c>
      <c r="G109" t="s">
        <v>525</v>
      </c>
    </row>
    <row r="110" spans="1:7" x14ac:dyDescent="0.3">
      <c r="A110">
        <v>0</v>
      </c>
      <c r="B110" t="s">
        <v>314</v>
      </c>
      <c r="C110" t="s">
        <v>409</v>
      </c>
      <c r="D110" t="s">
        <v>2</v>
      </c>
      <c r="E110" t="s">
        <v>409</v>
      </c>
      <c r="F110" t="s">
        <v>13</v>
      </c>
      <c r="G110" t="s">
        <v>525</v>
      </c>
    </row>
    <row r="111" spans="1:7" x14ac:dyDescent="0.3">
      <c r="A111">
        <v>0</v>
      </c>
      <c r="B111" t="s">
        <v>314</v>
      </c>
      <c r="C111" t="s">
        <v>480</v>
      </c>
      <c r="D111" t="s">
        <v>2</v>
      </c>
      <c r="E111" t="s">
        <v>480</v>
      </c>
      <c r="F111" t="s">
        <v>13</v>
      </c>
      <c r="G111" t="s">
        <v>525</v>
      </c>
    </row>
    <row r="112" spans="1:7" x14ac:dyDescent="0.3">
      <c r="A112">
        <v>0</v>
      </c>
      <c r="B112" t="s">
        <v>105</v>
      </c>
      <c r="C112" t="s">
        <v>121</v>
      </c>
      <c r="D112" t="s">
        <v>2</v>
      </c>
      <c r="E112" t="s">
        <v>121</v>
      </c>
      <c r="F112" t="s">
        <v>13</v>
      </c>
      <c r="G112" t="s">
        <v>525</v>
      </c>
    </row>
    <row r="113" spans="1:7" x14ac:dyDescent="0.3">
      <c r="A113">
        <v>0</v>
      </c>
      <c r="B113" t="s">
        <v>312</v>
      </c>
      <c r="C113" t="s">
        <v>359</v>
      </c>
      <c r="D113" t="s">
        <v>2</v>
      </c>
      <c r="E113" t="s">
        <v>359</v>
      </c>
      <c r="F113" t="s">
        <v>13</v>
      </c>
      <c r="G113" t="s">
        <v>525</v>
      </c>
    </row>
    <row r="114" spans="1:7" x14ac:dyDescent="0.3">
      <c r="A114">
        <v>0</v>
      </c>
      <c r="B114" t="s">
        <v>319</v>
      </c>
      <c r="C114" t="s">
        <v>468</v>
      </c>
      <c r="D114" t="s">
        <v>2</v>
      </c>
      <c r="E114" t="s">
        <v>468</v>
      </c>
      <c r="F114" t="s">
        <v>13</v>
      </c>
      <c r="G114" t="s">
        <v>525</v>
      </c>
    </row>
    <row r="115" spans="1:7" x14ac:dyDescent="0.3">
      <c r="A115">
        <v>0</v>
      </c>
      <c r="B115" t="s">
        <v>319</v>
      </c>
      <c r="C115" t="s">
        <v>458</v>
      </c>
      <c r="D115" t="s">
        <v>2</v>
      </c>
      <c r="E115" t="s">
        <v>458</v>
      </c>
      <c r="F115" t="s">
        <v>13</v>
      </c>
      <c r="G115" t="s">
        <v>525</v>
      </c>
    </row>
    <row r="116" spans="1:7" x14ac:dyDescent="0.3">
      <c r="A116">
        <v>0</v>
      </c>
      <c r="B116" t="s">
        <v>312</v>
      </c>
      <c r="C116" t="s">
        <v>370</v>
      </c>
      <c r="D116" t="s">
        <v>2</v>
      </c>
      <c r="E116" t="s">
        <v>370</v>
      </c>
      <c r="F116" t="s">
        <v>13</v>
      </c>
      <c r="G116" t="s">
        <v>525</v>
      </c>
    </row>
    <row r="117" spans="1:7" x14ac:dyDescent="0.3">
      <c r="A117">
        <v>0</v>
      </c>
      <c r="B117" t="s">
        <v>57</v>
      </c>
      <c r="C117" t="s">
        <v>114</v>
      </c>
      <c r="D117" t="s">
        <v>2</v>
      </c>
      <c r="E117" t="s">
        <v>114</v>
      </c>
      <c r="F117" t="s">
        <v>13</v>
      </c>
      <c r="G117" t="s">
        <v>525</v>
      </c>
    </row>
    <row r="118" spans="1:7" x14ac:dyDescent="0.3">
      <c r="A118">
        <v>0</v>
      </c>
      <c r="B118" t="s">
        <v>319</v>
      </c>
      <c r="C118" t="s">
        <v>404</v>
      </c>
      <c r="D118" t="s">
        <v>2</v>
      </c>
      <c r="E118" t="s">
        <v>404</v>
      </c>
      <c r="F118" t="s">
        <v>13</v>
      </c>
      <c r="G118" t="s">
        <v>525</v>
      </c>
    </row>
    <row r="119" spans="1:7" x14ac:dyDescent="0.3">
      <c r="A119">
        <v>0</v>
      </c>
      <c r="B119" t="s">
        <v>312</v>
      </c>
      <c r="C119" t="s">
        <v>369</v>
      </c>
      <c r="D119" t="s">
        <v>2</v>
      </c>
      <c r="E119" t="s">
        <v>369</v>
      </c>
      <c r="F119" t="s">
        <v>13</v>
      </c>
      <c r="G119" t="s">
        <v>525</v>
      </c>
    </row>
    <row r="120" spans="1:7" x14ac:dyDescent="0.3">
      <c r="A120">
        <v>0</v>
      </c>
      <c r="B120" t="s">
        <v>57</v>
      </c>
      <c r="C120" t="s">
        <v>122</v>
      </c>
      <c r="D120" t="s">
        <v>2</v>
      </c>
      <c r="E120" t="s">
        <v>122</v>
      </c>
      <c r="F120" t="s">
        <v>13</v>
      </c>
      <c r="G120" t="s">
        <v>525</v>
      </c>
    </row>
    <row r="121" spans="1:7" x14ac:dyDescent="0.3">
      <c r="A121">
        <v>0</v>
      </c>
      <c r="B121" t="s">
        <v>319</v>
      </c>
      <c r="C121" t="s">
        <v>390</v>
      </c>
      <c r="D121" t="s">
        <v>2</v>
      </c>
      <c r="E121" t="s">
        <v>390</v>
      </c>
      <c r="F121" t="s">
        <v>13</v>
      </c>
      <c r="G121" t="s">
        <v>525</v>
      </c>
    </row>
    <row r="122" spans="1:7" x14ac:dyDescent="0.3">
      <c r="A122">
        <v>0</v>
      </c>
      <c r="B122" t="s">
        <v>312</v>
      </c>
      <c r="C122" t="s">
        <v>492</v>
      </c>
      <c r="D122" t="s">
        <v>2</v>
      </c>
      <c r="E122" t="s">
        <v>492</v>
      </c>
      <c r="F122" t="s">
        <v>13</v>
      </c>
      <c r="G122" t="s">
        <v>525</v>
      </c>
    </row>
    <row r="123" spans="1:7" x14ac:dyDescent="0.3">
      <c r="A123">
        <v>0</v>
      </c>
      <c r="B123" t="s">
        <v>312</v>
      </c>
      <c r="C123" t="s">
        <v>345</v>
      </c>
      <c r="D123" t="s">
        <v>2</v>
      </c>
      <c r="E123" t="s">
        <v>345</v>
      </c>
      <c r="F123" t="s">
        <v>13</v>
      </c>
      <c r="G123" t="s">
        <v>525</v>
      </c>
    </row>
    <row r="124" spans="1:7" x14ac:dyDescent="0.3">
      <c r="A124">
        <v>0</v>
      </c>
      <c r="B124" t="s">
        <v>314</v>
      </c>
      <c r="C124" t="s">
        <v>374</v>
      </c>
      <c r="D124" t="s">
        <v>2</v>
      </c>
      <c r="E124" t="s">
        <v>374</v>
      </c>
      <c r="F124" t="s">
        <v>13</v>
      </c>
      <c r="G124" t="s">
        <v>525</v>
      </c>
    </row>
    <row r="125" spans="1:7" x14ac:dyDescent="0.3">
      <c r="A125">
        <v>0</v>
      </c>
      <c r="B125" t="s">
        <v>105</v>
      </c>
      <c r="C125" t="s">
        <v>124</v>
      </c>
      <c r="D125" t="s">
        <v>2</v>
      </c>
      <c r="E125" t="s">
        <v>124</v>
      </c>
      <c r="F125" t="s">
        <v>13</v>
      </c>
      <c r="G125" t="s">
        <v>525</v>
      </c>
    </row>
    <row r="126" spans="1:7" x14ac:dyDescent="0.3">
      <c r="A126">
        <v>0</v>
      </c>
      <c r="B126" t="s">
        <v>312</v>
      </c>
      <c r="C126" t="s">
        <v>440</v>
      </c>
      <c r="D126" t="s">
        <v>2</v>
      </c>
      <c r="E126" t="s">
        <v>440</v>
      </c>
      <c r="F126" t="s">
        <v>13</v>
      </c>
      <c r="G126" t="s">
        <v>525</v>
      </c>
    </row>
    <row r="127" spans="1:7" x14ac:dyDescent="0.3">
      <c r="A127">
        <v>0</v>
      </c>
      <c r="B127" t="s">
        <v>312</v>
      </c>
      <c r="C127" t="s">
        <v>316</v>
      </c>
      <c r="D127" t="s">
        <v>2</v>
      </c>
      <c r="E127" t="s">
        <v>316</v>
      </c>
      <c r="F127" t="s">
        <v>13</v>
      </c>
      <c r="G127" t="s">
        <v>525</v>
      </c>
    </row>
    <row r="128" spans="1:7" x14ac:dyDescent="0.3">
      <c r="A128">
        <v>0</v>
      </c>
      <c r="B128" t="s">
        <v>312</v>
      </c>
      <c r="C128" t="s">
        <v>427</v>
      </c>
      <c r="D128" t="s">
        <v>2</v>
      </c>
      <c r="E128" t="s">
        <v>427</v>
      </c>
      <c r="F128" t="s">
        <v>13</v>
      </c>
      <c r="G128" t="s">
        <v>525</v>
      </c>
    </row>
    <row r="129" spans="1:7" x14ac:dyDescent="0.3">
      <c r="A129">
        <v>0</v>
      </c>
      <c r="B129" t="s">
        <v>312</v>
      </c>
      <c r="C129" t="s">
        <v>332</v>
      </c>
      <c r="D129" t="s">
        <v>2</v>
      </c>
      <c r="E129" t="s">
        <v>332</v>
      </c>
      <c r="F129" t="s">
        <v>13</v>
      </c>
      <c r="G129" t="s">
        <v>525</v>
      </c>
    </row>
    <row r="130" spans="1:7" x14ac:dyDescent="0.3">
      <c r="A130">
        <v>0</v>
      </c>
      <c r="B130" t="s">
        <v>312</v>
      </c>
      <c r="C130" t="s">
        <v>336</v>
      </c>
      <c r="D130" t="s">
        <v>2</v>
      </c>
      <c r="E130" t="s">
        <v>336</v>
      </c>
      <c r="F130" t="s">
        <v>13</v>
      </c>
      <c r="G130" t="s">
        <v>525</v>
      </c>
    </row>
    <row r="131" spans="1:7" x14ac:dyDescent="0.3">
      <c r="A131">
        <v>0</v>
      </c>
      <c r="B131" t="s">
        <v>314</v>
      </c>
      <c r="C131" t="s">
        <v>393</v>
      </c>
      <c r="D131" t="s">
        <v>2</v>
      </c>
      <c r="E131" t="s">
        <v>393</v>
      </c>
      <c r="F131" t="s">
        <v>13</v>
      </c>
      <c r="G131" t="s">
        <v>525</v>
      </c>
    </row>
    <row r="132" spans="1:7" x14ac:dyDescent="0.3">
      <c r="A132">
        <v>0</v>
      </c>
      <c r="B132" t="s">
        <v>312</v>
      </c>
      <c r="C132" t="s">
        <v>339</v>
      </c>
      <c r="D132" t="s">
        <v>2</v>
      </c>
      <c r="E132" t="s">
        <v>339</v>
      </c>
      <c r="F132" t="s">
        <v>13</v>
      </c>
      <c r="G132" t="s">
        <v>525</v>
      </c>
    </row>
    <row r="133" spans="1:7" x14ac:dyDescent="0.3">
      <c r="A133">
        <v>0</v>
      </c>
      <c r="B133" t="s">
        <v>312</v>
      </c>
      <c r="C133" t="s">
        <v>400</v>
      </c>
      <c r="D133" t="s">
        <v>2</v>
      </c>
      <c r="E133" t="s">
        <v>400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380</v>
      </c>
      <c r="D134" t="s">
        <v>2</v>
      </c>
      <c r="E134" t="s">
        <v>380</v>
      </c>
      <c r="F134" t="s">
        <v>13</v>
      </c>
      <c r="G134" t="s">
        <v>525</v>
      </c>
    </row>
    <row r="135" spans="1:7" x14ac:dyDescent="0.3">
      <c r="A135">
        <v>0</v>
      </c>
      <c r="B135" t="s">
        <v>312</v>
      </c>
      <c r="C135" t="s">
        <v>442</v>
      </c>
      <c r="D135" t="s">
        <v>2</v>
      </c>
      <c r="E135" t="s">
        <v>442</v>
      </c>
      <c r="F135" t="s">
        <v>13</v>
      </c>
      <c r="G135" t="s">
        <v>525</v>
      </c>
    </row>
    <row r="136" spans="1:7" x14ac:dyDescent="0.3">
      <c r="A136">
        <v>0</v>
      </c>
      <c r="B136" t="s">
        <v>314</v>
      </c>
      <c r="C136" t="s">
        <v>349</v>
      </c>
      <c r="D136" t="s">
        <v>2</v>
      </c>
      <c r="E136" t="s">
        <v>349</v>
      </c>
      <c r="F136" t="s">
        <v>13</v>
      </c>
      <c r="G136" t="s">
        <v>525</v>
      </c>
    </row>
    <row r="137" spans="1:7" x14ac:dyDescent="0.3">
      <c r="A137">
        <v>0</v>
      </c>
      <c r="B137" t="s">
        <v>57</v>
      </c>
      <c r="C137" t="s">
        <v>470</v>
      </c>
      <c r="D137" t="s">
        <v>2</v>
      </c>
      <c r="E137" t="s">
        <v>470</v>
      </c>
      <c r="F137" t="s">
        <v>13</v>
      </c>
      <c r="G137" t="s">
        <v>525</v>
      </c>
    </row>
    <row r="138" spans="1:7" x14ac:dyDescent="0.3">
      <c r="A138">
        <v>0</v>
      </c>
      <c r="B138" t="s">
        <v>319</v>
      </c>
      <c r="C138" t="s">
        <v>463</v>
      </c>
      <c r="D138" t="s">
        <v>2</v>
      </c>
      <c r="E138" t="s">
        <v>463</v>
      </c>
      <c r="F138" t="s">
        <v>13</v>
      </c>
      <c r="G138" t="s">
        <v>525</v>
      </c>
    </row>
    <row r="139" spans="1:7" x14ac:dyDescent="0.3">
      <c r="A139">
        <v>0</v>
      </c>
      <c r="B139" t="s">
        <v>314</v>
      </c>
      <c r="C139" t="s">
        <v>343</v>
      </c>
      <c r="D139" t="s">
        <v>2</v>
      </c>
      <c r="E139" t="s">
        <v>343</v>
      </c>
      <c r="F139" t="s">
        <v>13</v>
      </c>
      <c r="G139" t="s">
        <v>525</v>
      </c>
    </row>
    <row r="140" spans="1:7" x14ac:dyDescent="0.3">
      <c r="A140">
        <v>0</v>
      </c>
      <c r="B140" t="s">
        <v>312</v>
      </c>
      <c r="C140" t="s">
        <v>371</v>
      </c>
      <c r="D140" t="s">
        <v>2</v>
      </c>
      <c r="E140" t="s">
        <v>371</v>
      </c>
      <c r="F140" t="s">
        <v>13</v>
      </c>
      <c r="G140" t="s">
        <v>525</v>
      </c>
    </row>
    <row r="141" spans="1:7" x14ac:dyDescent="0.3">
      <c r="A141">
        <v>0</v>
      </c>
      <c r="B141" t="s">
        <v>312</v>
      </c>
      <c r="C141" t="s">
        <v>366</v>
      </c>
      <c r="D141" t="s">
        <v>2</v>
      </c>
      <c r="E141" t="s">
        <v>366</v>
      </c>
      <c r="F141" t="s">
        <v>13</v>
      </c>
      <c r="G141" t="s">
        <v>525</v>
      </c>
    </row>
    <row r="142" spans="1:7" x14ac:dyDescent="0.3">
      <c r="A142">
        <v>0</v>
      </c>
      <c r="B142" t="s">
        <v>312</v>
      </c>
      <c r="C142" t="s">
        <v>384</v>
      </c>
      <c r="D142" t="s">
        <v>2</v>
      </c>
      <c r="E142" t="s">
        <v>384</v>
      </c>
      <c r="F142" t="s">
        <v>13</v>
      </c>
      <c r="G142" t="s">
        <v>525</v>
      </c>
    </row>
    <row r="143" spans="1:7" x14ac:dyDescent="0.3">
      <c r="A143">
        <v>0</v>
      </c>
      <c r="B143" t="s">
        <v>319</v>
      </c>
      <c r="C143" t="s">
        <v>464</v>
      </c>
      <c r="D143" t="s">
        <v>2</v>
      </c>
      <c r="E143" t="s">
        <v>464</v>
      </c>
      <c r="F143" t="s">
        <v>13</v>
      </c>
      <c r="G143" t="s">
        <v>525</v>
      </c>
    </row>
    <row r="144" spans="1:7" x14ac:dyDescent="0.3">
      <c r="A144">
        <v>0</v>
      </c>
      <c r="B144" t="s">
        <v>312</v>
      </c>
      <c r="C144" t="s">
        <v>323</v>
      </c>
      <c r="D144" t="s">
        <v>2</v>
      </c>
      <c r="E144" t="s">
        <v>323</v>
      </c>
      <c r="F144" t="s">
        <v>13</v>
      </c>
      <c r="G144" t="s">
        <v>525</v>
      </c>
    </row>
    <row r="145" spans="1:7" x14ac:dyDescent="0.3">
      <c r="A145">
        <v>0</v>
      </c>
      <c r="B145" t="s">
        <v>314</v>
      </c>
      <c r="C145" t="s">
        <v>414</v>
      </c>
      <c r="D145" t="s">
        <v>2</v>
      </c>
      <c r="E145" t="s">
        <v>414</v>
      </c>
      <c r="F145" t="s">
        <v>13</v>
      </c>
      <c r="G145" t="s">
        <v>525</v>
      </c>
    </row>
    <row r="146" spans="1:7" x14ac:dyDescent="0.3">
      <c r="A146">
        <v>0</v>
      </c>
      <c r="B146" t="s">
        <v>312</v>
      </c>
      <c r="C146" t="s">
        <v>261</v>
      </c>
      <c r="D146" t="s">
        <v>2</v>
      </c>
      <c r="E146" t="s">
        <v>261</v>
      </c>
      <c r="F146" t="s">
        <v>13</v>
      </c>
      <c r="G146" t="s">
        <v>525</v>
      </c>
    </row>
    <row r="147" spans="1:7" x14ac:dyDescent="0.3">
      <c r="A147">
        <v>0</v>
      </c>
      <c r="B147" t="s">
        <v>319</v>
      </c>
      <c r="C147" t="s">
        <v>364</v>
      </c>
      <c r="D147" t="s">
        <v>2</v>
      </c>
      <c r="E147" t="s">
        <v>364</v>
      </c>
      <c r="F147" t="s">
        <v>13</v>
      </c>
      <c r="G147" t="s">
        <v>525</v>
      </c>
    </row>
    <row r="148" spans="1:7" x14ac:dyDescent="0.3">
      <c r="A148">
        <v>0</v>
      </c>
      <c r="B148" t="s">
        <v>312</v>
      </c>
      <c r="C148" t="s">
        <v>373</v>
      </c>
      <c r="D148" t="s">
        <v>2</v>
      </c>
      <c r="E148" t="s">
        <v>373</v>
      </c>
      <c r="F148" t="s">
        <v>13</v>
      </c>
      <c r="G148" t="s">
        <v>525</v>
      </c>
    </row>
    <row r="149" spans="1:7" x14ac:dyDescent="0.3">
      <c r="A149">
        <v>0</v>
      </c>
      <c r="B149" t="s">
        <v>312</v>
      </c>
      <c r="C149" t="s">
        <v>482</v>
      </c>
      <c r="D149" t="s">
        <v>2</v>
      </c>
      <c r="E149" t="s">
        <v>482</v>
      </c>
      <c r="F149" t="s">
        <v>13</v>
      </c>
      <c r="G149" t="s">
        <v>525</v>
      </c>
    </row>
    <row r="150" spans="1:7" x14ac:dyDescent="0.3">
      <c r="A150">
        <v>0</v>
      </c>
      <c r="B150" t="s">
        <v>312</v>
      </c>
      <c r="C150" t="s">
        <v>412</v>
      </c>
      <c r="D150" t="s">
        <v>2</v>
      </c>
      <c r="E150" t="s">
        <v>412</v>
      </c>
      <c r="F150" t="s">
        <v>13</v>
      </c>
      <c r="G150" t="s">
        <v>525</v>
      </c>
    </row>
    <row r="151" spans="1:7" x14ac:dyDescent="0.3">
      <c r="A151">
        <v>0</v>
      </c>
      <c r="B151" t="s">
        <v>312</v>
      </c>
      <c r="C151" t="s">
        <v>434</v>
      </c>
      <c r="D151" t="s">
        <v>2</v>
      </c>
      <c r="E151" t="s">
        <v>434</v>
      </c>
      <c r="F151" t="s">
        <v>13</v>
      </c>
      <c r="G151" t="s">
        <v>525</v>
      </c>
    </row>
    <row r="152" spans="1:7" x14ac:dyDescent="0.3">
      <c r="A152">
        <v>0</v>
      </c>
      <c r="B152" t="s">
        <v>314</v>
      </c>
      <c r="C152" t="s">
        <v>443</v>
      </c>
      <c r="D152" t="s">
        <v>2</v>
      </c>
      <c r="E152" t="s">
        <v>443</v>
      </c>
      <c r="F152" t="s">
        <v>13</v>
      </c>
      <c r="G152" t="s">
        <v>525</v>
      </c>
    </row>
    <row r="153" spans="1:7" x14ac:dyDescent="0.3">
      <c r="A153">
        <v>0</v>
      </c>
      <c r="B153" t="s">
        <v>319</v>
      </c>
      <c r="C153" t="s">
        <v>430</v>
      </c>
      <c r="D153" t="s">
        <v>2</v>
      </c>
      <c r="E153" t="s">
        <v>430</v>
      </c>
      <c r="F153" t="s">
        <v>13</v>
      </c>
      <c r="G153" t="s">
        <v>525</v>
      </c>
    </row>
    <row r="154" spans="1:7" x14ac:dyDescent="0.3">
      <c r="A154">
        <v>0</v>
      </c>
      <c r="B154" t="s">
        <v>314</v>
      </c>
      <c r="C154" t="s">
        <v>408</v>
      </c>
      <c r="D154" t="s">
        <v>2</v>
      </c>
      <c r="E154" t="s">
        <v>408</v>
      </c>
      <c r="F154" t="s">
        <v>13</v>
      </c>
      <c r="G154" t="s">
        <v>525</v>
      </c>
    </row>
    <row r="155" spans="1:7" x14ac:dyDescent="0.3">
      <c r="A155">
        <v>0</v>
      </c>
      <c r="B155" t="s">
        <v>312</v>
      </c>
      <c r="C155" t="s">
        <v>138</v>
      </c>
      <c r="D155" t="s">
        <v>2</v>
      </c>
      <c r="E155" t="s">
        <v>138</v>
      </c>
      <c r="F155" t="s">
        <v>13</v>
      </c>
      <c r="G155" t="s">
        <v>525</v>
      </c>
    </row>
    <row r="156" spans="1:7" x14ac:dyDescent="0.3">
      <c r="A156">
        <v>0</v>
      </c>
      <c r="B156" t="s">
        <v>312</v>
      </c>
      <c r="C156" t="s">
        <v>275</v>
      </c>
      <c r="D156" t="s">
        <v>2</v>
      </c>
      <c r="E156" t="s">
        <v>275</v>
      </c>
      <c r="F156" t="s">
        <v>13</v>
      </c>
      <c r="G156" t="s">
        <v>525</v>
      </c>
    </row>
    <row r="157" spans="1:7" x14ac:dyDescent="0.3">
      <c r="A157">
        <v>0</v>
      </c>
      <c r="B157" t="s">
        <v>312</v>
      </c>
      <c r="C157" t="s">
        <v>337</v>
      </c>
      <c r="D157" t="s">
        <v>2</v>
      </c>
      <c r="E157" t="s">
        <v>337</v>
      </c>
      <c r="F157" t="s">
        <v>13</v>
      </c>
      <c r="G157" t="s">
        <v>525</v>
      </c>
    </row>
    <row r="158" spans="1:7" x14ac:dyDescent="0.3">
      <c r="A158">
        <v>0</v>
      </c>
      <c r="B158" t="s">
        <v>312</v>
      </c>
      <c r="C158" t="s">
        <v>331</v>
      </c>
      <c r="D158" t="s">
        <v>2</v>
      </c>
      <c r="E158" t="s">
        <v>331</v>
      </c>
      <c r="F158" t="s">
        <v>13</v>
      </c>
      <c r="G158" t="s">
        <v>525</v>
      </c>
    </row>
    <row r="159" spans="1:7" x14ac:dyDescent="0.3">
      <c r="A159">
        <v>0</v>
      </c>
      <c r="B159" t="s">
        <v>312</v>
      </c>
      <c r="C159" t="s">
        <v>452</v>
      </c>
      <c r="D159" t="s">
        <v>2</v>
      </c>
      <c r="E159" t="s">
        <v>452</v>
      </c>
      <c r="F159" t="s">
        <v>13</v>
      </c>
      <c r="G159" t="s">
        <v>525</v>
      </c>
    </row>
    <row r="160" spans="1:7" x14ac:dyDescent="0.3">
      <c r="A160">
        <v>0</v>
      </c>
      <c r="B160" t="s">
        <v>319</v>
      </c>
      <c r="C160" t="s">
        <v>477</v>
      </c>
      <c r="D160" t="s">
        <v>2</v>
      </c>
      <c r="E160" t="s">
        <v>477</v>
      </c>
      <c r="F160" t="s">
        <v>13</v>
      </c>
      <c r="G160" t="s">
        <v>525</v>
      </c>
    </row>
    <row r="161" spans="1:7" x14ac:dyDescent="0.3">
      <c r="A161">
        <v>0</v>
      </c>
      <c r="B161" t="s">
        <v>312</v>
      </c>
      <c r="C161" t="s">
        <v>446</v>
      </c>
      <c r="D161" t="s">
        <v>2</v>
      </c>
      <c r="E161" t="s">
        <v>446</v>
      </c>
      <c r="F161" t="s">
        <v>13</v>
      </c>
      <c r="G161" t="s">
        <v>525</v>
      </c>
    </row>
    <row r="162" spans="1:7" x14ac:dyDescent="0.3">
      <c r="A162">
        <v>0</v>
      </c>
      <c r="B162" t="s">
        <v>319</v>
      </c>
      <c r="C162" t="s">
        <v>491</v>
      </c>
      <c r="D162" t="s">
        <v>2</v>
      </c>
      <c r="E162" t="s">
        <v>491</v>
      </c>
      <c r="F162" t="s">
        <v>13</v>
      </c>
      <c r="G162" t="s">
        <v>525</v>
      </c>
    </row>
    <row r="163" spans="1:7" x14ac:dyDescent="0.3">
      <c r="A163">
        <v>0</v>
      </c>
      <c r="B163" t="s">
        <v>312</v>
      </c>
      <c r="C163" t="s">
        <v>326</v>
      </c>
      <c r="D163" t="s">
        <v>2</v>
      </c>
      <c r="E163" t="s">
        <v>326</v>
      </c>
      <c r="F163" t="s">
        <v>13</v>
      </c>
      <c r="G163" t="s">
        <v>525</v>
      </c>
    </row>
    <row r="164" spans="1:7" x14ac:dyDescent="0.3">
      <c r="A164">
        <v>0</v>
      </c>
      <c r="B164" t="s">
        <v>319</v>
      </c>
      <c r="C164" t="s">
        <v>415</v>
      </c>
      <c r="D164" t="s">
        <v>2</v>
      </c>
      <c r="E164" t="s">
        <v>415</v>
      </c>
      <c r="F164" t="s">
        <v>13</v>
      </c>
      <c r="G164" t="s">
        <v>525</v>
      </c>
    </row>
    <row r="165" spans="1:7" x14ac:dyDescent="0.3">
      <c r="A165">
        <v>0</v>
      </c>
      <c r="B165" t="s">
        <v>314</v>
      </c>
      <c r="C165" t="s">
        <v>451</v>
      </c>
      <c r="D165" t="s">
        <v>2</v>
      </c>
      <c r="E165" t="s">
        <v>451</v>
      </c>
      <c r="F165" t="s">
        <v>13</v>
      </c>
      <c r="G165" t="s">
        <v>525</v>
      </c>
    </row>
    <row r="166" spans="1:7" x14ac:dyDescent="0.3">
      <c r="A166">
        <v>0</v>
      </c>
      <c r="B166" t="s">
        <v>314</v>
      </c>
      <c r="C166" t="s">
        <v>448</v>
      </c>
      <c r="D166" t="s">
        <v>2</v>
      </c>
      <c r="E166" t="s">
        <v>448</v>
      </c>
      <c r="F166" t="s">
        <v>13</v>
      </c>
      <c r="G166" t="s">
        <v>525</v>
      </c>
    </row>
    <row r="167" spans="1:7" x14ac:dyDescent="0.3">
      <c r="A167">
        <v>0</v>
      </c>
      <c r="B167" t="s">
        <v>312</v>
      </c>
      <c r="C167" t="s">
        <v>423</v>
      </c>
      <c r="D167" t="s">
        <v>2</v>
      </c>
      <c r="E167" t="s">
        <v>423</v>
      </c>
      <c r="F167" t="s">
        <v>13</v>
      </c>
      <c r="G167" t="s">
        <v>525</v>
      </c>
    </row>
    <row r="168" spans="1:7" x14ac:dyDescent="0.3">
      <c r="A168">
        <v>0</v>
      </c>
      <c r="B168" t="s">
        <v>319</v>
      </c>
      <c r="C168" t="s">
        <v>361</v>
      </c>
      <c r="D168" t="s">
        <v>2</v>
      </c>
      <c r="E168" t="s">
        <v>361</v>
      </c>
      <c r="F168" t="s">
        <v>13</v>
      </c>
      <c r="G168" t="s">
        <v>525</v>
      </c>
    </row>
    <row r="169" spans="1:7" x14ac:dyDescent="0.3">
      <c r="A169">
        <v>0</v>
      </c>
      <c r="B169" t="s">
        <v>314</v>
      </c>
      <c r="C169" t="s">
        <v>467</v>
      </c>
      <c r="D169" t="s">
        <v>2</v>
      </c>
      <c r="E169" t="s">
        <v>467</v>
      </c>
      <c r="F169" t="s">
        <v>13</v>
      </c>
      <c r="G169" t="s">
        <v>525</v>
      </c>
    </row>
    <row r="170" spans="1:7" x14ac:dyDescent="0.3">
      <c r="A170">
        <v>0</v>
      </c>
      <c r="B170" t="s">
        <v>319</v>
      </c>
      <c r="C170" t="s">
        <v>420</v>
      </c>
      <c r="D170" t="s">
        <v>2</v>
      </c>
      <c r="E170" t="s">
        <v>420</v>
      </c>
      <c r="F170" t="s">
        <v>13</v>
      </c>
      <c r="G170" t="s">
        <v>525</v>
      </c>
    </row>
    <row r="171" spans="1:7" x14ac:dyDescent="0.3">
      <c r="A171">
        <v>0</v>
      </c>
      <c r="B171" t="s">
        <v>314</v>
      </c>
      <c r="C171" t="s">
        <v>487</v>
      </c>
      <c r="D171" t="s">
        <v>2</v>
      </c>
      <c r="E171" t="s">
        <v>487</v>
      </c>
      <c r="F171" t="s">
        <v>13</v>
      </c>
      <c r="G171" t="s">
        <v>525</v>
      </c>
    </row>
    <row r="172" spans="1:7" x14ac:dyDescent="0.3">
      <c r="A172">
        <v>0</v>
      </c>
      <c r="B172" t="s">
        <v>312</v>
      </c>
      <c r="C172" t="s">
        <v>149</v>
      </c>
      <c r="D172" t="s">
        <v>2</v>
      </c>
      <c r="E172" t="s">
        <v>149</v>
      </c>
      <c r="F172" t="s">
        <v>13</v>
      </c>
      <c r="G172" t="s">
        <v>525</v>
      </c>
    </row>
    <row r="173" spans="1:7" x14ac:dyDescent="0.3">
      <c r="A173">
        <v>0</v>
      </c>
      <c r="B173" t="s">
        <v>314</v>
      </c>
      <c r="C173" t="s">
        <v>377</v>
      </c>
      <c r="D173" t="s">
        <v>2</v>
      </c>
      <c r="E173" t="s">
        <v>377</v>
      </c>
      <c r="F173" t="s">
        <v>13</v>
      </c>
      <c r="G173" t="s">
        <v>525</v>
      </c>
    </row>
    <row r="174" spans="1:7" x14ac:dyDescent="0.3">
      <c r="A174">
        <v>0</v>
      </c>
      <c r="B174" t="s">
        <v>312</v>
      </c>
      <c r="C174" t="s">
        <v>403</v>
      </c>
      <c r="D174" t="s">
        <v>2</v>
      </c>
      <c r="E174" t="s">
        <v>403</v>
      </c>
      <c r="F174" t="s">
        <v>13</v>
      </c>
      <c r="G174" t="s">
        <v>525</v>
      </c>
    </row>
    <row r="175" spans="1:7" x14ac:dyDescent="0.3">
      <c r="A175">
        <v>0</v>
      </c>
      <c r="B175" t="s">
        <v>312</v>
      </c>
      <c r="C175" t="s">
        <v>387</v>
      </c>
      <c r="D175" t="s">
        <v>2</v>
      </c>
      <c r="E175" t="s">
        <v>387</v>
      </c>
      <c r="F175" t="s">
        <v>13</v>
      </c>
      <c r="G175" t="s">
        <v>525</v>
      </c>
    </row>
    <row r="176" spans="1:7" x14ac:dyDescent="0.3">
      <c r="A176">
        <v>0</v>
      </c>
      <c r="B176" t="s">
        <v>312</v>
      </c>
      <c r="C176" t="s">
        <v>431</v>
      </c>
      <c r="D176" t="s">
        <v>2</v>
      </c>
      <c r="E176" t="s">
        <v>431</v>
      </c>
      <c r="F176" t="s">
        <v>13</v>
      </c>
      <c r="G176" t="s">
        <v>525</v>
      </c>
    </row>
    <row r="177" spans="1:7" x14ac:dyDescent="0.3">
      <c r="A177">
        <v>0</v>
      </c>
      <c r="B177" t="s">
        <v>319</v>
      </c>
      <c r="C177" t="s">
        <v>459</v>
      </c>
      <c r="D177" t="s">
        <v>2</v>
      </c>
      <c r="E177" t="s">
        <v>459</v>
      </c>
      <c r="F177" t="s">
        <v>13</v>
      </c>
      <c r="G177" t="s">
        <v>525</v>
      </c>
    </row>
    <row r="178" spans="1:7" x14ac:dyDescent="0.3">
      <c r="A178">
        <v>0</v>
      </c>
      <c r="B178" t="s">
        <v>314</v>
      </c>
      <c r="C178" t="s">
        <v>376</v>
      </c>
      <c r="D178" t="s">
        <v>2</v>
      </c>
      <c r="E178" t="s">
        <v>376</v>
      </c>
      <c r="F178" t="s">
        <v>13</v>
      </c>
      <c r="G178" t="s">
        <v>525</v>
      </c>
    </row>
    <row r="179" spans="1:7" x14ac:dyDescent="0.3">
      <c r="A179">
        <v>0</v>
      </c>
      <c r="B179" t="s">
        <v>312</v>
      </c>
      <c r="C179" t="s">
        <v>379</v>
      </c>
      <c r="D179" t="s">
        <v>2</v>
      </c>
      <c r="E179" t="s">
        <v>379</v>
      </c>
      <c r="F179" t="s">
        <v>13</v>
      </c>
      <c r="G179" t="s">
        <v>525</v>
      </c>
    </row>
    <row r="180" spans="1:7" x14ac:dyDescent="0.3">
      <c r="A180">
        <v>0</v>
      </c>
      <c r="B180" t="s">
        <v>314</v>
      </c>
      <c r="C180" t="s">
        <v>445</v>
      </c>
      <c r="D180" t="s">
        <v>2</v>
      </c>
      <c r="E180" t="s">
        <v>445</v>
      </c>
      <c r="F180" t="s">
        <v>13</v>
      </c>
      <c r="G180" t="s">
        <v>525</v>
      </c>
    </row>
    <row r="181" spans="1:7" x14ac:dyDescent="0.3">
      <c r="A181">
        <v>0</v>
      </c>
      <c r="B181" t="s">
        <v>319</v>
      </c>
      <c r="C181" t="s">
        <v>460</v>
      </c>
      <c r="D181" t="s">
        <v>2</v>
      </c>
      <c r="E181" t="s">
        <v>460</v>
      </c>
      <c r="F181" t="s">
        <v>13</v>
      </c>
      <c r="G181" t="s">
        <v>525</v>
      </c>
    </row>
    <row r="182" spans="1:7" x14ac:dyDescent="0.3">
      <c r="A182">
        <v>0</v>
      </c>
      <c r="B182" t="s">
        <v>314</v>
      </c>
      <c r="C182" t="s">
        <v>450</v>
      </c>
      <c r="D182" t="s">
        <v>2</v>
      </c>
      <c r="E182" t="s">
        <v>450</v>
      </c>
      <c r="F182" t="s">
        <v>13</v>
      </c>
      <c r="G182" t="s">
        <v>525</v>
      </c>
    </row>
    <row r="183" spans="1:7" x14ac:dyDescent="0.3">
      <c r="A183">
        <v>0</v>
      </c>
      <c r="B183" t="s">
        <v>312</v>
      </c>
      <c r="C183" t="s">
        <v>473</v>
      </c>
      <c r="D183" t="s">
        <v>2</v>
      </c>
      <c r="E183" t="s">
        <v>473</v>
      </c>
      <c r="F183" t="s">
        <v>13</v>
      </c>
      <c r="G183" t="s">
        <v>525</v>
      </c>
    </row>
    <row r="184" spans="1:7" x14ac:dyDescent="0.3">
      <c r="A184">
        <v>0</v>
      </c>
      <c r="B184" t="s">
        <v>314</v>
      </c>
      <c r="C184" t="s">
        <v>313</v>
      </c>
      <c r="D184" t="s">
        <v>2</v>
      </c>
      <c r="E184" t="s">
        <v>313</v>
      </c>
      <c r="F184" t="s">
        <v>13</v>
      </c>
      <c r="G184" t="s">
        <v>525</v>
      </c>
    </row>
    <row r="185" spans="1:7" x14ac:dyDescent="0.3">
      <c r="A185">
        <v>0</v>
      </c>
      <c r="B185" t="s">
        <v>312</v>
      </c>
      <c r="C185" t="s">
        <v>472</v>
      </c>
      <c r="D185" t="s">
        <v>2</v>
      </c>
      <c r="E185" t="s">
        <v>472</v>
      </c>
      <c r="F185" t="s">
        <v>13</v>
      </c>
      <c r="G185" t="s">
        <v>525</v>
      </c>
    </row>
    <row r="186" spans="1:7" x14ac:dyDescent="0.3">
      <c r="A186">
        <v>0</v>
      </c>
      <c r="B186" t="s">
        <v>312</v>
      </c>
      <c r="C186" t="s">
        <v>402</v>
      </c>
      <c r="D186" t="s">
        <v>2</v>
      </c>
      <c r="E186" t="s">
        <v>402</v>
      </c>
      <c r="F186" t="s">
        <v>13</v>
      </c>
      <c r="G186" t="s">
        <v>525</v>
      </c>
    </row>
    <row r="187" spans="1:7" x14ac:dyDescent="0.3">
      <c r="A187">
        <v>0</v>
      </c>
      <c r="B187" t="s">
        <v>314</v>
      </c>
      <c r="C187" t="s">
        <v>455</v>
      </c>
      <c r="D187" t="s">
        <v>2</v>
      </c>
      <c r="E187" t="s">
        <v>455</v>
      </c>
      <c r="F187" t="s">
        <v>13</v>
      </c>
      <c r="G187" t="s">
        <v>525</v>
      </c>
    </row>
    <row r="188" spans="1:7" x14ac:dyDescent="0.3">
      <c r="A188">
        <v>0</v>
      </c>
      <c r="B188" t="s">
        <v>312</v>
      </c>
      <c r="C188" t="s">
        <v>411</v>
      </c>
      <c r="D188" t="s">
        <v>2</v>
      </c>
      <c r="E188" t="s">
        <v>411</v>
      </c>
      <c r="F188" t="s">
        <v>13</v>
      </c>
      <c r="G188" t="s">
        <v>525</v>
      </c>
    </row>
    <row r="189" spans="1:7" x14ac:dyDescent="0.3">
      <c r="A189">
        <v>0</v>
      </c>
      <c r="B189" t="s">
        <v>312</v>
      </c>
      <c r="C189" t="s">
        <v>488</v>
      </c>
      <c r="D189" t="s">
        <v>2</v>
      </c>
      <c r="E189" t="s">
        <v>488</v>
      </c>
      <c r="F189" t="s">
        <v>13</v>
      </c>
      <c r="G189" t="s">
        <v>525</v>
      </c>
    </row>
    <row r="190" spans="1:7" x14ac:dyDescent="0.3">
      <c r="A190">
        <v>0</v>
      </c>
      <c r="B190" t="s">
        <v>319</v>
      </c>
      <c r="C190" t="s">
        <v>462</v>
      </c>
      <c r="D190" t="s">
        <v>2</v>
      </c>
      <c r="E190" t="s">
        <v>462</v>
      </c>
      <c r="F190" t="s">
        <v>13</v>
      </c>
      <c r="G190" t="s">
        <v>525</v>
      </c>
    </row>
    <row r="191" spans="1:7" x14ac:dyDescent="0.3">
      <c r="A191">
        <v>0</v>
      </c>
      <c r="B191" t="s">
        <v>312</v>
      </c>
      <c r="C191" t="s">
        <v>246</v>
      </c>
      <c r="D191" t="s">
        <v>2</v>
      </c>
      <c r="E191" t="s">
        <v>246</v>
      </c>
      <c r="F191" t="s">
        <v>13</v>
      </c>
      <c r="G191" t="s">
        <v>525</v>
      </c>
    </row>
    <row r="192" spans="1:7" x14ac:dyDescent="0.3">
      <c r="A192">
        <v>0</v>
      </c>
      <c r="B192" t="s">
        <v>312</v>
      </c>
      <c r="C192" t="s">
        <v>357</v>
      </c>
      <c r="D192" t="s">
        <v>2</v>
      </c>
      <c r="E192" t="s">
        <v>357</v>
      </c>
      <c r="F192" t="s">
        <v>13</v>
      </c>
      <c r="G192" t="s">
        <v>525</v>
      </c>
    </row>
    <row r="193" spans="1:7" x14ac:dyDescent="0.3">
      <c r="A193">
        <v>0</v>
      </c>
      <c r="B193" t="s">
        <v>314</v>
      </c>
      <c r="C193" t="s">
        <v>341</v>
      </c>
      <c r="D193" t="s">
        <v>2</v>
      </c>
      <c r="E193" t="s">
        <v>341</v>
      </c>
      <c r="F193" t="s">
        <v>13</v>
      </c>
      <c r="G193" t="s">
        <v>525</v>
      </c>
    </row>
    <row r="194" spans="1:7" x14ac:dyDescent="0.3">
      <c r="A194">
        <v>0</v>
      </c>
      <c r="B194" t="s">
        <v>319</v>
      </c>
      <c r="C194" t="s">
        <v>466</v>
      </c>
      <c r="D194" t="s">
        <v>2</v>
      </c>
      <c r="E194" t="s">
        <v>466</v>
      </c>
      <c r="F194" t="s">
        <v>13</v>
      </c>
      <c r="G194" t="s">
        <v>525</v>
      </c>
    </row>
    <row r="195" spans="1:7" x14ac:dyDescent="0.3">
      <c r="A195">
        <v>0</v>
      </c>
      <c r="B195" t="s">
        <v>319</v>
      </c>
      <c r="C195" t="s">
        <v>362</v>
      </c>
      <c r="D195" t="s">
        <v>2</v>
      </c>
      <c r="E195" t="s">
        <v>362</v>
      </c>
      <c r="F195" t="s">
        <v>13</v>
      </c>
      <c r="G195" t="s">
        <v>525</v>
      </c>
    </row>
    <row r="196" spans="1:7" x14ac:dyDescent="0.3">
      <c r="A196">
        <v>0</v>
      </c>
      <c r="B196" t="s">
        <v>312</v>
      </c>
      <c r="C196" t="s">
        <v>433</v>
      </c>
      <c r="D196" t="s">
        <v>2</v>
      </c>
      <c r="E196" t="s">
        <v>433</v>
      </c>
      <c r="F196" t="s">
        <v>13</v>
      </c>
      <c r="G196" t="s">
        <v>525</v>
      </c>
    </row>
    <row r="197" spans="1:7" x14ac:dyDescent="0.3">
      <c r="A197">
        <v>0</v>
      </c>
      <c r="B197" t="s">
        <v>312</v>
      </c>
      <c r="C197" t="s">
        <v>397</v>
      </c>
      <c r="D197" t="s">
        <v>2</v>
      </c>
      <c r="E197" t="s">
        <v>397</v>
      </c>
      <c r="F197" t="s">
        <v>13</v>
      </c>
      <c r="G197" t="s">
        <v>525</v>
      </c>
    </row>
    <row r="198" spans="1:7" x14ac:dyDescent="0.3">
      <c r="A198">
        <v>0</v>
      </c>
      <c r="B198" t="s">
        <v>319</v>
      </c>
      <c r="C198" t="s">
        <v>378</v>
      </c>
      <c r="D198" t="s">
        <v>2</v>
      </c>
      <c r="E198" t="s">
        <v>378</v>
      </c>
      <c r="F198" t="s">
        <v>13</v>
      </c>
      <c r="G198" t="s">
        <v>525</v>
      </c>
    </row>
    <row r="199" spans="1:7" x14ac:dyDescent="0.3">
      <c r="A199">
        <v>0</v>
      </c>
      <c r="B199" t="s">
        <v>105</v>
      </c>
      <c r="C199" t="s">
        <v>117</v>
      </c>
      <c r="D199" t="s">
        <v>2</v>
      </c>
      <c r="E199" t="s">
        <v>117</v>
      </c>
      <c r="F199" t="s">
        <v>13</v>
      </c>
      <c r="G199" t="s">
        <v>525</v>
      </c>
    </row>
    <row r="200" spans="1:7" x14ac:dyDescent="0.3">
      <c r="A200">
        <v>0</v>
      </c>
      <c r="B200" t="s">
        <v>312</v>
      </c>
      <c r="C200" t="s">
        <v>476</v>
      </c>
      <c r="D200" t="s">
        <v>2</v>
      </c>
      <c r="E200" t="s">
        <v>476</v>
      </c>
      <c r="F200" t="s">
        <v>13</v>
      </c>
      <c r="G200" t="s">
        <v>525</v>
      </c>
    </row>
    <row r="201" spans="1:7" x14ac:dyDescent="0.3">
      <c r="A201">
        <v>0</v>
      </c>
      <c r="B201" t="s">
        <v>319</v>
      </c>
      <c r="C201" t="s">
        <v>478</v>
      </c>
      <c r="D201" t="s">
        <v>2</v>
      </c>
      <c r="E201" t="s">
        <v>478</v>
      </c>
      <c r="F201" t="s">
        <v>13</v>
      </c>
      <c r="G201" t="s">
        <v>525</v>
      </c>
    </row>
    <row r="202" spans="1:7" x14ac:dyDescent="0.3">
      <c r="A202">
        <v>0</v>
      </c>
      <c r="B202" t="s">
        <v>312</v>
      </c>
      <c r="C202" t="s">
        <v>367</v>
      </c>
      <c r="D202" t="s">
        <v>2</v>
      </c>
      <c r="E202" t="s">
        <v>367</v>
      </c>
      <c r="F202" t="s">
        <v>13</v>
      </c>
      <c r="G202" t="s">
        <v>525</v>
      </c>
    </row>
    <row r="203" spans="1:7" x14ac:dyDescent="0.3">
      <c r="A203">
        <v>0</v>
      </c>
      <c r="B203" t="s">
        <v>312</v>
      </c>
      <c r="C203" t="s">
        <v>346</v>
      </c>
      <c r="D203" t="s">
        <v>2</v>
      </c>
      <c r="E203" t="s">
        <v>346</v>
      </c>
      <c r="F203" t="s">
        <v>13</v>
      </c>
      <c r="G203" t="s">
        <v>525</v>
      </c>
    </row>
    <row r="204" spans="1:7" x14ac:dyDescent="0.3">
      <c r="A204">
        <v>0</v>
      </c>
      <c r="B204" t="s">
        <v>105</v>
      </c>
      <c r="C204" t="s">
        <v>119</v>
      </c>
      <c r="D204" t="s">
        <v>2</v>
      </c>
      <c r="E204" t="s">
        <v>119</v>
      </c>
      <c r="F204" t="s">
        <v>13</v>
      </c>
      <c r="G204" t="s">
        <v>525</v>
      </c>
    </row>
    <row r="205" spans="1:7" x14ac:dyDescent="0.3">
      <c r="A205">
        <v>0</v>
      </c>
      <c r="B205" t="s">
        <v>312</v>
      </c>
      <c r="C205" t="s">
        <v>385</v>
      </c>
      <c r="D205" t="s">
        <v>2</v>
      </c>
      <c r="E205" t="s">
        <v>385</v>
      </c>
      <c r="F205" t="s">
        <v>13</v>
      </c>
      <c r="G205" t="s">
        <v>525</v>
      </c>
    </row>
    <row r="206" spans="1:7" x14ac:dyDescent="0.3">
      <c r="A206">
        <v>0</v>
      </c>
      <c r="B206" t="s">
        <v>57</v>
      </c>
      <c r="C206" t="s">
        <v>120</v>
      </c>
      <c r="D206" t="s">
        <v>2</v>
      </c>
      <c r="E206" t="s">
        <v>120</v>
      </c>
      <c r="F206" t="s">
        <v>13</v>
      </c>
      <c r="G206" t="s">
        <v>525</v>
      </c>
    </row>
    <row r="207" spans="1:7" x14ac:dyDescent="0.3">
      <c r="A207">
        <v>0</v>
      </c>
      <c r="B207" t="s">
        <v>312</v>
      </c>
      <c r="C207" t="s">
        <v>324</v>
      </c>
      <c r="D207" t="s">
        <v>2</v>
      </c>
      <c r="E207" t="s">
        <v>324</v>
      </c>
      <c r="F207" t="s">
        <v>13</v>
      </c>
      <c r="G207" t="s">
        <v>525</v>
      </c>
    </row>
    <row r="208" spans="1:7" x14ac:dyDescent="0.3">
      <c r="A208">
        <v>0</v>
      </c>
      <c r="B208" t="s">
        <v>312</v>
      </c>
      <c r="C208" t="s">
        <v>327</v>
      </c>
      <c r="D208" t="s">
        <v>2</v>
      </c>
      <c r="E208" t="s">
        <v>327</v>
      </c>
      <c r="F208" t="s">
        <v>13</v>
      </c>
      <c r="G208" t="s">
        <v>525</v>
      </c>
    </row>
    <row r="209" spans="1:7" x14ac:dyDescent="0.3">
      <c r="A209">
        <v>0</v>
      </c>
      <c r="B209" t="s">
        <v>314</v>
      </c>
      <c r="C209" t="s">
        <v>441</v>
      </c>
      <c r="D209" t="s">
        <v>2</v>
      </c>
      <c r="E209" t="s">
        <v>441</v>
      </c>
      <c r="F209" t="s">
        <v>13</v>
      </c>
      <c r="G209" t="s">
        <v>525</v>
      </c>
    </row>
    <row r="210" spans="1:7" x14ac:dyDescent="0.3">
      <c r="A210">
        <v>0</v>
      </c>
      <c r="B210" t="s">
        <v>105</v>
      </c>
      <c r="C210" t="s">
        <v>115</v>
      </c>
      <c r="D210" t="s">
        <v>2</v>
      </c>
      <c r="E210" t="s">
        <v>115</v>
      </c>
      <c r="F210" t="s">
        <v>13</v>
      </c>
      <c r="G210" t="s">
        <v>525</v>
      </c>
    </row>
    <row r="211" spans="1:7" x14ac:dyDescent="0.3">
      <c r="A211">
        <v>0</v>
      </c>
      <c r="B211" t="s">
        <v>312</v>
      </c>
      <c r="C211" t="s">
        <v>484</v>
      </c>
      <c r="D211" t="s">
        <v>2</v>
      </c>
      <c r="E211" t="s">
        <v>484</v>
      </c>
      <c r="F211" t="s">
        <v>13</v>
      </c>
      <c r="G211" t="s">
        <v>525</v>
      </c>
    </row>
    <row r="212" spans="1:7" x14ac:dyDescent="0.3">
      <c r="A212">
        <v>0</v>
      </c>
      <c r="B212" t="s">
        <v>312</v>
      </c>
      <c r="C212" t="s">
        <v>311</v>
      </c>
      <c r="D212" t="s">
        <v>2</v>
      </c>
      <c r="E212" t="s">
        <v>311</v>
      </c>
      <c r="F212" t="s">
        <v>13</v>
      </c>
      <c r="G212" t="s">
        <v>525</v>
      </c>
    </row>
    <row r="213" spans="1:7" x14ac:dyDescent="0.3">
      <c r="A213">
        <v>0</v>
      </c>
      <c r="B213" t="s">
        <v>312</v>
      </c>
      <c r="C213" t="s">
        <v>365</v>
      </c>
      <c r="D213" t="s">
        <v>2</v>
      </c>
      <c r="E213" t="s">
        <v>365</v>
      </c>
      <c r="F213" t="s">
        <v>13</v>
      </c>
      <c r="G213" t="s">
        <v>525</v>
      </c>
    </row>
    <row r="214" spans="1:7" x14ac:dyDescent="0.3">
      <c r="A214">
        <v>0</v>
      </c>
      <c r="B214" t="s">
        <v>314</v>
      </c>
      <c r="C214" t="s">
        <v>350</v>
      </c>
      <c r="D214" t="s">
        <v>2</v>
      </c>
      <c r="E214" t="s">
        <v>350</v>
      </c>
      <c r="F214" t="s">
        <v>13</v>
      </c>
      <c r="G214" t="s">
        <v>525</v>
      </c>
    </row>
    <row r="215" spans="1:7" x14ac:dyDescent="0.3">
      <c r="A215">
        <v>0</v>
      </c>
      <c r="B215" t="s">
        <v>105</v>
      </c>
      <c r="C215" t="s">
        <v>123</v>
      </c>
      <c r="D215" t="s">
        <v>2</v>
      </c>
      <c r="E215" t="s">
        <v>123</v>
      </c>
      <c r="F215" t="s">
        <v>13</v>
      </c>
      <c r="G215" t="s">
        <v>525</v>
      </c>
    </row>
    <row r="216" spans="1:7" x14ac:dyDescent="0.3">
      <c r="A216">
        <v>0</v>
      </c>
      <c r="B216" t="s">
        <v>312</v>
      </c>
      <c r="C216" t="s">
        <v>396</v>
      </c>
      <c r="D216" t="s">
        <v>2</v>
      </c>
      <c r="E216" t="s">
        <v>396</v>
      </c>
      <c r="F216" t="s">
        <v>13</v>
      </c>
      <c r="G216" t="s">
        <v>525</v>
      </c>
    </row>
    <row r="217" spans="1:7" x14ac:dyDescent="0.3">
      <c r="A217">
        <v>0</v>
      </c>
      <c r="B217" t="s">
        <v>312</v>
      </c>
      <c r="C217" t="s">
        <v>428</v>
      </c>
      <c r="D217" t="s">
        <v>2</v>
      </c>
      <c r="E217" t="s">
        <v>428</v>
      </c>
      <c r="F217" t="s">
        <v>13</v>
      </c>
      <c r="G217" t="s">
        <v>525</v>
      </c>
    </row>
    <row r="218" spans="1:7" x14ac:dyDescent="0.3">
      <c r="A218">
        <v>0</v>
      </c>
      <c r="B218" t="s">
        <v>312</v>
      </c>
      <c r="C218" t="s">
        <v>383</v>
      </c>
      <c r="D218" t="s">
        <v>2</v>
      </c>
      <c r="E218" t="s">
        <v>383</v>
      </c>
      <c r="F218" t="s">
        <v>13</v>
      </c>
      <c r="G218" t="s">
        <v>525</v>
      </c>
    </row>
    <row r="219" spans="1:7" x14ac:dyDescent="0.3">
      <c r="A219">
        <v>0</v>
      </c>
      <c r="B219" t="s">
        <v>312</v>
      </c>
      <c r="C219" t="s">
        <v>426</v>
      </c>
      <c r="D219" t="s">
        <v>2</v>
      </c>
      <c r="E219" t="s">
        <v>426</v>
      </c>
      <c r="F219" t="s">
        <v>13</v>
      </c>
      <c r="G219" t="s">
        <v>525</v>
      </c>
    </row>
    <row r="220" spans="1:7" x14ac:dyDescent="0.3">
      <c r="A220">
        <v>0</v>
      </c>
      <c r="B220" t="s">
        <v>312</v>
      </c>
      <c r="C220" t="s">
        <v>437</v>
      </c>
      <c r="D220" t="s">
        <v>2</v>
      </c>
      <c r="E220" t="s">
        <v>437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454</v>
      </c>
      <c r="D221" t="s">
        <v>2</v>
      </c>
      <c r="E221" t="s">
        <v>454</v>
      </c>
      <c r="F221" t="s">
        <v>13</v>
      </c>
      <c r="G221" t="s">
        <v>525</v>
      </c>
    </row>
    <row r="222" spans="1:7" x14ac:dyDescent="0.3">
      <c r="A222">
        <v>0</v>
      </c>
      <c r="B222" t="s">
        <v>312</v>
      </c>
      <c r="C222" t="s">
        <v>425</v>
      </c>
      <c r="D222" t="s">
        <v>2</v>
      </c>
      <c r="E222" t="s">
        <v>425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344</v>
      </c>
      <c r="D223" t="s">
        <v>2</v>
      </c>
      <c r="E223" t="s">
        <v>344</v>
      </c>
      <c r="F223" t="s">
        <v>13</v>
      </c>
      <c r="G223" t="s">
        <v>525</v>
      </c>
    </row>
    <row r="224" spans="1:7" x14ac:dyDescent="0.3">
      <c r="A224">
        <v>0</v>
      </c>
      <c r="B224" t="s">
        <v>312</v>
      </c>
      <c r="C224" t="s">
        <v>407</v>
      </c>
      <c r="D224" t="s">
        <v>2</v>
      </c>
      <c r="E224" t="s">
        <v>407</v>
      </c>
      <c r="F224" t="s">
        <v>13</v>
      </c>
      <c r="G224" t="s">
        <v>525</v>
      </c>
    </row>
    <row r="225" spans="1:7" x14ac:dyDescent="0.3">
      <c r="A225">
        <v>0</v>
      </c>
      <c r="B225" t="s">
        <v>314</v>
      </c>
      <c r="C225" t="s">
        <v>413</v>
      </c>
      <c r="D225" t="s">
        <v>2</v>
      </c>
      <c r="E225" t="s">
        <v>413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392</v>
      </c>
      <c r="D226" t="s">
        <v>2</v>
      </c>
      <c r="E226" t="s">
        <v>392</v>
      </c>
      <c r="F226" t="s">
        <v>13</v>
      </c>
      <c r="G226" t="s">
        <v>525</v>
      </c>
    </row>
    <row r="227" spans="1:7" x14ac:dyDescent="0.3">
      <c r="A227">
        <v>0</v>
      </c>
      <c r="B227" t="s">
        <v>319</v>
      </c>
      <c r="C227" t="s">
        <v>422</v>
      </c>
      <c r="D227" t="s">
        <v>2</v>
      </c>
      <c r="E227" t="s">
        <v>422</v>
      </c>
      <c r="F227" t="s">
        <v>13</v>
      </c>
      <c r="G227" t="s">
        <v>525</v>
      </c>
    </row>
    <row r="228" spans="1:7" x14ac:dyDescent="0.3">
      <c r="A228">
        <v>0</v>
      </c>
      <c r="B228" t="s">
        <v>314</v>
      </c>
      <c r="C228" t="s">
        <v>495</v>
      </c>
      <c r="D228" t="s">
        <v>494</v>
      </c>
      <c r="E228" t="s">
        <v>495</v>
      </c>
      <c r="F228" t="s">
        <v>13</v>
      </c>
      <c r="G228" t="s">
        <v>525</v>
      </c>
    </row>
    <row r="229" spans="1:7" x14ac:dyDescent="0.3">
      <c r="A229">
        <v>0</v>
      </c>
      <c r="B229" t="s">
        <v>314</v>
      </c>
      <c r="C229" t="s">
        <v>497</v>
      </c>
      <c r="D229" t="s">
        <v>494</v>
      </c>
      <c r="E229" t="s">
        <v>497</v>
      </c>
      <c r="F229" t="s">
        <v>13</v>
      </c>
      <c r="G229" t="s">
        <v>525</v>
      </c>
    </row>
    <row r="230" spans="1:7" x14ac:dyDescent="0.3">
      <c r="A230">
        <v>0</v>
      </c>
      <c r="B230" t="s">
        <v>314</v>
      </c>
      <c r="C230" t="s">
        <v>496</v>
      </c>
      <c r="D230" t="s">
        <v>494</v>
      </c>
      <c r="E230" t="s">
        <v>496</v>
      </c>
      <c r="F230" t="s">
        <v>13</v>
      </c>
      <c r="G230" t="s">
        <v>525</v>
      </c>
    </row>
    <row r="231" spans="1:7" x14ac:dyDescent="0.3">
      <c r="A231">
        <v>0</v>
      </c>
      <c r="B231" t="s">
        <v>312</v>
      </c>
      <c r="C231" t="s">
        <v>513</v>
      </c>
      <c r="D231" t="s">
        <v>498</v>
      </c>
      <c r="E231" t="s">
        <v>513</v>
      </c>
      <c r="F231" t="s">
        <v>13</v>
      </c>
      <c r="G231" t="s">
        <v>525</v>
      </c>
    </row>
    <row r="232" spans="1:7" x14ac:dyDescent="0.3">
      <c r="A232">
        <v>0</v>
      </c>
      <c r="B232" t="s">
        <v>312</v>
      </c>
      <c r="C232" t="s">
        <v>515</v>
      </c>
      <c r="D232" t="s">
        <v>498</v>
      </c>
      <c r="E232" t="s">
        <v>515</v>
      </c>
      <c r="F232" t="s">
        <v>13</v>
      </c>
      <c r="G232" t="s">
        <v>525</v>
      </c>
    </row>
    <row r="233" spans="1:7" x14ac:dyDescent="0.3">
      <c r="A233">
        <v>0</v>
      </c>
      <c r="B233" t="s">
        <v>312</v>
      </c>
      <c r="C233" t="s">
        <v>509</v>
      </c>
      <c r="D233" t="s">
        <v>498</v>
      </c>
      <c r="E233" t="s">
        <v>509</v>
      </c>
      <c r="F233" t="s">
        <v>13</v>
      </c>
      <c r="G233" t="s">
        <v>525</v>
      </c>
    </row>
    <row r="234" spans="1:7" x14ac:dyDescent="0.3">
      <c r="A234">
        <v>0</v>
      </c>
      <c r="B234" t="s">
        <v>312</v>
      </c>
      <c r="C234" t="s">
        <v>502</v>
      </c>
      <c r="D234" t="s">
        <v>498</v>
      </c>
      <c r="E234" t="s">
        <v>502</v>
      </c>
      <c r="F234" t="s">
        <v>13</v>
      </c>
      <c r="G234" t="s">
        <v>525</v>
      </c>
    </row>
    <row r="235" spans="1:7" x14ac:dyDescent="0.3">
      <c r="A235">
        <v>0</v>
      </c>
      <c r="B235" t="s">
        <v>312</v>
      </c>
      <c r="C235" t="s">
        <v>500</v>
      </c>
      <c r="D235" t="s">
        <v>498</v>
      </c>
      <c r="E235" t="s">
        <v>500</v>
      </c>
      <c r="F235" t="s">
        <v>13</v>
      </c>
      <c r="G235" t="s">
        <v>525</v>
      </c>
    </row>
    <row r="236" spans="1:7" x14ac:dyDescent="0.3">
      <c r="A236">
        <v>0</v>
      </c>
      <c r="B236" t="s">
        <v>507</v>
      </c>
      <c r="C236" t="s">
        <v>506</v>
      </c>
      <c r="D236" t="s">
        <v>498</v>
      </c>
      <c r="E236" t="s">
        <v>506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514</v>
      </c>
      <c r="D237" t="s">
        <v>498</v>
      </c>
      <c r="E237" t="s">
        <v>514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499</v>
      </c>
      <c r="D238" t="s">
        <v>498</v>
      </c>
      <c r="E238" t="s">
        <v>499</v>
      </c>
      <c r="F238" t="s">
        <v>13</v>
      </c>
      <c r="G238" t="s">
        <v>525</v>
      </c>
    </row>
    <row r="239" spans="1:7" x14ac:dyDescent="0.3">
      <c r="A239">
        <v>0</v>
      </c>
      <c r="B239" t="s">
        <v>312</v>
      </c>
      <c r="C239" t="s">
        <v>508</v>
      </c>
      <c r="D239" t="s">
        <v>498</v>
      </c>
      <c r="E239" t="s">
        <v>508</v>
      </c>
      <c r="F239" t="s">
        <v>13</v>
      </c>
      <c r="G239" t="s">
        <v>525</v>
      </c>
    </row>
    <row r="240" spans="1:7" x14ac:dyDescent="0.3">
      <c r="A240">
        <v>0</v>
      </c>
      <c r="B240" t="s">
        <v>312</v>
      </c>
      <c r="C240" t="s">
        <v>519</v>
      </c>
      <c r="D240" t="s">
        <v>498</v>
      </c>
      <c r="E240" t="s">
        <v>519</v>
      </c>
      <c r="F240" t="s">
        <v>13</v>
      </c>
      <c r="G240" t="s">
        <v>525</v>
      </c>
    </row>
    <row r="241" spans="1:7" x14ac:dyDescent="0.3">
      <c r="A241">
        <v>0</v>
      </c>
      <c r="B241" t="s">
        <v>312</v>
      </c>
      <c r="C241" t="s">
        <v>510</v>
      </c>
      <c r="D241" t="s">
        <v>498</v>
      </c>
      <c r="E241" t="s">
        <v>510</v>
      </c>
      <c r="F241" t="s">
        <v>13</v>
      </c>
      <c r="G241" t="s">
        <v>525</v>
      </c>
    </row>
    <row r="242" spans="1:7" x14ac:dyDescent="0.3">
      <c r="A242">
        <v>0</v>
      </c>
      <c r="B242" t="s">
        <v>312</v>
      </c>
      <c r="C242" t="s">
        <v>521</v>
      </c>
      <c r="D242" t="s">
        <v>498</v>
      </c>
      <c r="E242" t="s">
        <v>521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501</v>
      </c>
      <c r="D243" t="s">
        <v>498</v>
      </c>
      <c r="E243" t="s">
        <v>501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504</v>
      </c>
      <c r="D244" t="s">
        <v>498</v>
      </c>
      <c r="E244" t="s">
        <v>504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t="s">
        <v>520</v>
      </c>
      <c r="D245" t="s">
        <v>498</v>
      </c>
      <c r="E245" t="s">
        <v>520</v>
      </c>
      <c r="F245" t="s">
        <v>13</v>
      </c>
      <c r="G245" t="s">
        <v>525</v>
      </c>
    </row>
    <row r="246" spans="1:7" x14ac:dyDescent="0.3">
      <c r="A246">
        <v>0</v>
      </c>
      <c r="B246" t="s">
        <v>312</v>
      </c>
      <c r="C246" t="s">
        <v>523</v>
      </c>
      <c r="D246" t="s">
        <v>498</v>
      </c>
      <c r="E246" t="s">
        <v>523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503</v>
      </c>
      <c r="D247" t="s">
        <v>498</v>
      </c>
      <c r="E247" t="s">
        <v>503</v>
      </c>
      <c r="F247" t="s">
        <v>13</v>
      </c>
      <c r="G247" t="s">
        <v>525</v>
      </c>
    </row>
    <row r="248" spans="1:7" x14ac:dyDescent="0.3">
      <c r="A248">
        <v>0</v>
      </c>
      <c r="B248" t="s">
        <v>312</v>
      </c>
      <c r="C248" t="s">
        <v>512</v>
      </c>
      <c r="D248" t="s">
        <v>498</v>
      </c>
      <c r="E248" t="s">
        <v>512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505</v>
      </c>
      <c r="D249" t="s">
        <v>498</v>
      </c>
      <c r="E249" t="s">
        <v>505</v>
      </c>
      <c r="F249" t="s">
        <v>13</v>
      </c>
      <c r="G249" t="s">
        <v>525</v>
      </c>
    </row>
    <row r="250" spans="1:7" x14ac:dyDescent="0.3">
      <c r="A250">
        <v>0</v>
      </c>
      <c r="B250" t="s">
        <v>312</v>
      </c>
      <c r="C250" t="s">
        <v>518</v>
      </c>
      <c r="D250" t="s">
        <v>498</v>
      </c>
      <c r="E250" t="s">
        <v>518</v>
      </c>
      <c r="F250" t="s">
        <v>13</v>
      </c>
      <c r="G250" t="s">
        <v>525</v>
      </c>
    </row>
    <row r="251" spans="1:7" x14ac:dyDescent="0.3">
      <c r="A251">
        <v>0</v>
      </c>
      <c r="B251" t="s">
        <v>312</v>
      </c>
      <c r="C251" t="s">
        <v>522</v>
      </c>
      <c r="D251" t="s">
        <v>498</v>
      </c>
      <c r="E251" t="s">
        <v>522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516</v>
      </c>
      <c r="D252" t="s">
        <v>498</v>
      </c>
      <c r="E252" t="s">
        <v>516</v>
      </c>
      <c r="F252" t="s">
        <v>13</v>
      </c>
      <c r="G252" t="s">
        <v>525</v>
      </c>
    </row>
    <row r="253" spans="1:7" x14ac:dyDescent="0.3">
      <c r="A253">
        <v>0</v>
      </c>
      <c r="B253" t="s">
        <v>312</v>
      </c>
      <c r="C253" t="s">
        <v>517</v>
      </c>
      <c r="D253" t="s">
        <v>498</v>
      </c>
      <c r="E253" t="s">
        <v>517</v>
      </c>
      <c r="F253" t="s">
        <v>13</v>
      </c>
      <c r="G253" t="s">
        <v>525</v>
      </c>
    </row>
    <row r="254" spans="1:7" x14ac:dyDescent="0.3">
      <c r="A254">
        <v>0</v>
      </c>
      <c r="B254" t="s">
        <v>16</v>
      </c>
      <c r="C254" s="2" t="s">
        <v>22</v>
      </c>
      <c r="D254" t="s">
        <v>2</v>
      </c>
      <c r="E254" s="2" t="s">
        <v>22</v>
      </c>
      <c r="F254" t="s">
        <v>13</v>
      </c>
      <c r="G254" t="s">
        <v>525</v>
      </c>
    </row>
    <row r="255" spans="1:7" x14ac:dyDescent="0.3">
      <c r="A255">
        <v>0</v>
      </c>
      <c r="B255" t="s">
        <v>16</v>
      </c>
      <c r="C255" s="2" t="s">
        <v>49</v>
      </c>
      <c r="D255" t="s">
        <v>2</v>
      </c>
      <c r="E255" s="2" t="s">
        <v>49</v>
      </c>
      <c r="F255" t="s">
        <v>13</v>
      </c>
      <c r="G255" t="s">
        <v>525</v>
      </c>
    </row>
    <row r="256" spans="1:7" x14ac:dyDescent="0.3">
      <c r="A256">
        <v>0</v>
      </c>
      <c r="B256" t="s">
        <v>312</v>
      </c>
      <c r="C256" s="2" t="s">
        <v>55</v>
      </c>
      <c r="D256" t="s">
        <v>2</v>
      </c>
      <c r="E256" s="2" t="s">
        <v>55</v>
      </c>
      <c r="F256" t="s">
        <v>13</v>
      </c>
      <c r="G256" t="s">
        <v>525</v>
      </c>
    </row>
    <row r="257" spans="1:7" x14ac:dyDescent="0.3">
      <c r="A257">
        <v>0</v>
      </c>
      <c r="B257" t="s">
        <v>312</v>
      </c>
      <c r="C257" t="s">
        <v>59</v>
      </c>
      <c r="D257" t="s">
        <v>2</v>
      </c>
      <c r="E257" t="s">
        <v>59</v>
      </c>
      <c r="F257" t="s">
        <v>13</v>
      </c>
      <c r="G257" t="s">
        <v>525</v>
      </c>
    </row>
    <row r="258" spans="1:7" x14ac:dyDescent="0.3">
      <c r="A258">
        <v>0</v>
      </c>
      <c r="B258" t="s">
        <v>16</v>
      </c>
      <c r="C258" s="2" t="s">
        <v>61</v>
      </c>
      <c r="D258" t="s">
        <v>2</v>
      </c>
      <c r="E258" s="2" t="s">
        <v>61</v>
      </c>
      <c r="F258" t="s">
        <v>13</v>
      </c>
      <c r="G258" t="s">
        <v>525</v>
      </c>
    </row>
    <row r="259" spans="1:7" x14ac:dyDescent="0.3">
      <c r="A259">
        <v>0</v>
      </c>
      <c r="B259" t="s">
        <v>312</v>
      </c>
      <c r="C259" s="2" t="s">
        <v>67</v>
      </c>
      <c r="D259" t="s">
        <v>2</v>
      </c>
      <c r="E259" s="2" t="s">
        <v>67</v>
      </c>
      <c r="F259" t="s">
        <v>13</v>
      </c>
      <c r="G259" t="s">
        <v>525</v>
      </c>
    </row>
    <row r="260" spans="1:7" x14ac:dyDescent="0.3">
      <c r="A260">
        <v>0</v>
      </c>
      <c r="B260" t="s">
        <v>312</v>
      </c>
      <c r="C260" t="s">
        <v>73</v>
      </c>
      <c r="D260" t="s">
        <v>2</v>
      </c>
      <c r="E260" t="s">
        <v>73</v>
      </c>
      <c r="F260" t="s">
        <v>13</v>
      </c>
      <c r="G260" t="s">
        <v>525</v>
      </c>
    </row>
    <row r="261" spans="1:7" x14ac:dyDescent="0.3">
      <c r="A261">
        <v>0</v>
      </c>
      <c r="B261" t="s">
        <v>312</v>
      </c>
      <c r="C261" t="s">
        <v>79</v>
      </c>
      <c r="D261" t="s">
        <v>2</v>
      </c>
      <c r="E261" t="s">
        <v>79</v>
      </c>
      <c r="F261" t="s">
        <v>13</v>
      </c>
      <c r="G261" t="s">
        <v>525</v>
      </c>
    </row>
    <row r="262" spans="1:7" x14ac:dyDescent="0.3">
      <c r="A262">
        <v>0</v>
      </c>
      <c r="B262" t="s">
        <v>312</v>
      </c>
      <c r="C262" t="s">
        <v>82</v>
      </c>
      <c r="D262" t="s">
        <v>2</v>
      </c>
      <c r="E262" t="s">
        <v>82</v>
      </c>
      <c r="F262" t="s">
        <v>13</v>
      </c>
      <c r="G262" t="s">
        <v>525</v>
      </c>
    </row>
    <row r="263" spans="1:7" x14ac:dyDescent="0.3">
      <c r="A263">
        <v>0</v>
      </c>
      <c r="B263" t="s">
        <v>312</v>
      </c>
      <c r="C263" t="s">
        <v>85</v>
      </c>
      <c r="D263" t="s">
        <v>2</v>
      </c>
      <c r="E263" t="s">
        <v>85</v>
      </c>
      <c r="F263" t="s">
        <v>13</v>
      </c>
      <c r="G263" t="s">
        <v>525</v>
      </c>
    </row>
    <row r="264" spans="1:7" x14ac:dyDescent="0.3">
      <c r="A264">
        <v>0</v>
      </c>
      <c r="B264" t="s">
        <v>312</v>
      </c>
      <c r="C264" t="s">
        <v>88</v>
      </c>
      <c r="D264" t="s">
        <v>2</v>
      </c>
      <c r="E264" t="s">
        <v>88</v>
      </c>
      <c r="F264" t="s">
        <v>13</v>
      </c>
      <c r="G264" t="s">
        <v>525</v>
      </c>
    </row>
    <row r="265" spans="1:7" x14ac:dyDescent="0.3">
      <c r="A265">
        <v>0</v>
      </c>
      <c r="B265" t="s">
        <v>312</v>
      </c>
      <c r="C265" t="s">
        <v>91</v>
      </c>
      <c r="D265" t="s">
        <v>2</v>
      </c>
      <c r="E265" t="s">
        <v>91</v>
      </c>
      <c r="F265" t="s">
        <v>13</v>
      </c>
      <c r="G265" t="s">
        <v>525</v>
      </c>
    </row>
    <row r="266" spans="1:7" x14ac:dyDescent="0.3">
      <c r="A266">
        <v>0</v>
      </c>
      <c r="B266" t="s">
        <v>312</v>
      </c>
      <c r="C266" t="s">
        <v>94</v>
      </c>
      <c r="D266" t="s">
        <v>2</v>
      </c>
      <c r="E266" t="s">
        <v>94</v>
      </c>
      <c r="F266" t="s">
        <v>13</v>
      </c>
      <c r="G266" t="s">
        <v>525</v>
      </c>
    </row>
    <row r="267" spans="1:7" x14ac:dyDescent="0.3">
      <c r="A267">
        <v>0</v>
      </c>
      <c r="B267" t="s">
        <v>312</v>
      </c>
      <c r="C267" t="s">
        <v>97</v>
      </c>
      <c r="D267" t="s">
        <v>2</v>
      </c>
      <c r="E267" t="s">
        <v>97</v>
      </c>
      <c r="F267" t="s">
        <v>13</v>
      </c>
      <c r="G267" t="s">
        <v>525</v>
      </c>
    </row>
    <row r="268" spans="1:7" x14ac:dyDescent="0.3">
      <c r="A268">
        <v>0</v>
      </c>
      <c r="B268" t="s">
        <v>312</v>
      </c>
      <c r="C268" t="s">
        <v>100</v>
      </c>
      <c r="D268" t="s">
        <v>2</v>
      </c>
      <c r="E268" t="s">
        <v>100</v>
      </c>
      <c r="F268" t="s">
        <v>13</v>
      </c>
      <c r="G268" t="s">
        <v>525</v>
      </c>
    </row>
  </sheetData>
  <pageMargins left="0.75" right="0.75" top="1" bottom="1" header="0.5" footer="0.5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291"/>
  <sheetViews>
    <sheetView workbookViewId="0">
      <selection activeCell="A2" sqref="A2:I291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11</v>
      </c>
      <c r="B2" t="s">
        <v>542</v>
      </c>
      <c r="C2" t="s">
        <v>648</v>
      </c>
      <c r="D2" t="s">
        <v>2</v>
      </c>
      <c r="E2" t="s">
        <v>111</v>
      </c>
      <c r="F2" t="s">
        <v>13</v>
      </c>
      <c r="G2" t="s">
        <v>525</v>
      </c>
      <c r="H2" t="s">
        <v>626</v>
      </c>
      <c r="I2" t="s">
        <v>727</v>
      </c>
    </row>
    <row r="3" spans="1:9" x14ac:dyDescent="0.3">
      <c r="A3">
        <v>3.2530120481927714E-3</v>
      </c>
      <c r="B3" t="s">
        <v>57</v>
      </c>
      <c r="C3" t="s">
        <v>728</v>
      </c>
      <c r="D3" t="s">
        <v>2</v>
      </c>
      <c r="E3" s="2" t="s">
        <v>488</v>
      </c>
      <c r="F3" t="s">
        <v>13</v>
      </c>
      <c r="G3" t="s">
        <v>525</v>
      </c>
      <c r="H3" t="s">
        <v>626</v>
      </c>
      <c r="I3" t="s">
        <v>727</v>
      </c>
    </row>
    <row r="4" spans="1:9" x14ac:dyDescent="0.3">
      <c r="A4">
        <f>23.12/26.7</f>
        <v>0.86591760299625475</v>
      </c>
      <c r="B4" t="s">
        <v>57</v>
      </c>
      <c r="C4" t="s">
        <v>729</v>
      </c>
      <c r="D4" t="s">
        <v>2</v>
      </c>
      <c r="E4" t="s">
        <v>340</v>
      </c>
      <c r="F4" t="s">
        <v>13</v>
      </c>
      <c r="G4" t="s">
        <v>525</v>
      </c>
      <c r="H4" t="s">
        <v>626</v>
      </c>
      <c r="I4" t="s">
        <v>727</v>
      </c>
    </row>
    <row r="5" spans="1:9" x14ac:dyDescent="0.3">
      <c r="A5">
        <v>0.1</v>
      </c>
      <c r="B5" t="s">
        <v>57</v>
      </c>
      <c r="C5" t="s">
        <v>730</v>
      </c>
      <c r="D5" t="s">
        <v>2</v>
      </c>
      <c r="E5" s="2" t="s">
        <v>412</v>
      </c>
      <c r="F5" t="s">
        <v>13</v>
      </c>
      <c r="G5" t="s">
        <v>525</v>
      </c>
      <c r="H5" t="s">
        <v>626</v>
      </c>
      <c r="I5" t="s">
        <v>727</v>
      </c>
    </row>
    <row r="6" spans="1:9" x14ac:dyDescent="0.3">
      <c r="A6">
        <v>0.17</v>
      </c>
      <c r="B6" t="s">
        <v>57</v>
      </c>
      <c r="C6" t="s">
        <v>731</v>
      </c>
      <c r="D6" t="s">
        <v>2</v>
      </c>
      <c r="E6" t="s">
        <v>335</v>
      </c>
      <c r="F6" t="s">
        <v>13</v>
      </c>
      <c r="G6" t="s">
        <v>525</v>
      </c>
      <c r="H6" t="s">
        <v>626</v>
      </c>
      <c r="I6" t="s">
        <v>727</v>
      </c>
    </row>
    <row r="7" spans="1:9" x14ac:dyDescent="0.3">
      <c r="A7">
        <v>0.5</v>
      </c>
      <c r="B7" t="s">
        <v>57</v>
      </c>
      <c r="C7" t="s">
        <v>732</v>
      </c>
      <c r="D7" t="s">
        <v>2</v>
      </c>
      <c r="E7" t="s">
        <v>426</v>
      </c>
      <c r="F7" t="s">
        <v>13</v>
      </c>
      <c r="G7" t="s">
        <v>525</v>
      </c>
      <c r="H7" t="s">
        <v>626</v>
      </c>
      <c r="I7" t="s">
        <v>727</v>
      </c>
    </row>
    <row r="8" spans="1:9" x14ac:dyDescent="0.3">
      <c r="A8">
        <v>2.7</v>
      </c>
      <c r="B8" t="s">
        <v>57</v>
      </c>
      <c r="C8" t="s">
        <v>687</v>
      </c>
      <c r="D8" t="s">
        <v>2</v>
      </c>
      <c r="E8" s="4" t="s">
        <v>454</v>
      </c>
      <c r="F8" t="s">
        <v>13</v>
      </c>
      <c r="G8" t="s">
        <v>525</v>
      </c>
      <c r="H8" t="s">
        <v>626</v>
      </c>
      <c r="I8" t="s">
        <v>727</v>
      </c>
    </row>
    <row r="9" spans="1:9" x14ac:dyDescent="0.3">
      <c r="A9">
        <v>0.02</v>
      </c>
      <c r="B9" t="s">
        <v>57</v>
      </c>
      <c r="C9" t="s">
        <v>733</v>
      </c>
      <c r="D9" t="s">
        <v>2</v>
      </c>
      <c r="E9" t="s">
        <v>149</v>
      </c>
      <c r="F9" t="s">
        <v>13</v>
      </c>
      <c r="G9" t="s">
        <v>525</v>
      </c>
      <c r="H9" t="s">
        <v>626</v>
      </c>
      <c r="I9" t="s">
        <v>727</v>
      </c>
    </row>
    <row r="10" spans="1:9" x14ac:dyDescent="0.3">
      <c r="A10">
        <v>2.5000000000000001E-5</v>
      </c>
      <c r="B10" s="2" t="s">
        <v>319</v>
      </c>
      <c r="C10" t="s">
        <v>734</v>
      </c>
      <c r="D10" t="s">
        <v>2</v>
      </c>
      <c r="E10" s="2" t="s">
        <v>375</v>
      </c>
      <c r="F10" t="s">
        <v>13</v>
      </c>
      <c r="G10" t="s">
        <v>525</v>
      </c>
      <c r="H10" t="s">
        <v>626</v>
      </c>
      <c r="I10" t="s">
        <v>727</v>
      </c>
    </row>
    <row r="11" spans="1:9" x14ac:dyDescent="0.3">
      <c r="A11">
        <v>0</v>
      </c>
      <c r="B11" t="s">
        <v>314</v>
      </c>
      <c r="C11" t="s">
        <v>620</v>
      </c>
      <c r="D11" t="s">
        <v>2</v>
      </c>
      <c r="E11" s="2" t="s">
        <v>455</v>
      </c>
      <c r="F11" t="s">
        <v>13</v>
      </c>
      <c r="G11" t="s">
        <v>525</v>
      </c>
      <c r="H11" t="s">
        <v>621</v>
      </c>
      <c r="I11">
        <v>0</v>
      </c>
    </row>
    <row r="12" spans="1:9" x14ac:dyDescent="0.3">
      <c r="A12">
        <v>0</v>
      </c>
      <c r="B12" t="s">
        <v>314</v>
      </c>
      <c r="C12" t="s">
        <v>622</v>
      </c>
      <c r="D12" t="s">
        <v>2</v>
      </c>
      <c r="E12" s="2" t="s">
        <v>409</v>
      </c>
      <c r="F12" t="s">
        <v>13</v>
      </c>
      <c r="G12" t="s">
        <v>525</v>
      </c>
      <c r="H12" t="s">
        <v>621</v>
      </c>
      <c r="I12">
        <v>1.2229254135450123E-7</v>
      </c>
    </row>
    <row r="13" spans="1:9" x14ac:dyDescent="0.3">
      <c r="A13">
        <v>0</v>
      </c>
      <c r="B13" t="s">
        <v>314</v>
      </c>
      <c r="C13" t="s">
        <v>623</v>
      </c>
      <c r="D13" t="s">
        <v>2</v>
      </c>
      <c r="E13" s="2" t="s">
        <v>443</v>
      </c>
      <c r="F13" t="s">
        <v>13</v>
      </c>
      <c r="G13" t="s">
        <v>525</v>
      </c>
      <c r="H13" t="s">
        <v>621</v>
      </c>
      <c r="I13">
        <v>1.640606341579916E-7</v>
      </c>
    </row>
    <row r="14" spans="1:9" x14ac:dyDescent="0.3">
      <c r="A14">
        <v>2.9956135658500056E-7</v>
      </c>
      <c r="B14" t="s">
        <v>314</v>
      </c>
      <c r="C14" t="s">
        <v>654</v>
      </c>
      <c r="D14" t="s">
        <v>2</v>
      </c>
      <c r="E14" s="2" t="s">
        <v>449</v>
      </c>
      <c r="F14" t="s">
        <v>13</v>
      </c>
      <c r="G14" t="s">
        <v>525</v>
      </c>
      <c r="H14" s="4" t="s">
        <v>655</v>
      </c>
    </row>
    <row r="15" spans="1:9" x14ac:dyDescent="0.3">
      <c r="A15">
        <v>1.6475874612175031E-6</v>
      </c>
      <c r="B15" t="s">
        <v>314</v>
      </c>
      <c r="C15" t="s">
        <v>656</v>
      </c>
      <c r="D15" t="s">
        <v>2</v>
      </c>
      <c r="E15" s="2" t="s">
        <v>487</v>
      </c>
      <c r="F15" t="s">
        <v>13</v>
      </c>
      <c r="G15" t="s">
        <v>525</v>
      </c>
      <c r="H15" s="4" t="s">
        <v>655</v>
      </c>
    </row>
    <row r="16" spans="1:9" x14ac:dyDescent="0.3">
      <c r="A16">
        <v>6.0268891979601298E-7</v>
      </c>
      <c r="B16" t="s">
        <v>314</v>
      </c>
      <c r="C16" t="s">
        <v>495</v>
      </c>
      <c r="D16" t="s">
        <v>494</v>
      </c>
      <c r="E16" t="s">
        <v>495</v>
      </c>
      <c r="F16" t="s">
        <v>13</v>
      </c>
      <c r="G16" t="s">
        <v>525</v>
      </c>
      <c r="H16" s="4" t="s">
        <v>655</v>
      </c>
    </row>
    <row r="17" spans="1:9" x14ac:dyDescent="0.3">
      <c r="A17">
        <v>2.9670839128419101E-6</v>
      </c>
      <c r="B17" t="s">
        <v>314</v>
      </c>
      <c r="C17" t="s">
        <v>496</v>
      </c>
      <c r="D17" t="s">
        <v>494</v>
      </c>
      <c r="E17" s="2" t="s">
        <v>496</v>
      </c>
      <c r="F17" t="s">
        <v>13</v>
      </c>
      <c r="G17" t="s">
        <v>525</v>
      </c>
      <c r="H17" s="4" t="s">
        <v>655</v>
      </c>
    </row>
    <row r="18" spans="1:9" x14ac:dyDescent="0.3">
      <c r="A18">
        <v>2.5961984237366715E-6</v>
      </c>
      <c r="B18" t="s">
        <v>314</v>
      </c>
      <c r="C18" t="s">
        <v>497</v>
      </c>
      <c r="D18" t="s">
        <v>494</v>
      </c>
      <c r="E18" s="2" t="s">
        <v>497</v>
      </c>
      <c r="F18" t="s">
        <v>13</v>
      </c>
      <c r="G18" t="s">
        <v>525</v>
      </c>
      <c r="H18" s="4" t="s">
        <v>655</v>
      </c>
    </row>
    <row r="19" spans="1:9" x14ac:dyDescent="0.3">
      <c r="A19" s="5">
        <v>5.0000000000000004E-8</v>
      </c>
      <c r="B19" t="s">
        <v>507</v>
      </c>
      <c r="C19" t="s">
        <v>506</v>
      </c>
      <c r="D19" t="s">
        <v>498</v>
      </c>
      <c r="E19" s="2" t="s">
        <v>506</v>
      </c>
      <c r="F19" t="s">
        <v>13</v>
      </c>
      <c r="G19" t="s">
        <v>525</v>
      </c>
      <c r="H19" s="4" t="s">
        <v>655</v>
      </c>
    </row>
    <row r="20" spans="1:9" x14ac:dyDescent="0.3">
      <c r="A20">
        <v>9.4222824809924688E-9</v>
      </c>
      <c r="B20" t="s">
        <v>57</v>
      </c>
      <c r="C20" t="s">
        <v>735</v>
      </c>
      <c r="D20" t="s">
        <v>498</v>
      </c>
      <c r="E20" s="2" t="s">
        <v>499</v>
      </c>
      <c r="F20" t="s">
        <v>13</v>
      </c>
      <c r="G20" t="s">
        <v>525</v>
      </c>
      <c r="H20" t="s">
        <v>626</v>
      </c>
      <c r="I20" t="s">
        <v>736</v>
      </c>
    </row>
    <row r="21" spans="1:9" x14ac:dyDescent="0.3">
      <c r="A21">
        <v>1.5507506583300108E-6</v>
      </c>
      <c r="B21" t="s">
        <v>57</v>
      </c>
      <c r="C21" t="s">
        <v>674</v>
      </c>
      <c r="D21" t="s">
        <v>498</v>
      </c>
      <c r="E21" t="s">
        <v>522</v>
      </c>
      <c r="F21" t="s">
        <v>13</v>
      </c>
      <c r="G21" t="s">
        <v>525</v>
      </c>
      <c r="H21" t="s">
        <v>626</v>
      </c>
      <c r="I21" t="s">
        <v>736</v>
      </c>
    </row>
    <row r="22" spans="1:9" x14ac:dyDescent="0.3">
      <c r="A22">
        <v>7.8519020674937259E-9</v>
      </c>
      <c r="B22" t="s">
        <v>57</v>
      </c>
      <c r="C22" t="s">
        <v>737</v>
      </c>
      <c r="D22" t="s">
        <v>498</v>
      </c>
      <c r="E22" t="s">
        <v>516</v>
      </c>
      <c r="F22" t="s">
        <v>13</v>
      </c>
      <c r="G22" t="s">
        <v>525</v>
      </c>
      <c r="H22" t="s">
        <v>626</v>
      </c>
      <c r="I22" t="s">
        <v>736</v>
      </c>
    </row>
    <row r="23" spans="1:9" x14ac:dyDescent="0.3">
      <c r="A23">
        <v>2.7913511849940191E-7</v>
      </c>
      <c r="B23" t="s">
        <v>57</v>
      </c>
      <c r="C23" t="s">
        <v>738</v>
      </c>
      <c r="D23" t="s">
        <v>498</v>
      </c>
      <c r="E23" t="s">
        <v>516</v>
      </c>
      <c r="F23" t="s">
        <v>13</v>
      </c>
      <c r="G23" t="s">
        <v>525</v>
      </c>
      <c r="H23" t="s">
        <v>626</v>
      </c>
      <c r="I23" t="s">
        <v>736</v>
      </c>
    </row>
    <row r="24" spans="1:9" x14ac:dyDescent="0.3">
      <c r="A24">
        <v>3.1407608269974896E-10</v>
      </c>
      <c r="B24" t="s">
        <v>57</v>
      </c>
      <c r="C24" t="s">
        <v>701</v>
      </c>
      <c r="D24" t="s">
        <v>498</v>
      </c>
      <c r="E24" t="s">
        <v>503</v>
      </c>
      <c r="F24" t="s">
        <v>13</v>
      </c>
      <c r="G24" t="s">
        <v>525</v>
      </c>
      <c r="H24" t="s">
        <v>626</v>
      </c>
      <c r="I24" t="s">
        <v>736</v>
      </c>
    </row>
    <row r="25" spans="1:9" x14ac:dyDescent="0.3">
      <c r="A25">
        <v>7.753753291650054E-7</v>
      </c>
      <c r="B25" t="s">
        <v>57</v>
      </c>
      <c r="C25" t="s">
        <v>739</v>
      </c>
      <c r="D25" t="s">
        <v>498</v>
      </c>
      <c r="E25" t="s">
        <v>516</v>
      </c>
      <c r="F25" t="s">
        <v>13</v>
      </c>
      <c r="G25" t="s">
        <v>525</v>
      </c>
      <c r="H25" t="s">
        <v>626</v>
      </c>
      <c r="I25" t="s">
        <v>736</v>
      </c>
    </row>
    <row r="26" spans="1:9" x14ac:dyDescent="0.3">
      <c r="A26">
        <v>6.2026518470616404E-4</v>
      </c>
      <c r="B26" t="s">
        <v>57</v>
      </c>
      <c r="C26" t="s">
        <v>740</v>
      </c>
      <c r="D26" t="s">
        <v>498</v>
      </c>
      <c r="E26" t="s">
        <v>501</v>
      </c>
      <c r="F26" t="s">
        <v>13</v>
      </c>
      <c r="G26" t="s">
        <v>525</v>
      </c>
      <c r="H26" t="s">
        <v>626</v>
      </c>
      <c r="I26" t="s">
        <v>736</v>
      </c>
    </row>
    <row r="27" spans="1:9" x14ac:dyDescent="0.3">
      <c r="A27">
        <v>1.3797348152938362E-3</v>
      </c>
      <c r="B27" t="s">
        <v>57</v>
      </c>
      <c r="C27" t="s">
        <v>741</v>
      </c>
      <c r="D27" t="s">
        <v>498</v>
      </c>
      <c r="E27" t="s">
        <v>501</v>
      </c>
      <c r="F27" t="s">
        <v>13</v>
      </c>
      <c r="G27" t="s">
        <v>525</v>
      </c>
      <c r="H27" t="s">
        <v>626</v>
      </c>
      <c r="I27" t="s">
        <v>736</v>
      </c>
    </row>
    <row r="28" spans="1:9" x14ac:dyDescent="0.3">
      <c r="A28">
        <v>1.6097626506024096</v>
      </c>
      <c r="B28" t="s">
        <v>57</v>
      </c>
      <c r="C28" t="s">
        <v>742</v>
      </c>
      <c r="D28" t="s">
        <v>498</v>
      </c>
      <c r="E28" t="s">
        <v>502</v>
      </c>
      <c r="F28" t="s">
        <v>13</v>
      </c>
      <c r="G28" t="s">
        <v>525</v>
      </c>
      <c r="H28" t="s">
        <v>626</v>
      </c>
      <c r="I28" t="s">
        <v>736</v>
      </c>
    </row>
    <row r="29" spans="1:9" x14ac:dyDescent="0.3">
      <c r="A29">
        <v>3.5808</v>
      </c>
      <c r="B29" t="s">
        <v>57</v>
      </c>
      <c r="C29" t="s">
        <v>680</v>
      </c>
      <c r="D29" t="s">
        <v>498</v>
      </c>
      <c r="E29" t="s">
        <v>502</v>
      </c>
      <c r="F29" t="s">
        <v>13</v>
      </c>
      <c r="G29" t="s">
        <v>525</v>
      </c>
      <c r="H29" t="s">
        <v>626</v>
      </c>
      <c r="I29" t="s">
        <v>736</v>
      </c>
    </row>
    <row r="30" spans="1:9" x14ac:dyDescent="0.3">
      <c r="A30">
        <v>7.8519020674937259E-9</v>
      </c>
      <c r="B30" t="s">
        <v>57</v>
      </c>
      <c r="C30" t="s">
        <v>702</v>
      </c>
      <c r="D30" t="s">
        <v>498</v>
      </c>
      <c r="E30" t="s">
        <v>504</v>
      </c>
      <c r="F30" t="s">
        <v>13</v>
      </c>
      <c r="G30" t="s">
        <v>525</v>
      </c>
      <c r="H30" t="s">
        <v>626</v>
      </c>
      <c r="I30" t="s">
        <v>736</v>
      </c>
    </row>
    <row r="31" spans="1:9" x14ac:dyDescent="0.3">
      <c r="A31">
        <v>7.8519020674937249E-8</v>
      </c>
      <c r="B31" t="s">
        <v>57</v>
      </c>
      <c r="C31" t="s">
        <v>681</v>
      </c>
      <c r="D31" t="s">
        <v>498</v>
      </c>
      <c r="E31" t="s">
        <v>516</v>
      </c>
      <c r="F31" t="s">
        <v>13</v>
      </c>
      <c r="G31" t="s">
        <v>525</v>
      </c>
      <c r="H31" t="s">
        <v>626</v>
      </c>
      <c r="I31" t="s">
        <v>736</v>
      </c>
    </row>
    <row r="32" spans="1:9" x14ac:dyDescent="0.3">
      <c r="A32">
        <v>6.8704143090570083E-6</v>
      </c>
      <c r="B32" t="s">
        <v>57</v>
      </c>
      <c r="C32" t="s">
        <v>743</v>
      </c>
      <c r="D32" t="s">
        <v>498</v>
      </c>
      <c r="E32" t="s">
        <v>516</v>
      </c>
      <c r="F32" t="s">
        <v>13</v>
      </c>
      <c r="G32" t="s">
        <v>525</v>
      </c>
      <c r="H32" t="s">
        <v>626</v>
      </c>
      <c r="I32" t="s">
        <v>736</v>
      </c>
    </row>
    <row r="33" spans="1:9" x14ac:dyDescent="0.3">
      <c r="A33">
        <v>3.876876645825027E-8</v>
      </c>
      <c r="B33" t="s">
        <v>57</v>
      </c>
      <c r="C33" t="s">
        <v>744</v>
      </c>
      <c r="D33" t="s">
        <v>498</v>
      </c>
      <c r="E33" t="s">
        <v>516</v>
      </c>
      <c r="F33" t="s">
        <v>13</v>
      </c>
      <c r="G33" t="s">
        <v>525</v>
      </c>
      <c r="H33" t="s">
        <v>626</v>
      </c>
      <c r="I33" t="s">
        <v>736</v>
      </c>
    </row>
    <row r="34" spans="1:9" x14ac:dyDescent="0.3">
      <c r="A34">
        <v>5.0000000000000001E-4</v>
      </c>
      <c r="B34" t="s">
        <v>57</v>
      </c>
      <c r="C34" t="s">
        <v>745</v>
      </c>
      <c r="D34" t="s">
        <v>498</v>
      </c>
      <c r="E34" t="s">
        <v>516</v>
      </c>
      <c r="F34" t="s">
        <v>13</v>
      </c>
      <c r="G34" t="s">
        <v>525</v>
      </c>
      <c r="H34" t="s">
        <v>626</v>
      </c>
      <c r="I34" t="s">
        <v>736</v>
      </c>
    </row>
    <row r="35" spans="1:9" x14ac:dyDescent="0.3">
      <c r="A35">
        <v>5.0000000000000001E-4</v>
      </c>
      <c r="B35" t="s">
        <v>57</v>
      </c>
      <c r="C35" t="s">
        <v>85</v>
      </c>
      <c r="D35" t="s">
        <v>498</v>
      </c>
      <c r="E35" t="s">
        <v>516</v>
      </c>
      <c r="F35" t="s">
        <v>13</v>
      </c>
      <c r="G35" t="s">
        <v>525</v>
      </c>
      <c r="H35" t="s">
        <v>626</v>
      </c>
      <c r="I35" t="s">
        <v>736</v>
      </c>
    </row>
    <row r="36" spans="1:9" x14ac:dyDescent="0.3">
      <c r="A36">
        <v>3.876876645825027E-6</v>
      </c>
      <c r="B36" t="s">
        <v>57</v>
      </c>
      <c r="C36" t="s">
        <v>700</v>
      </c>
      <c r="D36" t="s">
        <v>498</v>
      </c>
      <c r="E36" t="s">
        <v>516</v>
      </c>
      <c r="F36" t="s">
        <v>13</v>
      </c>
      <c r="G36" t="s">
        <v>525</v>
      </c>
      <c r="H36" t="s">
        <v>626</v>
      </c>
      <c r="I36" t="s">
        <v>736</v>
      </c>
    </row>
    <row r="37" spans="1:9" x14ac:dyDescent="0.3">
      <c r="A37">
        <v>3.4352071545285044E-7</v>
      </c>
      <c r="B37" t="s">
        <v>57</v>
      </c>
      <c r="C37" t="s">
        <v>675</v>
      </c>
      <c r="D37" t="s">
        <v>498</v>
      </c>
      <c r="E37" t="s">
        <v>520</v>
      </c>
      <c r="F37" t="s">
        <v>13</v>
      </c>
      <c r="G37" t="s">
        <v>525</v>
      </c>
      <c r="H37" t="s">
        <v>626</v>
      </c>
      <c r="I37" t="s">
        <v>736</v>
      </c>
    </row>
    <row r="38" spans="1:9" x14ac:dyDescent="0.3">
      <c r="A38">
        <v>7.8519020674937259E-9</v>
      </c>
      <c r="B38" t="s">
        <v>57</v>
      </c>
      <c r="C38" t="s">
        <v>704</v>
      </c>
      <c r="D38" t="s">
        <v>498</v>
      </c>
      <c r="E38" t="s">
        <v>509</v>
      </c>
      <c r="F38" t="s">
        <v>13</v>
      </c>
      <c r="G38" t="s">
        <v>525</v>
      </c>
      <c r="H38" t="s">
        <v>626</v>
      </c>
      <c r="I38" t="s">
        <v>736</v>
      </c>
    </row>
    <row r="39" spans="1:9" x14ac:dyDescent="0.3">
      <c r="A39">
        <v>9.6000000000000002E-5</v>
      </c>
      <c r="B39" t="s">
        <v>57</v>
      </c>
      <c r="C39" t="s">
        <v>657</v>
      </c>
      <c r="D39" t="s">
        <v>498</v>
      </c>
      <c r="E39" t="s">
        <v>513</v>
      </c>
      <c r="F39" t="s">
        <v>13</v>
      </c>
      <c r="G39" t="s">
        <v>525</v>
      </c>
      <c r="H39" t="s">
        <v>626</v>
      </c>
      <c r="I39" t="s">
        <v>736</v>
      </c>
    </row>
    <row r="40" spans="1:9" x14ac:dyDescent="0.3">
      <c r="A40">
        <v>9.7431825052907393E-3</v>
      </c>
      <c r="B40" t="s">
        <v>57</v>
      </c>
      <c r="C40" t="s">
        <v>722</v>
      </c>
      <c r="D40" t="s">
        <v>498</v>
      </c>
      <c r="E40" t="s">
        <v>514</v>
      </c>
      <c r="F40" t="s">
        <v>13</v>
      </c>
      <c r="G40" t="s">
        <v>525</v>
      </c>
      <c r="H40" t="s">
        <v>626</v>
      </c>
      <c r="I40" t="s">
        <v>736</v>
      </c>
    </row>
    <row r="41" spans="1:9" x14ac:dyDescent="0.3">
      <c r="A41">
        <v>7.7537532916500534E-3</v>
      </c>
      <c r="B41" t="s">
        <v>57</v>
      </c>
      <c r="C41" t="s">
        <v>746</v>
      </c>
      <c r="D41" t="s">
        <v>498</v>
      </c>
      <c r="E41" t="s">
        <v>522</v>
      </c>
      <c r="F41" t="s">
        <v>13</v>
      </c>
      <c r="G41" t="s">
        <v>525</v>
      </c>
      <c r="H41" t="s">
        <v>626</v>
      </c>
      <c r="I41" t="s">
        <v>736</v>
      </c>
    </row>
    <row r="42" spans="1:9" x14ac:dyDescent="0.3">
      <c r="A42">
        <v>6.2030026333200432E-5</v>
      </c>
      <c r="B42" t="s">
        <v>57</v>
      </c>
      <c r="C42" t="s">
        <v>747</v>
      </c>
      <c r="D42" t="s">
        <v>498</v>
      </c>
      <c r="E42" t="s">
        <v>516</v>
      </c>
      <c r="F42" t="s">
        <v>13</v>
      </c>
      <c r="G42" t="s">
        <v>525</v>
      </c>
      <c r="H42" t="s">
        <v>626</v>
      </c>
      <c r="I42" t="s">
        <v>736</v>
      </c>
    </row>
    <row r="43" spans="1:9" x14ac:dyDescent="0.3">
      <c r="A43">
        <v>7.5133869396089015E-3</v>
      </c>
      <c r="B43" t="s">
        <v>57</v>
      </c>
      <c r="C43" t="s">
        <v>676</v>
      </c>
      <c r="D43" t="s">
        <v>498</v>
      </c>
      <c r="E43" t="s">
        <v>516</v>
      </c>
      <c r="F43" t="s">
        <v>13</v>
      </c>
      <c r="G43" t="s">
        <v>525</v>
      </c>
      <c r="H43" t="s">
        <v>626</v>
      </c>
      <c r="I43" t="s">
        <v>736</v>
      </c>
    </row>
    <row r="44" spans="1:9" x14ac:dyDescent="0.3">
      <c r="A44">
        <v>7.753753291650054E-7</v>
      </c>
      <c r="B44" t="s">
        <v>57</v>
      </c>
      <c r="C44" t="s">
        <v>748</v>
      </c>
      <c r="D44" t="s">
        <v>498</v>
      </c>
      <c r="E44" t="s">
        <v>516</v>
      </c>
      <c r="F44" t="s">
        <v>13</v>
      </c>
      <c r="G44" t="s">
        <v>525</v>
      </c>
      <c r="H44" t="s">
        <v>626</v>
      </c>
      <c r="I44" t="s">
        <v>736</v>
      </c>
    </row>
    <row r="45" spans="1:9" x14ac:dyDescent="0.3">
      <c r="A45">
        <v>1.2240951675729202E-2</v>
      </c>
      <c r="B45" t="s">
        <v>57</v>
      </c>
      <c r="C45" t="s">
        <v>749</v>
      </c>
      <c r="D45" t="s">
        <v>498</v>
      </c>
      <c r="E45" t="s">
        <v>521</v>
      </c>
      <c r="F45" t="s">
        <v>13</v>
      </c>
      <c r="G45" t="s">
        <v>525</v>
      </c>
      <c r="H45" t="s">
        <v>626</v>
      </c>
      <c r="I45" t="s">
        <v>736</v>
      </c>
    </row>
    <row r="46" spans="1:9" x14ac:dyDescent="0.3">
      <c r="A46">
        <v>7.8519020674937259E-9</v>
      </c>
      <c r="B46" t="s">
        <v>57</v>
      </c>
      <c r="C46" t="s">
        <v>678</v>
      </c>
      <c r="D46" t="s">
        <v>498</v>
      </c>
      <c r="E46" t="s">
        <v>516</v>
      </c>
      <c r="F46" t="s">
        <v>13</v>
      </c>
      <c r="G46" t="s">
        <v>525</v>
      </c>
      <c r="H46" t="s">
        <v>626</v>
      </c>
      <c r="I46" t="s">
        <v>736</v>
      </c>
    </row>
    <row r="47" spans="1:9" x14ac:dyDescent="0.3">
      <c r="A47">
        <v>0</v>
      </c>
      <c r="B47" t="s">
        <v>312</v>
      </c>
      <c r="C47" t="s">
        <v>483</v>
      </c>
      <c r="D47" t="s">
        <v>2</v>
      </c>
      <c r="E47" t="s">
        <v>483</v>
      </c>
      <c r="F47" t="s">
        <v>13</v>
      </c>
      <c r="G47" t="s">
        <v>525</v>
      </c>
    </row>
    <row r="48" spans="1:9" x14ac:dyDescent="0.3">
      <c r="A48">
        <v>0</v>
      </c>
      <c r="B48" t="s">
        <v>105</v>
      </c>
      <c r="C48" t="s">
        <v>125</v>
      </c>
      <c r="D48" t="s">
        <v>2</v>
      </c>
      <c r="E48" t="s">
        <v>125</v>
      </c>
      <c r="F48" t="s">
        <v>13</v>
      </c>
      <c r="G48" t="s">
        <v>525</v>
      </c>
    </row>
    <row r="49" spans="1:7" x14ac:dyDescent="0.3">
      <c r="A49">
        <v>0</v>
      </c>
      <c r="B49" t="s">
        <v>319</v>
      </c>
      <c r="C49" t="s">
        <v>461</v>
      </c>
      <c r="D49" t="s">
        <v>2</v>
      </c>
      <c r="E49" t="s">
        <v>461</v>
      </c>
      <c r="F49" t="s">
        <v>13</v>
      </c>
      <c r="G49" t="s">
        <v>525</v>
      </c>
    </row>
    <row r="50" spans="1:7" x14ac:dyDescent="0.3">
      <c r="A50">
        <v>0</v>
      </c>
      <c r="B50" t="s">
        <v>314</v>
      </c>
      <c r="C50" t="s">
        <v>395</v>
      </c>
      <c r="D50" t="s">
        <v>2</v>
      </c>
      <c r="E50" t="s">
        <v>395</v>
      </c>
      <c r="F50" t="s">
        <v>13</v>
      </c>
      <c r="G50" t="s">
        <v>525</v>
      </c>
    </row>
    <row r="51" spans="1:7" x14ac:dyDescent="0.3">
      <c r="A51">
        <v>0</v>
      </c>
      <c r="B51" t="s">
        <v>312</v>
      </c>
      <c r="C51" t="s">
        <v>399</v>
      </c>
      <c r="D51" t="s">
        <v>2</v>
      </c>
      <c r="E51" t="s">
        <v>399</v>
      </c>
      <c r="F51" t="s">
        <v>13</v>
      </c>
      <c r="G51" t="s">
        <v>525</v>
      </c>
    </row>
    <row r="52" spans="1:7" x14ac:dyDescent="0.3">
      <c r="A52">
        <v>0</v>
      </c>
      <c r="B52" t="s">
        <v>314</v>
      </c>
      <c r="C52" t="s">
        <v>432</v>
      </c>
      <c r="D52" t="s">
        <v>2</v>
      </c>
      <c r="E52" t="s">
        <v>432</v>
      </c>
      <c r="F52" t="s">
        <v>13</v>
      </c>
      <c r="G52" t="s">
        <v>525</v>
      </c>
    </row>
    <row r="53" spans="1:7" x14ac:dyDescent="0.3">
      <c r="A53">
        <v>0</v>
      </c>
      <c r="B53" t="s">
        <v>312</v>
      </c>
      <c r="C53" t="s">
        <v>325</v>
      </c>
      <c r="D53" t="s">
        <v>2</v>
      </c>
      <c r="E53" t="s">
        <v>325</v>
      </c>
      <c r="F53" t="s">
        <v>13</v>
      </c>
      <c r="G53" t="s">
        <v>525</v>
      </c>
    </row>
    <row r="54" spans="1:7" x14ac:dyDescent="0.3">
      <c r="A54">
        <v>0</v>
      </c>
      <c r="B54" t="s">
        <v>314</v>
      </c>
      <c r="C54" t="s">
        <v>372</v>
      </c>
      <c r="D54" t="s">
        <v>2</v>
      </c>
      <c r="E54" t="s">
        <v>372</v>
      </c>
      <c r="F54" t="s">
        <v>13</v>
      </c>
      <c r="G54" t="s">
        <v>525</v>
      </c>
    </row>
    <row r="55" spans="1:7" x14ac:dyDescent="0.3">
      <c r="A55">
        <v>0</v>
      </c>
      <c r="B55" t="s">
        <v>314</v>
      </c>
      <c r="C55" t="s">
        <v>260</v>
      </c>
      <c r="D55" t="s">
        <v>2</v>
      </c>
      <c r="E55" t="s">
        <v>260</v>
      </c>
      <c r="F55" t="s">
        <v>13</v>
      </c>
      <c r="G55" t="s">
        <v>525</v>
      </c>
    </row>
    <row r="56" spans="1:7" x14ac:dyDescent="0.3">
      <c r="A56">
        <v>0</v>
      </c>
      <c r="B56" t="s">
        <v>312</v>
      </c>
      <c r="C56" t="s">
        <v>330</v>
      </c>
      <c r="D56" t="s">
        <v>2</v>
      </c>
      <c r="E56" t="s">
        <v>330</v>
      </c>
      <c r="F56" t="s">
        <v>13</v>
      </c>
      <c r="G56" t="s">
        <v>525</v>
      </c>
    </row>
    <row r="57" spans="1:7" x14ac:dyDescent="0.3">
      <c r="A57">
        <v>0</v>
      </c>
      <c r="B57" t="s">
        <v>105</v>
      </c>
      <c r="C57" t="s">
        <v>401</v>
      </c>
      <c r="D57" t="s">
        <v>2</v>
      </c>
      <c r="E57" t="s">
        <v>401</v>
      </c>
      <c r="F57" t="s">
        <v>13</v>
      </c>
      <c r="G57" t="s">
        <v>525</v>
      </c>
    </row>
    <row r="58" spans="1:7" x14ac:dyDescent="0.3">
      <c r="A58">
        <v>0</v>
      </c>
      <c r="B58" t="s">
        <v>312</v>
      </c>
      <c r="C58" t="s">
        <v>416</v>
      </c>
      <c r="D58" t="s">
        <v>2</v>
      </c>
      <c r="E58" t="s">
        <v>416</v>
      </c>
      <c r="F58" t="s">
        <v>13</v>
      </c>
      <c r="G58" t="s">
        <v>525</v>
      </c>
    </row>
    <row r="59" spans="1:7" x14ac:dyDescent="0.3">
      <c r="A59">
        <v>0</v>
      </c>
      <c r="B59" t="s">
        <v>319</v>
      </c>
      <c r="C59" t="s">
        <v>375</v>
      </c>
      <c r="D59" t="s">
        <v>2</v>
      </c>
      <c r="E59" t="s">
        <v>375</v>
      </c>
      <c r="F59" t="s">
        <v>13</v>
      </c>
      <c r="G59" t="s">
        <v>525</v>
      </c>
    </row>
    <row r="60" spans="1:7" x14ac:dyDescent="0.3">
      <c r="A60">
        <v>0</v>
      </c>
      <c r="B60" t="s">
        <v>312</v>
      </c>
      <c r="C60" t="s">
        <v>333</v>
      </c>
      <c r="D60" t="s">
        <v>2</v>
      </c>
      <c r="E60" t="s">
        <v>333</v>
      </c>
      <c r="F60" t="s">
        <v>13</v>
      </c>
      <c r="G60" t="s">
        <v>525</v>
      </c>
    </row>
    <row r="61" spans="1:7" x14ac:dyDescent="0.3">
      <c r="A61">
        <v>0</v>
      </c>
      <c r="B61" t="s">
        <v>57</v>
      </c>
      <c r="C61" t="s">
        <v>118</v>
      </c>
      <c r="D61" t="s">
        <v>2</v>
      </c>
      <c r="E61" t="s">
        <v>118</v>
      </c>
      <c r="F61" t="s">
        <v>13</v>
      </c>
      <c r="G61" t="s">
        <v>525</v>
      </c>
    </row>
    <row r="62" spans="1:7" x14ac:dyDescent="0.3">
      <c r="A62">
        <v>0</v>
      </c>
      <c r="B62" t="s">
        <v>312</v>
      </c>
      <c r="C62" t="s">
        <v>406</v>
      </c>
      <c r="D62" t="s">
        <v>2</v>
      </c>
      <c r="E62" t="s">
        <v>406</v>
      </c>
      <c r="F62" t="s">
        <v>13</v>
      </c>
      <c r="G62" t="s">
        <v>525</v>
      </c>
    </row>
    <row r="63" spans="1:7" x14ac:dyDescent="0.3">
      <c r="A63">
        <v>0</v>
      </c>
      <c r="B63" t="s">
        <v>312</v>
      </c>
      <c r="C63" t="s">
        <v>315</v>
      </c>
      <c r="D63" t="s">
        <v>2</v>
      </c>
      <c r="E63" t="s">
        <v>315</v>
      </c>
      <c r="F63" t="s">
        <v>13</v>
      </c>
      <c r="G63" t="s">
        <v>525</v>
      </c>
    </row>
    <row r="64" spans="1:7" x14ac:dyDescent="0.3">
      <c r="A64">
        <v>0</v>
      </c>
      <c r="B64" t="s">
        <v>312</v>
      </c>
      <c r="C64" t="s">
        <v>358</v>
      </c>
      <c r="D64" t="s">
        <v>2</v>
      </c>
      <c r="E64" t="s">
        <v>358</v>
      </c>
      <c r="F64" t="s">
        <v>13</v>
      </c>
      <c r="G64" t="s">
        <v>525</v>
      </c>
    </row>
    <row r="65" spans="1:7" x14ac:dyDescent="0.3">
      <c r="A65">
        <v>0</v>
      </c>
      <c r="B65" t="s">
        <v>314</v>
      </c>
      <c r="C65" t="s">
        <v>444</v>
      </c>
      <c r="D65" t="s">
        <v>2</v>
      </c>
      <c r="E65" t="s">
        <v>444</v>
      </c>
      <c r="F65" t="s">
        <v>13</v>
      </c>
      <c r="G65" t="s">
        <v>525</v>
      </c>
    </row>
    <row r="66" spans="1:7" x14ac:dyDescent="0.3">
      <c r="A66">
        <v>0</v>
      </c>
      <c r="B66" t="s">
        <v>312</v>
      </c>
      <c r="C66" t="s">
        <v>439</v>
      </c>
      <c r="D66" t="s">
        <v>2</v>
      </c>
      <c r="E66" t="s">
        <v>439</v>
      </c>
      <c r="F66" t="s">
        <v>13</v>
      </c>
      <c r="G66" t="s">
        <v>525</v>
      </c>
    </row>
    <row r="67" spans="1:7" x14ac:dyDescent="0.3">
      <c r="A67">
        <v>0</v>
      </c>
      <c r="B67" t="s">
        <v>312</v>
      </c>
      <c r="C67" t="s">
        <v>381</v>
      </c>
      <c r="D67" t="s">
        <v>2</v>
      </c>
      <c r="E67" t="s">
        <v>381</v>
      </c>
      <c r="F67" t="s">
        <v>13</v>
      </c>
      <c r="G67" t="s">
        <v>525</v>
      </c>
    </row>
    <row r="68" spans="1:7" x14ac:dyDescent="0.3">
      <c r="A68">
        <v>0</v>
      </c>
      <c r="B68" t="s">
        <v>312</v>
      </c>
      <c r="C68" t="s">
        <v>418</v>
      </c>
      <c r="D68" t="s">
        <v>2</v>
      </c>
      <c r="E68" t="s">
        <v>418</v>
      </c>
      <c r="F68" t="s">
        <v>13</v>
      </c>
      <c r="G68" t="s">
        <v>525</v>
      </c>
    </row>
    <row r="69" spans="1:7" x14ac:dyDescent="0.3">
      <c r="A69">
        <v>0</v>
      </c>
      <c r="B69" t="s">
        <v>314</v>
      </c>
      <c r="C69" t="s">
        <v>465</v>
      </c>
      <c r="D69" t="s">
        <v>2</v>
      </c>
      <c r="E69" t="s">
        <v>465</v>
      </c>
      <c r="F69" t="s">
        <v>13</v>
      </c>
      <c r="G69" t="s">
        <v>525</v>
      </c>
    </row>
    <row r="70" spans="1:7" x14ac:dyDescent="0.3">
      <c r="A70">
        <v>0</v>
      </c>
      <c r="B70" t="s">
        <v>105</v>
      </c>
      <c r="C70" t="s">
        <v>103</v>
      </c>
      <c r="D70" t="s">
        <v>2</v>
      </c>
      <c r="E70" t="s">
        <v>103</v>
      </c>
      <c r="F70" t="s">
        <v>13</v>
      </c>
      <c r="G70" t="s">
        <v>525</v>
      </c>
    </row>
    <row r="71" spans="1:7" x14ac:dyDescent="0.3">
      <c r="A71">
        <v>0</v>
      </c>
      <c r="B71" t="s">
        <v>312</v>
      </c>
      <c r="C71" t="s">
        <v>320</v>
      </c>
      <c r="D71" t="s">
        <v>2</v>
      </c>
      <c r="E71" t="s">
        <v>320</v>
      </c>
      <c r="F71" t="s">
        <v>13</v>
      </c>
      <c r="G71" t="s">
        <v>525</v>
      </c>
    </row>
    <row r="72" spans="1:7" x14ac:dyDescent="0.3">
      <c r="A72">
        <v>0</v>
      </c>
      <c r="B72" t="s">
        <v>312</v>
      </c>
      <c r="C72" t="s">
        <v>334</v>
      </c>
      <c r="D72" t="s">
        <v>2</v>
      </c>
      <c r="E72" t="s">
        <v>334</v>
      </c>
      <c r="F72" t="s">
        <v>13</v>
      </c>
      <c r="G72" t="s">
        <v>525</v>
      </c>
    </row>
    <row r="73" spans="1:7" x14ac:dyDescent="0.3">
      <c r="A73">
        <v>0</v>
      </c>
      <c r="B73" t="s">
        <v>312</v>
      </c>
      <c r="C73" t="s">
        <v>435</v>
      </c>
      <c r="D73" t="s">
        <v>2</v>
      </c>
      <c r="E73" t="s">
        <v>435</v>
      </c>
      <c r="F73" t="s">
        <v>13</v>
      </c>
      <c r="G73" t="s">
        <v>525</v>
      </c>
    </row>
    <row r="74" spans="1:7" x14ac:dyDescent="0.3">
      <c r="A74">
        <v>0</v>
      </c>
      <c r="B74" t="s">
        <v>319</v>
      </c>
      <c r="C74" t="s">
        <v>456</v>
      </c>
      <c r="D74" t="s">
        <v>2</v>
      </c>
      <c r="E74" t="s">
        <v>456</v>
      </c>
      <c r="F74" t="s">
        <v>13</v>
      </c>
      <c r="G74" t="s">
        <v>525</v>
      </c>
    </row>
    <row r="75" spans="1:7" x14ac:dyDescent="0.3">
      <c r="A75">
        <v>0</v>
      </c>
      <c r="B75" t="s">
        <v>312</v>
      </c>
      <c r="C75" t="s">
        <v>474</v>
      </c>
      <c r="D75" t="s">
        <v>2</v>
      </c>
      <c r="E75" t="s">
        <v>474</v>
      </c>
      <c r="F75" t="s">
        <v>13</v>
      </c>
      <c r="G75" t="s">
        <v>525</v>
      </c>
    </row>
    <row r="76" spans="1:7" x14ac:dyDescent="0.3">
      <c r="A76">
        <v>0</v>
      </c>
      <c r="B76" t="s">
        <v>319</v>
      </c>
      <c r="C76" t="s">
        <v>318</v>
      </c>
      <c r="D76" t="s">
        <v>2</v>
      </c>
      <c r="E76" t="s">
        <v>318</v>
      </c>
      <c r="F76" t="s">
        <v>13</v>
      </c>
      <c r="G76" t="s">
        <v>525</v>
      </c>
    </row>
    <row r="77" spans="1:7" x14ac:dyDescent="0.3">
      <c r="A77">
        <v>0</v>
      </c>
      <c r="B77" t="s">
        <v>314</v>
      </c>
      <c r="C77" t="s">
        <v>475</v>
      </c>
      <c r="D77" t="s">
        <v>2</v>
      </c>
      <c r="E77" t="s">
        <v>475</v>
      </c>
      <c r="F77" t="s">
        <v>13</v>
      </c>
      <c r="G77" t="s">
        <v>525</v>
      </c>
    </row>
    <row r="78" spans="1:7" x14ac:dyDescent="0.3">
      <c r="A78">
        <v>0</v>
      </c>
      <c r="B78" t="s">
        <v>314</v>
      </c>
      <c r="C78" t="s">
        <v>449</v>
      </c>
      <c r="D78" t="s">
        <v>2</v>
      </c>
      <c r="E78" t="s">
        <v>449</v>
      </c>
      <c r="F78" t="s">
        <v>13</v>
      </c>
      <c r="G78" t="s">
        <v>525</v>
      </c>
    </row>
    <row r="79" spans="1:7" x14ac:dyDescent="0.3">
      <c r="A79">
        <v>0</v>
      </c>
      <c r="B79" t="s">
        <v>314</v>
      </c>
      <c r="C79" t="s">
        <v>176</v>
      </c>
      <c r="D79" t="s">
        <v>2</v>
      </c>
      <c r="E79" t="s">
        <v>176</v>
      </c>
      <c r="F79" t="s">
        <v>13</v>
      </c>
      <c r="G79" t="s">
        <v>525</v>
      </c>
    </row>
    <row r="80" spans="1:7" x14ac:dyDescent="0.3">
      <c r="A80">
        <v>0</v>
      </c>
      <c r="B80" t="s">
        <v>312</v>
      </c>
      <c r="C80" t="s">
        <v>388</v>
      </c>
      <c r="D80" t="s">
        <v>2</v>
      </c>
      <c r="E80" t="s">
        <v>388</v>
      </c>
      <c r="F80" t="s">
        <v>13</v>
      </c>
      <c r="G80" t="s">
        <v>525</v>
      </c>
    </row>
    <row r="81" spans="1:7" x14ac:dyDescent="0.3">
      <c r="A81">
        <v>0</v>
      </c>
      <c r="B81" t="s">
        <v>319</v>
      </c>
      <c r="C81" t="s">
        <v>429</v>
      </c>
      <c r="D81" t="s">
        <v>2</v>
      </c>
      <c r="E81" t="s">
        <v>429</v>
      </c>
      <c r="F81" t="s">
        <v>13</v>
      </c>
      <c r="G81" t="s">
        <v>525</v>
      </c>
    </row>
    <row r="82" spans="1:7" x14ac:dyDescent="0.3">
      <c r="A82">
        <v>0</v>
      </c>
      <c r="B82" t="s">
        <v>312</v>
      </c>
      <c r="C82" t="s">
        <v>272</v>
      </c>
      <c r="D82" t="s">
        <v>2</v>
      </c>
      <c r="E82" t="s">
        <v>272</v>
      </c>
      <c r="F82" t="s">
        <v>13</v>
      </c>
      <c r="G82" t="s">
        <v>525</v>
      </c>
    </row>
    <row r="83" spans="1:7" x14ac:dyDescent="0.3">
      <c r="A83">
        <v>0</v>
      </c>
      <c r="B83" t="s">
        <v>312</v>
      </c>
      <c r="C83" t="s">
        <v>410</v>
      </c>
      <c r="D83" t="s">
        <v>2</v>
      </c>
      <c r="E83" t="s">
        <v>410</v>
      </c>
      <c r="F83" t="s">
        <v>13</v>
      </c>
      <c r="G83" t="s">
        <v>525</v>
      </c>
    </row>
    <row r="84" spans="1:7" x14ac:dyDescent="0.3">
      <c r="A84">
        <v>0</v>
      </c>
      <c r="B84" t="s">
        <v>319</v>
      </c>
      <c r="C84" t="s">
        <v>363</v>
      </c>
      <c r="D84" t="s">
        <v>2</v>
      </c>
      <c r="E84" t="s">
        <v>363</v>
      </c>
      <c r="F84" t="s">
        <v>13</v>
      </c>
      <c r="G84" t="s">
        <v>525</v>
      </c>
    </row>
    <row r="85" spans="1:7" x14ac:dyDescent="0.3">
      <c r="A85">
        <v>0</v>
      </c>
      <c r="B85" t="s">
        <v>312</v>
      </c>
      <c r="C85" t="s">
        <v>382</v>
      </c>
      <c r="D85" t="s">
        <v>2</v>
      </c>
      <c r="E85" t="s">
        <v>382</v>
      </c>
      <c r="F85" t="s">
        <v>13</v>
      </c>
      <c r="G85" t="s">
        <v>525</v>
      </c>
    </row>
    <row r="86" spans="1:7" x14ac:dyDescent="0.3">
      <c r="A86">
        <v>0</v>
      </c>
      <c r="B86" t="s">
        <v>312</v>
      </c>
      <c r="C86" t="s">
        <v>424</v>
      </c>
      <c r="D86" t="s">
        <v>2</v>
      </c>
      <c r="E86" t="s">
        <v>424</v>
      </c>
      <c r="F86" t="s">
        <v>13</v>
      </c>
      <c r="G86" t="s">
        <v>525</v>
      </c>
    </row>
    <row r="87" spans="1:7" x14ac:dyDescent="0.3">
      <c r="A87">
        <v>0</v>
      </c>
      <c r="B87" t="s">
        <v>314</v>
      </c>
      <c r="C87" t="s">
        <v>351</v>
      </c>
      <c r="D87" t="s">
        <v>2</v>
      </c>
      <c r="E87" t="s">
        <v>351</v>
      </c>
      <c r="F87" t="s">
        <v>13</v>
      </c>
      <c r="G87" t="s">
        <v>525</v>
      </c>
    </row>
    <row r="88" spans="1:7" x14ac:dyDescent="0.3">
      <c r="A88">
        <v>0</v>
      </c>
      <c r="B88" t="s">
        <v>312</v>
      </c>
      <c r="C88" t="s">
        <v>347</v>
      </c>
      <c r="D88" t="s">
        <v>2</v>
      </c>
      <c r="E88" t="s">
        <v>347</v>
      </c>
      <c r="F88" t="s">
        <v>13</v>
      </c>
      <c r="G88" t="s">
        <v>525</v>
      </c>
    </row>
    <row r="89" spans="1:7" x14ac:dyDescent="0.3">
      <c r="A89">
        <v>0</v>
      </c>
      <c r="B89" t="s">
        <v>314</v>
      </c>
      <c r="C89" t="s">
        <v>453</v>
      </c>
      <c r="D89" t="s">
        <v>2</v>
      </c>
      <c r="E89" t="s">
        <v>453</v>
      </c>
      <c r="F89" t="s">
        <v>13</v>
      </c>
      <c r="G89" t="s">
        <v>525</v>
      </c>
    </row>
    <row r="90" spans="1:7" x14ac:dyDescent="0.3">
      <c r="A90">
        <v>0</v>
      </c>
      <c r="B90" t="s">
        <v>319</v>
      </c>
      <c r="C90" t="s">
        <v>457</v>
      </c>
      <c r="D90" t="s">
        <v>2</v>
      </c>
      <c r="E90" t="s">
        <v>457</v>
      </c>
      <c r="F90" t="s">
        <v>13</v>
      </c>
      <c r="G90" t="s">
        <v>525</v>
      </c>
    </row>
    <row r="91" spans="1:7" x14ac:dyDescent="0.3">
      <c r="A91">
        <v>0</v>
      </c>
      <c r="B91" t="s">
        <v>312</v>
      </c>
      <c r="C91" t="s">
        <v>485</v>
      </c>
      <c r="D91" t="s">
        <v>2</v>
      </c>
      <c r="E91" t="s">
        <v>485</v>
      </c>
      <c r="F91" t="s">
        <v>13</v>
      </c>
      <c r="G91" t="s">
        <v>525</v>
      </c>
    </row>
    <row r="92" spans="1:7" x14ac:dyDescent="0.3">
      <c r="A92">
        <v>0</v>
      </c>
      <c r="B92" t="s">
        <v>312</v>
      </c>
      <c r="C92" t="s">
        <v>355</v>
      </c>
      <c r="D92" t="s">
        <v>2</v>
      </c>
      <c r="E92" t="s">
        <v>355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338</v>
      </c>
      <c r="D93" t="s">
        <v>2</v>
      </c>
      <c r="E93" t="s">
        <v>338</v>
      </c>
      <c r="F93" t="s">
        <v>13</v>
      </c>
      <c r="G93" t="s">
        <v>525</v>
      </c>
    </row>
    <row r="94" spans="1:7" x14ac:dyDescent="0.3">
      <c r="A94">
        <v>0</v>
      </c>
      <c r="B94" t="s">
        <v>312</v>
      </c>
      <c r="C94" t="s">
        <v>394</v>
      </c>
      <c r="D94" t="s">
        <v>2</v>
      </c>
      <c r="E94" t="s">
        <v>394</v>
      </c>
      <c r="F94" t="s">
        <v>13</v>
      </c>
      <c r="G94" t="s">
        <v>525</v>
      </c>
    </row>
    <row r="95" spans="1:7" x14ac:dyDescent="0.3">
      <c r="A95">
        <v>0</v>
      </c>
      <c r="B95" t="s">
        <v>312</v>
      </c>
      <c r="C95" t="s">
        <v>438</v>
      </c>
      <c r="D95" t="s">
        <v>2</v>
      </c>
      <c r="E95" t="s">
        <v>438</v>
      </c>
      <c r="F95" t="s">
        <v>13</v>
      </c>
      <c r="G95" t="s">
        <v>525</v>
      </c>
    </row>
    <row r="96" spans="1:7" x14ac:dyDescent="0.3">
      <c r="A96">
        <v>0</v>
      </c>
      <c r="B96" t="s">
        <v>312</v>
      </c>
      <c r="C96" t="s">
        <v>486</v>
      </c>
      <c r="D96" t="s">
        <v>2</v>
      </c>
      <c r="E96" t="s">
        <v>486</v>
      </c>
      <c r="F96" t="s">
        <v>13</v>
      </c>
      <c r="G96" t="s">
        <v>525</v>
      </c>
    </row>
    <row r="97" spans="1:7" x14ac:dyDescent="0.3">
      <c r="A97">
        <v>0</v>
      </c>
      <c r="B97" t="s">
        <v>319</v>
      </c>
      <c r="C97" t="s">
        <v>419</v>
      </c>
      <c r="D97" t="s">
        <v>2</v>
      </c>
      <c r="E97" t="s">
        <v>419</v>
      </c>
      <c r="F97" t="s">
        <v>13</v>
      </c>
      <c r="G97" t="s">
        <v>525</v>
      </c>
    </row>
    <row r="98" spans="1:7" x14ac:dyDescent="0.3">
      <c r="A98">
        <v>0</v>
      </c>
      <c r="B98" t="s">
        <v>57</v>
      </c>
      <c r="C98" t="s">
        <v>353</v>
      </c>
      <c r="D98" t="s">
        <v>2</v>
      </c>
      <c r="E98" t="s">
        <v>353</v>
      </c>
      <c r="F98" t="s">
        <v>13</v>
      </c>
      <c r="G98" t="s">
        <v>525</v>
      </c>
    </row>
    <row r="99" spans="1:7" x14ac:dyDescent="0.3">
      <c r="A99">
        <v>0</v>
      </c>
      <c r="B99" t="s">
        <v>319</v>
      </c>
      <c r="C99" t="s">
        <v>489</v>
      </c>
      <c r="D99" t="s">
        <v>2</v>
      </c>
      <c r="E99" t="s">
        <v>489</v>
      </c>
      <c r="F99" t="s">
        <v>13</v>
      </c>
      <c r="G99" t="s">
        <v>525</v>
      </c>
    </row>
    <row r="100" spans="1:7" x14ac:dyDescent="0.3">
      <c r="A100">
        <v>0</v>
      </c>
      <c r="B100" t="s">
        <v>312</v>
      </c>
      <c r="C100" t="s">
        <v>386</v>
      </c>
      <c r="D100" t="s">
        <v>2</v>
      </c>
      <c r="E100" t="s">
        <v>386</v>
      </c>
      <c r="F100" t="s">
        <v>13</v>
      </c>
      <c r="G100" t="s">
        <v>525</v>
      </c>
    </row>
    <row r="101" spans="1:7" x14ac:dyDescent="0.3">
      <c r="A101">
        <v>0</v>
      </c>
      <c r="B101" t="s">
        <v>319</v>
      </c>
      <c r="C101" t="s">
        <v>389</v>
      </c>
      <c r="D101" t="s">
        <v>2</v>
      </c>
      <c r="E101" t="s">
        <v>389</v>
      </c>
      <c r="F101" t="s">
        <v>13</v>
      </c>
      <c r="G101" t="s">
        <v>525</v>
      </c>
    </row>
    <row r="102" spans="1:7" x14ac:dyDescent="0.3">
      <c r="A102">
        <v>0</v>
      </c>
      <c r="B102" t="s">
        <v>312</v>
      </c>
      <c r="C102" t="s">
        <v>340</v>
      </c>
      <c r="D102" t="s">
        <v>2</v>
      </c>
      <c r="E102" t="s">
        <v>340</v>
      </c>
      <c r="F102" t="s">
        <v>13</v>
      </c>
      <c r="G102" t="s">
        <v>525</v>
      </c>
    </row>
    <row r="103" spans="1:7" x14ac:dyDescent="0.3">
      <c r="A103">
        <v>0</v>
      </c>
      <c r="B103" t="s">
        <v>312</v>
      </c>
      <c r="C103" t="s">
        <v>368</v>
      </c>
      <c r="D103" t="s">
        <v>2</v>
      </c>
      <c r="E103" t="s">
        <v>368</v>
      </c>
      <c r="F103" t="s">
        <v>13</v>
      </c>
      <c r="G103" t="s">
        <v>525</v>
      </c>
    </row>
    <row r="104" spans="1:7" x14ac:dyDescent="0.3">
      <c r="A104">
        <v>0</v>
      </c>
      <c r="B104" t="s">
        <v>312</v>
      </c>
      <c r="C104" t="s">
        <v>328</v>
      </c>
      <c r="D104" t="s">
        <v>2</v>
      </c>
      <c r="E104" t="s">
        <v>328</v>
      </c>
      <c r="F104" t="s">
        <v>13</v>
      </c>
      <c r="G104" t="s">
        <v>525</v>
      </c>
    </row>
    <row r="105" spans="1:7" x14ac:dyDescent="0.3">
      <c r="A105">
        <v>0</v>
      </c>
      <c r="B105" t="s">
        <v>312</v>
      </c>
      <c r="C105" t="s">
        <v>479</v>
      </c>
      <c r="D105" t="s">
        <v>2</v>
      </c>
      <c r="E105" t="s">
        <v>479</v>
      </c>
      <c r="F105" t="s">
        <v>13</v>
      </c>
      <c r="G105" t="s">
        <v>525</v>
      </c>
    </row>
    <row r="106" spans="1:7" x14ac:dyDescent="0.3">
      <c r="A106">
        <v>0</v>
      </c>
      <c r="B106" t="s">
        <v>57</v>
      </c>
      <c r="C106" t="s">
        <v>116</v>
      </c>
      <c r="D106" t="s">
        <v>2</v>
      </c>
      <c r="E106" t="s">
        <v>116</v>
      </c>
      <c r="F106" t="s">
        <v>13</v>
      </c>
      <c r="G106" t="s">
        <v>525</v>
      </c>
    </row>
    <row r="107" spans="1:7" x14ac:dyDescent="0.3">
      <c r="A107">
        <v>0</v>
      </c>
      <c r="B107" t="s">
        <v>312</v>
      </c>
      <c r="C107" t="s">
        <v>352</v>
      </c>
      <c r="D107" t="s">
        <v>2</v>
      </c>
      <c r="E107" t="s">
        <v>352</v>
      </c>
      <c r="F107" t="s">
        <v>13</v>
      </c>
      <c r="G107" t="s">
        <v>525</v>
      </c>
    </row>
    <row r="108" spans="1:7" x14ac:dyDescent="0.3">
      <c r="A108">
        <v>0</v>
      </c>
      <c r="B108" t="s">
        <v>312</v>
      </c>
      <c r="C108" t="s">
        <v>417</v>
      </c>
      <c r="D108" t="s">
        <v>2</v>
      </c>
      <c r="E108" t="s">
        <v>417</v>
      </c>
      <c r="F108" t="s">
        <v>13</v>
      </c>
      <c r="G108" t="s">
        <v>525</v>
      </c>
    </row>
    <row r="109" spans="1:7" x14ac:dyDescent="0.3">
      <c r="A109">
        <v>0</v>
      </c>
      <c r="B109" t="s">
        <v>312</v>
      </c>
      <c r="C109" t="s">
        <v>447</v>
      </c>
      <c r="D109" t="s">
        <v>2</v>
      </c>
      <c r="E109" t="s">
        <v>447</v>
      </c>
      <c r="F109" t="s">
        <v>13</v>
      </c>
      <c r="G109" t="s">
        <v>525</v>
      </c>
    </row>
    <row r="110" spans="1:7" x14ac:dyDescent="0.3">
      <c r="A110">
        <v>0</v>
      </c>
      <c r="B110" t="s">
        <v>319</v>
      </c>
      <c r="C110" t="s">
        <v>329</v>
      </c>
      <c r="D110" t="s">
        <v>2</v>
      </c>
      <c r="E110" t="s">
        <v>329</v>
      </c>
      <c r="F110" t="s">
        <v>13</v>
      </c>
      <c r="G110" t="s">
        <v>525</v>
      </c>
    </row>
    <row r="111" spans="1:7" x14ac:dyDescent="0.3">
      <c r="A111">
        <v>0</v>
      </c>
      <c r="B111" t="s">
        <v>312</v>
      </c>
      <c r="C111" t="s">
        <v>252</v>
      </c>
      <c r="D111" t="s">
        <v>2</v>
      </c>
      <c r="E111" t="s">
        <v>252</v>
      </c>
      <c r="F111" t="s">
        <v>13</v>
      </c>
      <c r="G111" t="s">
        <v>525</v>
      </c>
    </row>
    <row r="112" spans="1:7" x14ac:dyDescent="0.3">
      <c r="A112">
        <v>0</v>
      </c>
      <c r="B112" t="s">
        <v>312</v>
      </c>
      <c r="C112" t="s">
        <v>317</v>
      </c>
      <c r="D112" t="s">
        <v>2</v>
      </c>
      <c r="E112" t="s">
        <v>317</v>
      </c>
      <c r="F112" t="s">
        <v>13</v>
      </c>
      <c r="G112" t="s">
        <v>525</v>
      </c>
    </row>
    <row r="113" spans="1:7" x14ac:dyDescent="0.3">
      <c r="A113">
        <v>0</v>
      </c>
      <c r="B113" t="s">
        <v>312</v>
      </c>
      <c r="C113" t="s">
        <v>436</v>
      </c>
      <c r="D113" t="s">
        <v>2</v>
      </c>
      <c r="E113" t="s">
        <v>436</v>
      </c>
      <c r="F113" t="s">
        <v>13</v>
      </c>
      <c r="G113" t="s">
        <v>525</v>
      </c>
    </row>
    <row r="114" spans="1:7" x14ac:dyDescent="0.3">
      <c r="A114">
        <v>0</v>
      </c>
      <c r="B114" t="s">
        <v>319</v>
      </c>
      <c r="C114" t="s">
        <v>490</v>
      </c>
      <c r="D114" t="s">
        <v>2</v>
      </c>
      <c r="E114" t="s">
        <v>490</v>
      </c>
      <c r="F114" t="s">
        <v>13</v>
      </c>
      <c r="G114" t="s">
        <v>525</v>
      </c>
    </row>
    <row r="115" spans="1:7" x14ac:dyDescent="0.3">
      <c r="A115">
        <v>0</v>
      </c>
      <c r="B115" t="s">
        <v>312</v>
      </c>
      <c r="C115" t="s">
        <v>391</v>
      </c>
      <c r="D115" t="s">
        <v>2</v>
      </c>
      <c r="E115" t="s">
        <v>391</v>
      </c>
      <c r="F115" t="s">
        <v>13</v>
      </c>
      <c r="G115" t="s">
        <v>525</v>
      </c>
    </row>
    <row r="116" spans="1:7" x14ac:dyDescent="0.3">
      <c r="A116">
        <v>0</v>
      </c>
      <c r="B116" t="s">
        <v>312</v>
      </c>
      <c r="C116" t="s">
        <v>235</v>
      </c>
      <c r="D116" t="s">
        <v>2</v>
      </c>
      <c r="E116" t="s">
        <v>235</v>
      </c>
      <c r="F116" t="s">
        <v>13</v>
      </c>
      <c r="G116" t="s">
        <v>525</v>
      </c>
    </row>
    <row r="117" spans="1:7" x14ac:dyDescent="0.3">
      <c r="A117">
        <v>0</v>
      </c>
      <c r="B117" t="s">
        <v>312</v>
      </c>
      <c r="C117" t="s">
        <v>493</v>
      </c>
      <c r="D117" t="s">
        <v>2</v>
      </c>
      <c r="E117" t="s">
        <v>493</v>
      </c>
      <c r="F117" t="s">
        <v>13</v>
      </c>
      <c r="G117" t="s">
        <v>525</v>
      </c>
    </row>
    <row r="118" spans="1:7" x14ac:dyDescent="0.3">
      <c r="A118">
        <v>0</v>
      </c>
      <c r="B118" t="s">
        <v>312</v>
      </c>
      <c r="C118" t="s">
        <v>335</v>
      </c>
      <c r="D118" t="s">
        <v>2</v>
      </c>
      <c r="E118" t="s">
        <v>335</v>
      </c>
      <c r="F118" t="s">
        <v>13</v>
      </c>
      <c r="G118" t="s">
        <v>525</v>
      </c>
    </row>
    <row r="119" spans="1:7" x14ac:dyDescent="0.3">
      <c r="A119">
        <v>0</v>
      </c>
      <c r="B119" t="s">
        <v>312</v>
      </c>
      <c r="C119" t="s">
        <v>354</v>
      </c>
      <c r="D119" t="s">
        <v>2</v>
      </c>
      <c r="E119" t="s">
        <v>354</v>
      </c>
      <c r="F119" t="s">
        <v>13</v>
      </c>
      <c r="G119" t="s">
        <v>525</v>
      </c>
    </row>
    <row r="120" spans="1:7" x14ac:dyDescent="0.3">
      <c r="A120">
        <v>0</v>
      </c>
      <c r="B120" t="s">
        <v>319</v>
      </c>
      <c r="C120" t="s">
        <v>360</v>
      </c>
      <c r="D120" t="s">
        <v>2</v>
      </c>
      <c r="E120" t="s">
        <v>360</v>
      </c>
      <c r="F120" t="s">
        <v>13</v>
      </c>
      <c r="G120" t="s">
        <v>525</v>
      </c>
    </row>
    <row r="121" spans="1:7" x14ac:dyDescent="0.3">
      <c r="A121">
        <v>0</v>
      </c>
      <c r="B121" t="s">
        <v>314</v>
      </c>
      <c r="C121" t="s">
        <v>356</v>
      </c>
      <c r="D121" t="s">
        <v>2</v>
      </c>
      <c r="E121" t="s">
        <v>356</v>
      </c>
      <c r="F121" t="s">
        <v>13</v>
      </c>
      <c r="G121" t="s">
        <v>525</v>
      </c>
    </row>
    <row r="122" spans="1:7" x14ac:dyDescent="0.3">
      <c r="A122">
        <v>0</v>
      </c>
      <c r="B122" t="s">
        <v>312</v>
      </c>
      <c r="C122" t="s">
        <v>405</v>
      </c>
      <c r="D122" t="s">
        <v>2</v>
      </c>
      <c r="E122" t="s">
        <v>405</v>
      </c>
      <c r="F122" t="s">
        <v>13</v>
      </c>
      <c r="G122" t="s">
        <v>525</v>
      </c>
    </row>
    <row r="123" spans="1:7" x14ac:dyDescent="0.3">
      <c r="A123">
        <v>0</v>
      </c>
      <c r="B123" t="s">
        <v>312</v>
      </c>
      <c r="C123" t="s">
        <v>471</v>
      </c>
      <c r="D123" t="s">
        <v>2</v>
      </c>
      <c r="E123" t="s">
        <v>471</v>
      </c>
      <c r="F123" t="s">
        <v>13</v>
      </c>
      <c r="G123" t="s">
        <v>525</v>
      </c>
    </row>
    <row r="124" spans="1:7" x14ac:dyDescent="0.3">
      <c r="A124">
        <v>0</v>
      </c>
      <c r="B124" t="s">
        <v>319</v>
      </c>
      <c r="C124" t="s">
        <v>421</v>
      </c>
      <c r="D124" t="s">
        <v>2</v>
      </c>
      <c r="E124" t="s">
        <v>421</v>
      </c>
      <c r="F124" t="s">
        <v>13</v>
      </c>
      <c r="G124" t="s">
        <v>525</v>
      </c>
    </row>
    <row r="125" spans="1:7" x14ac:dyDescent="0.3">
      <c r="A125">
        <v>0</v>
      </c>
      <c r="B125" t="s">
        <v>312</v>
      </c>
      <c r="C125" t="s">
        <v>321</v>
      </c>
      <c r="D125" t="s">
        <v>2</v>
      </c>
      <c r="E125" t="s">
        <v>321</v>
      </c>
      <c r="F125" t="s">
        <v>13</v>
      </c>
      <c r="G125" t="s">
        <v>525</v>
      </c>
    </row>
    <row r="126" spans="1:7" x14ac:dyDescent="0.3">
      <c r="A126">
        <v>0</v>
      </c>
      <c r="B126" t="s">
        <v>105</v>
      </c>
      <c r="C126" t="s">
        <v>113</v>
      </c>
      <c r="D126" t="s">
        <v>2</v>
      </c>
      <c r="E126" t="s">
        <v>113</v>
      </c>
      <c r="F126" t="s">
        <v>13</v>
      </c>
      <c r="G126" t="s">
        <v>525</v>
      </c>
    </row>
    <row r="127" spans="1:7" x14ac:dyDescent="0.3">
      <c r="A127">
        <v>0</v>
      </c>
      <c r="B127" t="s">
        <v>312</v>
      </c>
      <c r="C127" t="s">
        <v>348</v>
      </c>
      <c r="D127" t="s">
        <v>2</v>
      </c>
      <c r="E127" t="s">
        <v>348</v>
      </c>
      <c r="F127" t="s">
        <v>13</v>
      </c>
      <c r="G127" t="s">
        <v>525</v>
      </c>
    </row>
    <row r="128" spans="1:7" x14ac:dyDescent="0.3">
      <c r="A128">
        <v>0</v>
      </c>
      <c r="B128" t="s">
        <v>105</v>
      </c>
      <c r="C128" t="s">
        <v>469</v>
      </c>
      <c r="D128" t="s">
        <v>2</v>
      </c>
      <c r="E128" t="s">
        <v>469</v>
      </c>
      <c r="F128" t="s">
        <v>13</v>
      </c>
      <c r="G128" t="s">
        <v>525</v>
      </c>
    </row>
    <row r="129" spans="1:7" x14ac:dyDescent="0.3">
      <c r="A129">
        <v>0</v>
      </c>
      <c r="B129" t="s">
        <v>314</v>
      </c>
      <c r="C129" t="s">
        <v>481</v>
      </c>
      <c r="D129" t="s">
        <v>2</v>
      </c>
      <c r="E129" t="s">
        <v>481</v>
      </c>
      <c r="F129" t="s">
        <v>13</v>
      </c>
      <c r="G129" t="s">
        <v>525</v>
      </c>
    </row>
    <row r="130" spans="1:7" x14ac:dyDescent="0.3">
      <c r="A130">
        <v>0</v>
      </c>
      <c r="B130" t="s">
        <v>312</v>
      </c>
      <c r="C130" t="s">
        <v>398</v>
      </c>
      <c r="D130" t="s">
        <v>2</v>
      </c>
      <c r="E130" t="s">
        <v>398</v>
      </c>
      <c r="F130" t="s">
        <v>13</v>
      </c>
      <c r="G130" t="s">
        <v>525</v>
      </c>
    </row>
    <row r="131" spans="1:7" x14ac:dyDescent="0.3">
      <c r="A131">
        <v>0</v>
      </c>
      <c r="B131" t="s">
        <v>314</v>
      </c>
      <c r="C131" t="s">
        <v>342</v>
      </c>
      <c r="D131" t="s">
        <v>2</v>
      </c>
      <c r="E131" t="s">
        <v>342</v>
      </c>
      <c r="F131" t="s">
        <v>13</v>
      </c>
      <c r="G131" t="s">
        <v>525</v>
      </c>
    </row>
    <row r="132" spans="1:7" x14ac:dyDescent="0.3">
      <c r="A132">
        <v>0</v>
      </c>
      <c r="B132" t="s">
        <v>312</v>
      </c>
      <c r="C132" t="s">
        <v>322</v>
      </c>
      <c r="D132" t="s">
        <v>2</v>
      </c>
      <c r="E132" t="s">
        <v>322</v>
      </c>
      <c r="F132" t="s">
        <v>13</v>
      </c>
      <c r="G132" t="s">
        <v>525</v>
      </c>
    </row>
    <row r="133" spans="1:7" x14ac:dyDescent="0.3">
      <c r="A133">
        <v>0</v>
      </c>
      <c r="B133" t="s">
        <v>314</v>
      </c>
      <c r="C133" t="s">
        <v>409</v>
      </c>
      <c r="D133" t="s">
        <v>2</v>
      </c>
      <c r="E133" t="s">
        <v>409</v>
      </c>
      <c r="F133" t="s">
        <v>13</v>
      </c>
      <c r="G133" t="s">
        <v>525</v>
      </c>
    </row>
    <row r="134" spans="1:7" x14ac:dyDescent="0.3">
      <c r="A134">
        <v>0</v>
      </c>
      <c r="B134" t="s">
        <v>314</v>
      </c>
      <c r="C134" t="s">
        <v>480</v>
      </c>
      <c r="D134" t="s">
        <v>2</v>
      </c>
      <c r="E134" t="s">
        <v>480</v>
      </c>
      <c r="F134" t="s">
        <v>13</v>
      </c>
      <c r="G134" t="s">
        <v>525</v>
      </c>
    </row>
    <row r="135" spans="1:7" x14ac:dyDescent="0.3">
      <c r="A135">
        <v>0</v>
      </c>
      <c r="B135" t="s">
        <v>105</v>
      </c>
      <c r="C135" t="s">
        <v>121</v>
      </c>
      <c r="D135" t="s">
        <v>2</v>
      </c>
      <c r="E135" t="s">
        <v>121</v>
      </c>
      <c r="F135" t="s">
        <v>13</v>
      </c>
      <c r="G135" t="s">
        <v>525</v>
      </c>
    </row>
    <row r="136" spans="1:7" x14ac:dyDescent="0.3">
      <c r="A136">
        <v>0</v>
      </c>
      <c r="B136" t="s">
        <v>312</v>
      </c>
      <c r="C136" t="s">
        <v>359</v>
      </c>
      <c r="D136" t="s">
        <v>2</v>
      </c>
      <c r="E136" t="s">
        <v>359</v>
      </c>
      <c r="F136" t="s">
        <v>13</v>
      </c>
      <c r="G136" t="s">
        <v>525</v>
      </c>
    </row>
    <row r="137" spans="1:7" x14ac:dyDescent="0.3">
      <c r="A137">
        <v>0</v>
      </c>
      <c r="B137" t="s">
        <v>319</v>
      </c>
      <c r="C137" t="s">
        <v>468</v>
      </c>
      <c r="D137" t="s">
        <v>2</v>
      </c>
      <c r="E137" t="s">
        <v>468</v>
      </c>
      <c r="F137" t="s">
        <v>13</v>
      </c>
      <c r="G137" t="s">
        <v>525</v>
      </c>
    </row>
    <row r="138" spans="1:7" x14ac:dyDescent="0.3">
      <c r="A138">
        <v>0</v>
      </c>
      <c r="B138" t="s">
        <v>319</v>
      </c>
      <c r="C138" t="s">
        <v>458</v>
      </c>
      <c r="D138" t="s">
        <v>2</v>
      </c>
      <c r="E138" t="s">
        <v>458</v>
      </c>
      <c r="F138" t="s">
        <v>13</v>
      </c>
      <c r="G138" t="s">
        <v>525</v>
      </c>
    </row>
    <row r="139" spans="1:7" x14ac:dyDescent="0.3">
      <c r="A139">
        <v>0</v>
      </c>
      <c r="B139" t="s">
        <v>312</v>
      </c>
      <c r="C139" t="s">
        <v>370</v>
      </c>
      <c r="D139" t="s">
        <v>2</v>
      </c>
      <c r="E139" t="s">
        <v>370</v>
      </c>
      <c r="F139" t="s">
        <v>13</v>
      </c>
      <c r="G139" t="s">
        <v>525</v>
      </c>
    </row>
    <row r="140" spans="1:7" x14ac:dyDescent="0.3">
      <c r="A140">
        <v>0</v>
      </c>
      <c r="B140" t="s">
        <v>57</v>
      </c>
      <c r="C140" t="s">
        <v>114</v>
      </c>
      <c r="D140" t="s">
        <v>2</v>
      </c>
      <c r="E140" t="s">
        <v>114</v>
      </c>
      <c r="F140" t="s">
        <v>13</v>
      </c>
      <c r="G140" t="s">
        <v>525</v>
      </c>
    </row>
    <row r="141" spans="1:7" x14ac:dyDescent="0.3">
      <c r="A141">
        <v>0</v>
      </c>
      <c r="B141" t="s">
        <v>319</v>
      </c>
      <c r="C141" t="s">
        <v>404</v>
      </c>
      <c r="D141" t="s">
        <v>2</v>
      </c>
      <c r="E141" t="s">
        <v>404</v>
      </c>
      <c r="F141" t="s">
        <v>13</v>
      </c>
      <c r="G141" t="s">
        <v>525</v>
      </c>
    </row>
    <row r="142" spans="1:7" x14ac:dyDescent="0.3">
      <c r="A142">
        <v>0</v>
      </c>
      <c r="B142" t="s">
        <v>312</v>
      </c>
      <c r="C142" t="s">
        <v>369</v>
      </c>
      <c r="D142" t="s">
        <v>2</v>
      </c>
      <c r="E142" t="s">
        <v>369</v>
      </c>
      <c r="F142" t="s">
        <v>13</v>
      </c>
      <c r="G142" t="s">
        <v>525</v>
      </c>
    </row>
    <row r="143" spans="1:7" x14ac:dyDescent="0.3">
      <c r="A143">
        <v>0</v>
      </c>
      <c r="B143" t="s">
        <v>57</v>
      </c>
      <c r="C143" t="s">
        <v>122</v>
      </c>
      <c r="D143" t="s">
        <v>2</v>
      </c>
      <c r="E143" t="s">
        <v>122</v>
      </c>
      <c r="F143" t="s">
        <v>13</v>
      </c>
      <c r="G143" t="s">
        <v>525</v>
      </c>
    </row>
    <row r="144" spans="1:7" x14ac:dyDescent="0.3">
      <c r="A144">
        <v>0</v>
      </c>
      <c r="B144" t="s">
        <v>319</v>
      </c>
      <c r="C144" t="s">
        <v>390</v>
      </c>
      <c r="D144" t="s">
        <v>2</v>
      </c>
      <c r="E144" t="s">
        <v>390</v>
      </c>
      <c r="F144" t="s">
        <v>13</v>
      </c>
      <c r="G144" t="s">
        <v>525</v>
      </c>
    </row>
    <row r="145" spans="1:7" x14ac:dyDescent="0.3">
      <c r="A145">
        <v>0</v>
      </c>
      <c r="B145" t="s">
        <v>312</v>
      </c>
      <c r="C145" t="s">
        <v>492</v>
      </c>
      <c r="D145" t="s">
        <v>2</v>
      </c>
      <c r="E145" t="s">
        <v>492</v>
      </c>
      <c r="F145" t="s">
        <v>13</v>
      </c>
      <c r="G145" t="s">
        <v>525</v>
      </c>
    </row>
    <row r="146" spans="1:7" x14ac:dyDescent="0.3">
      <c r="A146">
        <v>0</v>
      </c>
      <c r="B146" t="s">
        <v>312</v>
      </c>
      <c r="C146" t="s">
        <v>345</v>
      </c>
      <c r="D146" t="s">
        <v>2</v>
      </c>
      <c r="E146" t="s">
        <v>345</v>
      </c>
      <c r="F146" t="s">
        <v>13</v>
      </c>
      <c r="G146" t="s">
        <v>525</v>
      </c>
    </row>
    <row r="147" spans="1:7" x14ac:dyDescent="0.3">
      <c r="A147">
        <v>0</v>
      </c>
      <c r="B147" t="s">
        <v>314</v>
      </c>
      <c r="C147" t="s">
        <v>374</v>
      </c>
      <c r="D147" t="s">
        <v>2</v>
      </c>
      <c r="E147" t="s">
        <v>374</v>
      </c>
      <c r="F147" t="s">
        <v>13</v>
      </c>
      <c r="G147" t="s">
        <v>525</v>
      </c>
    </row>
    <row r="148" spans="1:7" x14ac:dyDescent="0.3">
      <c r="A148">
        <v>0</v>
      </c>
      <c r="B148" t="s">
        <v>105</v>
      </c>
      <c r="C148" t="s">
        <v>124</v>
      </c>
      <c r="D148" t="s">
        <v>2</v>
      </c>
      <c r="E148" t="s">
        <v>124</v>
      </c>
      <c r="F148" t="s">
        <v>13</v>
      </c>
      <c r="G148" t="s">
        <v>525</v>
      </c>
    </row>
    <row r="149" spans="1:7" x14ac:dyDescent="0.3">
      <c r="A149">
        <v>0</v>
      </c>
      <c r="B149" t="s">
        <v>312</v>
      </c>
      <c r="C149" t="s">
        <v>440</v>
      </c>
      <c r="D149" t="s">
        <v>2</v>
      </c>
      <c r="E149" t="s">
        <v>440</v>
      </c>
      <c r="F149" t="s">
        <v>13</v>
      </c>
      <c r="G149" t="s">
        <v>525</v>
      </c>
    </row>
    <row r="150" spans="1:7" x14ac:dyDescent="0.3">
      <c r="A150">
        <v>0</v>
      </c>
      <c r="B150" t="s">
        <v>312</v>
      </c>
      <c r="C150" t="s">
        <v>316</v>
      </c>
      <c r="D150" t="s">
        <v>2</v>
      </c>
      <c r="E150" t="s">
        <v>316</v>
      </c>
      <c r="F150" t="s">
        <v>13</v>
      </c>
      <c r="G150" t="s">
        <v>525</v>
      </c>
    </row>
    <row r="151" spans="1:7" x14ac:dyDescent="0.3">
      <c r="A151">
        <v>0</v>
      </c>
      <c r="B151" t="s">
        <v>312</v>
      </c>
      <c r="C151" t="s">
        <v>427</v>
      </c>
      <c r="D151" t="s">
        <v>2</v>
      </c>
      <c r="E151" t="s">
        <v>427</v>
      </c>
      <c r="F151" t="s">
        <v>13</v>
      </c>
      <c r="G151" t="s">
        <v>525</v>
      </c>
    </row>
    <row r="152" spans="1:7" x14ac:dyDescent="0.3">
      <c r="A152">
        <v>0</v>
      </c>
      <c r="B152" t="s">
        <v>312</v>
      </c>
      <c r="C152" t="s">
        <v>332</v>
      </c>
      <c r="D152" t="s">
        <v>2</v>
      </c>
      <c r="E152" t="s">
        <v>332</v>
      </c>
      <c r="F152" t="s">
        <v>13</v>
      </c>
      <c r="G152" t="s">
        <v>525</v>
      </c>
    </row>
    <row r="153" spans="1:7" x14ac:dyDescent="0.3">
      <c r="A153">
        <v>0</v>
      </c>
      <c r="B153" t="s">
        <v>312</v>
      </c>
      <c r="C153" t="s">
        <v>336</v>
      </c>
      <c r="D153" t="s">
        <v>2</v>
      </c>
      <c r="E153" t="s">
        <v>336</v>
      </c>
      <c r="F153" t="s">
        <v>13</v>
      </c>
      <c r="G153" t="s">
        <v>525</v>
      </c>
    </row>
    <row r="154" spans="1:7" x14ac:dyDescent="0.3">
      <c r="A154">
        <v>0</v>
      </c>
      <c r="B154" t="s">
        <v>314</v>
      </c>
      <c r="C154" t="s">
        <v>393</v>
      </c>
      <c r="D154" t="s">
        <v>2</v>
      </c>
      <c r="E154" t="s">
        <v>393</v>
      </c>
      <c r="F154" t="s">
        <v>13</v>
      </c>
      <c r="G154" t="s">
        <v>525</v>
      </c>
    </row>
    <row r="155" spans="1:7" x14ac:dyDescent="0.3">
      <c r="A155">
        <v>0</v>
      </c>
      <c r="B155" t="s">
        <v>312</v>
      </c>
      <c r="C155" t="s">
        <v>339</v>
      </c>
      <c r="D155" t="s">
        <v>2</v>
      </c>
      <c r="E155" t="s">
        <v>339</v>
      </c>
      <c r="F155" t="s">
        <v>13</v>
      </c>
      <c r="G155" t="s">
        <v>525</v>
      </c>
    </row>
    <row r="156" spans="1:7" x14ac:dyDescent="0.3">
      <c r="A156">
        <v>0</v>
      </c>
      <c r="B156" t="s">
        <v>312</v>
      </c>
      <c r="C156" t="s">
        <v>400</v>
      </c>
      <c r="D156" t="s">
        <v>2</v>
      </c>
      <c r="E156" t="s">
        <v>400</v>
      </c>
      <c r="F156" t="s">
        <v>13</v>
      </c>
      <c r="G156" t="s">
        <v>525</v>
      </c>
    </row>
    <row r="157" spans="1:7" x14ac:dyDescent="0.3">
      <c r="A157">
        <v>0</v>
      </c>
      <c r="B157" t="s">
        <v>312</v>
      </c>
      <c r="C157" t="s">
        <v>380</v>
      </c>
      <c r="D157" t="s">
        <v>2</v>
      </c>
      <c r="E157" t="s">
        <v>380</v>
      </c>
      <c r="F157" t="s">
        <v>13</v>
      </c>
      <c r="G157" t="s">
        <v>525</v>
      </c>
    </row>
    <row r="158" spans="1:7" x14ac:dyDescent="0.3">
      <c r="A158">
        <v>0</v>
      </c>
      <c r="B158" t="s">
        <v>312</v>
      </c>
      <c r="C158" t="s">
        <v>442</v>
      </c>
      <c r="D158" t="s">
        <v>2</v>
      </c>
      <c r="E158" t="s">
        <v>442</v>
      </c>
      <c r="F158" t="s">
        <v>13</v>
      </c>
      <c r="G158" t="s">
        <v>525</v>
      </c>
    </row>
    <row r="159" spans="1:7" x14ac:dyDescent="0.3">
      <c r="A159">
        <v>0</v>
      </c>
      <c r="B159" t="s">
        <v>314</v>
      </c>
      <c r="C159" t="s">
        <v>349</v>
      </c>
      <c r="D159" t="s">
        <v>2</v>
      </c>
      <c r="E159" t="s">
        <v>349</v>
      </c>
      <c r="F159" t="s">
        <v>13</v>
      </c>
      <c r="G159" t="s">
        <v>525</v>
      </c>
    </row>
    <row r="160" spans="1:7" x14ac:dyDescent="0.3">
      <c r="A160">
        <v>0</v>
      </c>
      <c r="B160" t="s">
        <v>57</v>
      </c>
      <c r="C160" t="s">
        <v>470</v>
      </c>
      <c r="D160" t="s">
        <v>2</v>
      </c>
      <c r="E160" t="s">
        <v>470</v>
      </c>
      <c r="F160" t="s">
        <v>13</v>
      </c>
      <c r="G160" t="s">
        <v>525</v>
      </c>
    </row>
    <row r="161" spans="1:7" x14ac:dyDescent="0.3">
      <c r="A161">
        <v>0</v>
      </c>
      <c r="B161" t="s">
        <v>319</v>
      </c>
      <c r="C161" t="s">
        <v>463</v>
      </c>
      <c r="D161" t="s">
        <v>2</v>
      </c>
      <c r="E161" t="s">
        <v>463</v>
      </c>
      <c r="F161" t="s">
        <v>13</v>
      </c>
      <c r="G161" t="s">
        <v>525</v>
      </c>
    </row>
    <row r="162" spans="1:7" x14ac:dyDescent="0.3">
      <c r="A162">
        <v>0</v>
      </c>
      <c r="B162" t="s">
        <v>314</v>
      </c>
      <c r="C162" t="s">
        <v>343</v>
      </c>
      <c r="D162" t="s">
        <v>2</v>
      </c>
      <c r="E162" t="s">
        <v>343</v>
      </c>
      <c r="F162" t="s">
        <v>13</v>
      </c>
      <c r="G162" t="s">
        <v>525</v>
      </c>
    </row>
    <row r="163" spans="1:7" x14ac:dyDescent="0.3">
      <c r="A163">
        <v>0</v>
      </c>
      <c r="B163" t="s">
        <v>312</v>
      </c>
      <c r="C163" t="s">
        <v>371</v>
      </c>
      <c r="D163" t="s">
        <v>2</v>
      </c>
      <c r="E163" t="s">
        <v>371</v>
      </c>
      <c r="F163" t="s">
        <v>13</v>
      </c>
      <c r="G163" t="s">
        <v>525</v>
      </c>
    </row>
    <row r="164" spans="1:7" x14ac:dyDescent="0.3">
      <c r="A164">
        <v>0</v>
      </c>
      <c r="B164" t="s">
        <v>312</v>
      </c>
      <c r="C164" t="s">
        <v>366</v>
      </c>
      <c r="D164" t="s">
        <v>2</v>
      </c>
      <c r="E164" t="s">
        <v>366</v>
      </c>
      <c r="F164" t="s">
        <v>13</v>
      </c>
      <c r="G164" t="s">
        <v>525</v>
      </c>
    </row>
    <row r="165" spans="1:7" x14ac:dyDescent="0.3">
      <c r="A165">
        <v>0</v>
      </c>
      <c r="B165" t="s">
        <v>312</v>
      </c>
      <c r="C165" t="s">
        <v>384</v>
      </c>
      <c r="D165" t="s">
        <v>2</v>
      </c>
      <c r="E165" t="s">
        <v>384</v>
      </c>
      <c r="F165" t="s">
        <v>13</v>
      </c>
      <c r="G165" t="s">
        <v>525</v>
      </c>
    </row>
    <row r="166" spans="1:7" x14ac:dyDescent="0.3">
      <c r="A166">
        <v>0</v>
      </c>
      <c r="B166" t="s">
        <v>319</v>
      </c>
      <c r="C166" t="s">
        <v>464</v>
      </c>
      <c r="D166" t="s">
        <v>2</v>
      </c>
      <c r="E166" t="s">
        <v>464</v>
      </c>
      <c r="F166" t="s">
        <v>13</v>
      </c>
      <c r="G166" t="s">
        <v>525</v>
      </c>
    </row>
    <row r="167" spans="1:7" x14ac:dyDescent="0.3">
      <c r="A167">
        <v>0</v>
      </c>
      <c r="B167" t="s">
        <v>312</v>
      </c>
      <c r="C167" t="s">
        <v>323</v>
      </c>
      <c r="D167" t="s">
        <v>2</v>
      </c>
      <c r="E167" t="s">
        <v>323</v>
      </c>
      <c r="F167" t="s">
        <v>13</v>
      </c>
      <c r="G167" t="s">
        <v>525</v>
      </c>
    </row>
    <row r="168" spans="1:7" x14ac:dyDescent="0.3">
      <c r="A168">
        <v>0</v>
      </c>
      <c r="B168" t="s">
        <v>314</v>
      </c>
      <c r="C168" t="s">
        <v>414</v>
      </c>
      <c r="D168" t="s">
        <v>2</v>
      </c>
      <c r="E168" t="s">
        <v>414</v>
      </c>
      <c r="F168" t="s">
        <v>13</v>
      </c>
      <c r="G168" t="s">
        <v>525</v>
      </c>
    </row>
    <row r="169" spans="1:7" x14ac:dyDescent="0.3">
      <c r="A169">
        <v>0</v>
      </c>
      <c r="B169" t="s">
        <v>312</v>
      </c>
      <c r="C169" t="s">
        <v>261</v>
      </c>
      <c r="D169" t="s">
        <v>2</v>
      </c>
      <c r="E169" t="s">
        <v>261</v>
      </c>
      <c r="F169" t="s">
        <v>13</v>
      </c>
      <c r="G169" t="s">
        <v>525</v>
      </c>
    </row>
    <row r="170" spans="1:7" x14ac:dyDescent="0.3">
      <c r="A170">
        <v>0</v>
      </c>
      <c r="B170" t="s">
        <v>319</v>
      </c>
      <c r="C170" t="s">
        <v>364</v>
      </c>
      <c r="D170" t="s">
        <v>2</v>
      </c>
      <c r="E170" t="s">
        <v>364</v>
      </c>
      <c r="F170" t="s">
        <v>13</v>
      </c>
      <c r="G170" t="s">
        <v>525</v>
      </c>
    </row>
    <row r="171" spans="1:7" x14ac:dyDescent="0.3">
      <c r="A171">
        <v>0</v>
      </c>
      <c r="B171" t="s">
        <v>312</v>
      </c>
      <c r="C171" t="s">
        <v>373</v>
      </c>
      <c r="D171" t="s">
        <v>2</v>
      </c>
      <c r="E171" t="s">
        <v>373</v>
      </c>
      <c r="F171" t="s">
        <v>13</v>
      </c>
      <c r="G171" t="s">
        <v>525</v>
      </c>
    </row>
    <row r="172" spans="1:7" x14ac:dyDescent="0.3">
      <c r="A172">
        <v>0</v>
      </c>
      <c r="B172" t="s">
        <v>312</v>
      </c>
      <c r="C172" t="s">
        <v>482</v>
      </c>
      <c r="D172" t="s">
        <v>2</v>
      </c>
      <c r="E172" t="s">
        <v>482</v>
      </c>
      <c r="F172" t="s">
        <v>13</v>
      </c>
      <c r="G172" t="s">
        <v>525</v>
      </c>
    </row>
    <row r="173" spans="1:7" x14ac:dyDescent="0.3">
      <c r="A173">
        <v>0</v>
      </c>
      <c r="B173" t="s">
        <v>312</v>
      </c>
      <c r="C173" t="s">
        <v>412</v>
      </c>
      <c r="D173" t="s">
        <v>2</v>
      </c>
      <c r="E173" t="s">
        <v>412</v>
      </c>
      <c r="F173" t="s">
        <v>13</v>
      </c>
      <c r="G173" t="s">
        <v>525</v>
      </c>
    </row>
    <row r="174" spans="1:7" x14ac:dyDescent="0.3">
      <c r="A174">
        <v>0</v>
      </c>
      <c r="B174" t="s">
        <v>312</v>
      </c>
      <c r="C174" t="s">
        <v>434</v>
      </c>
      <c r="D174" t="s">
        <v>2</v>
      </c>
      <c r="E174" t="s">
        <v>434</v>
      </c>
      <c r="F174" t="s">
        <v>13</v>
      </c>
      <c r="G174" t="s">
        <v>525</v>
      </c>
    </row>
    <row r="175" spans="1:7" x14ac:dyDescent="0.3">
      <c r="A175">
        <v>0</v>
      </c>
      <c r="B175" t="s">
        <v>314</v>
      </c>
      <c r="C175" t="s">
        <v>443</v>
      </c>
      <c r="D175" t="s">
        <v>2</v>
      </c>
      <c r="E175" t="s">
        <v>443</v>
      </c>
      <c r="F175" t="s">
        <v>13</v>
      </c>
      <c r="G175" t="s">
        <v>525</v>
      </c>
    </row>
    <row r="176" spans="1:7" x14ac:dyDescent="0.3">
      <c r="A176">
        <v>0</v>
      </c>
      <c r="B176" t="s">
        <v>319</v>
      </c>
      <c r="C176" t="s">
        <v>430</v>
      </c>
      <c r="D176" t="s">
        <v>2</v>
      </c>
      <c r="E176" t="s">
        <v>430</v>
      </c>
      <c r="F176" t="s">
        <v>13</v>
      </c>
      <c r="G176" t="s">
        <v>525</v>
      </c>
    </row>
    <row r="177" spans="1:7" x14ac:dyDescent="0.3">
      <c r="A177">
        <v>0</v>
      </c>
      <c r="B177" t="s">
        <v>314</v>
      </c>
      <c r="C177" t="s">
        <v>408</v>
      </c>
      <c r="D177" t="s">
        <v>2</v>
      </c>
      <c r="E177" t="s">
        <v>408</v>
      </c>
      <c r="F177" t="s">
        <v>13</v>
      </c>
      <c r="G177" t="s">
        <v>525</v>
      </c>
    </row>
    <row r="178" spans="1:7" x14ac:dyDescent="0.3">
      <c r="A178">
        <v>0</v>
      </c>
      <c r="B178" t="s">
        <v>312</v>
      </c>
      <c r="C178" t="s">
        <v>138</v>
      </c>
      <c r="D178" t="s">
        <v>2</v>
      </c>
      <c r="E178" t="s">
        <v>138</v>
      </c>
      <c r="F178" t="s">
        <v>13</v>
      </c>
      <c r="G178" t="s">
        <v>525</v>
      </c>
    </row>
    <row r="179" spans="1:7" x14ac:dyDescent="0.3">
      <c r="A179">
        <v>0</v>
      </c>
      <c r="B179" t="s">
        <v>312</v>
      </c>
      <c r="C179" t="s">
        <v>275</v>
      </c>
      <c r="D179" t="s">
        <v>2</v>
      </c>
      <c r="E179" t="s">
        <v>275</v>
      </c>
      <c r="F179" t="s">
        <v>13</v>
      </c>
      <c r="G179" t="s">
        <v>525</v>
      </c>
    </row>
    <row r="180" spans="1:7" x14ac:dyDescent="0.3">
      <c r="A180">
        <v>0</v>
      </c>
      <c r="B180" t="s">
        <v>312</v>
      </c>
      <c r="C180" t="s">
        <v>337</v>
      </c>
      <c r="D180" t="s">
        <v>2</v>
      </c>
      <c r="E180" t="s">
        <v>337</v>
      </c>
      <c r="F180" t="s">
        <v>13</v>
      </c>
      <c r="G180" t="s">
        <v>525</v>
      </c>
    </row>
    <row r="181" spans="1:7" x14ac:dyDescent="0.3">
      <c r="A181">
        <v>0</v>
      </c>
      <c r="B181" t="s">
        <v>312</v>
      </c>
      <c r="C181" t="s">
        <v>331</v>
      </c>
      <c r="D181" t="s">
        <v>2</v>
      </c>
      <c r="E181" t="s">
        <v>331</v>
      </c>
      <c r="F181" t="s">
        <v>13</v>
      </c>
      <c r="G181" t="s">
        <v>525</v>
      </c>
    </row>
    <row r="182" spans="1:7" x14ac:dyDescent="0.3">
      <c r="A182">
        <v>0</v>
      </c>
      <c r="B182" t="s">
        <v>312</v>
      </c>
      <c r="C182" t="s">
        <v>452</v>
      </c>
      <c r="D182" t="s">
        <v>2</v>
      </c>
      <c r="E182" t="s">
        <v>452</v>
      </c>
      <c r="F182" t="s">
        <v>13</v>
      </c>
      <c r="G182" t="s">
        <v>525</v>
      </c>
    </row>
    <row r="183" spans="1:7" x14ac:dyDescent="0.3">
      <c r="A183">
        <v>0</v>
      </c>
      <c r="B183" t="s">
        <v>319</v>
      </c>
      <c r="C183" t="s">
        <v>477</v>
      </c>
      <c r="D183" t="s">
        <v>2</v>
      </c>
      <c r="E183" t="s">
        <v>477</v>
      </c>
      <c r="F183" t="s">
        <v>13</v>
      </c>
      <c r="G183" t="s">
        <v>525</v>
      </c>
    </row>
    <row r="184" spans="1:7" x14ac:dyDescent="0.3">
      <c r="A184">
        <v>0</v>
      </c>
      <c r="B184" t="s">
        <v>312</v>
      </c>
      <c r="C184" t="s">
        <v>446</v>
      </c>
      <c r="D184" t="s">
        <v>2</v>
      </c>
      <c r="E184" t="s">
        <v>446</v>
      </c>
      <c r="F184" t="s">
        <v>13</v>
      </c>
      <c r="G184" t="s">
        <v>525</v>
      </c>
    </row>
    <row r="185" spans="1:7" x14ac:dyDescent="0.3">
      <c r="A185">
        <v>0</v>
      </c>
      <c r="B185" t="s">
        <v>319</v>
      </c>
      <c r="C185" t="s">
        <v>491</v>
      </c>
      <c r="D185" t="s">
        <v>2</v>
      </c>
      <c r="E185" t="s">
        <v>491</v>
      </c>
      <c r="F185" t="s">
        <v>13</v>
      </c>
      <c r="G185" t="s">
        <v>525</v>
      </c>
    </row>
    <row r="186" spans="1:7" x14ac:dyDescent="0.3">
      <c r="A186">
        <v>0</v>
      </c>
      <c r="B186" t="s">
        <v>312</v>
      </c>
      <c r="C186" t="s">
        <v>326</v>
      </c>
      <c r="D186" t="s">
        <v>2</v>
      </c>
      <c r="E186" t="s">
        <v>326</v>
      </c>
      <c r="F186" t="s">
        <v>13</v>
      </c>
      <c r="G186" t="s">
        <v>525</v>
      </c>
    </row>
    <row r="187" spans="1:7" x14ac:dyDescent="0.3">
      <c r="A187">
        <v>0</v>
      </c>
      <c r="B187" t="s">
        <v>319</v>
      </c>
      <c r="C187" t="s">
        <v>415</v>
      </c>
      <c r="D187" t="s">
        <v>2</v>
      </c>
      <c r="E187" t="s">
        <v>415</v>
      </c>
      <c r="F187" t="s">
        <v>13</v>
      </c>
      <c r="G187" t="s">
        <v>525</v>
      </c>
    </row>
    <row r="188" spans="1:7" x14ac:dyDescent="0.3">
      <c r="A188">
        <v>0</v>
      </c>
      <c r="B188" t="s">
        <v>314</v>
      </c>
      <c r="C188" t="s">
        <v>451</v>
      </c>
      <c r="D188" t="s">
        <v>2</v>
      </c>
      <c r="E188" t="s">
        <v>451</v>
      </c>
      <c r="F188" t="s">
        <v>13</v>
      </c>
      <c r="G188" t="s">
        <v>525</v>
      </c>
    </row>
    <row r="189" spans="1:7" x14ac:dyDescent="0.3">
      <c r="A189">
        <v>0</v>
      </c>
      <c r="B189" t="s">
        <v>314</v>
      </c>
      <c r="C189" t="s">
        <v>448</v>
      </c>
      <c r="D189" t="s">
        <v>2</v>
      </c>
      <c r="E189" t="s">
        <v>448</v>
      </c>
      <c r="F189" t="s">
        <v>13</v>
      </c>
      <c r="G189" t="s">
        <v>525</v>
      </c>
    </row>
    <row r="190" spans="1:7" x14ac:dyDescent="0.3">
      <c r="A190">
        <v>0</v>
      </c>
      <c r="B190" t="s">
        <v>312</v>
      </c>
      <c r="C190" t="s">
        <v>423</v>
      </c>
      <c r="D190" t="s">
        <v>2</v>
      </c>
      <c r="E190" t="s">
        <v>423</v>
      </c>
      <c r="F190" t="s">
        <v>13</v>
      </c>
      <c r="G190" t="s">
        <v>525</v>
      </c>
    </row>
    <row r="191" spans="1:7" x14ac:dyDescent="0.3">
      <c r="A191">
        <v>0</v>
      </c>
      <c r="B191" t="s">
        <v>319</v>
      </c>
      <c r="C191" t="s">
        <v>361</v>
      </c>
      <c r="D191" t="s">
        <v>2</v>
      </c>
      <c r="E191" t="s">
        <v>361</v>
      </c>
      <c r="F191" t="s">
        <v>13</v>
      </c>
      <c r="G191" t="s">
        <v>525</v>
      </c>
    </row>
    <row r="192" spans="1:7" x14ac:dyDescent="0.3">
      <c r="A192">
        <v>0</v>
      </c>
      <c r="B192" t="s">
        <v>314</v>
      </c>
      <c r="C192" t="s">
        <v>467</v>
      </c>
      <c r="D192" t="s">
        <v>2</v>
      </c>
      <c r="E192" t="s">
        <v>467</v>
      </c>
      <c r="F192" t="s">
        <v>13</v>
      </c>
      <c r="G192" t="s">
        <v>525</v>
      </c>
    </row>
    <row r="193" spans="1:7" x14ac:dyDescent="0.3">
      <c r="A193">
        <v>0</v>
      </c>
      <c r="B193" t="s">
        <v>319</v>
      </c>
      <c r="C193" t="s">
        <v>420</v>
      </c>
      <c r="D193" t="s">
        <v>2</v>
      </c>
      <c r="E193" t="s">
        <v>420</v>
      </c>
      <c r="F193" t="s">
        <v>13</v>
      </c>
      <c r="G193" t="s">
        <v>525</v>
      </c>
    </row>
    <row r="194" spans="1:7" x14ac:dyDescent="0.3">
      <c r="A194">
        <v>0</v>
      </c>
      <c r="B194" t="s">
        <v>314</v>
      </c>
      <c r="C194" t="s">
        <v>487</v>
      </c>
      <c r="D194" t="s">
        <v>2</v>
      </c>
      <c r="E194" t="s">
        <v>487</v>
      </c>
      <c r="F194" t="s">
        <v>13</v>
      </c>
      <c r="G194" t="s">
        <v>525</v>
      </c>
    </row>
    <row r="195" spans="1:7" x14ac:dyDescent="0.3">
      <c r="A195">
        <v>0</v>
      </c>
      <c r="B195" t="s">
        <v>312</v>
      </c>
      <c r="C195" t="s">
        <v>149</v>
      </c>
      <c r="D195" t="s">
        <v>2</v>
      </c>
      <c r="E195" t="s">
        <v>149</v>
      </c>
      <c r="F195" t="s">
        <v>13</v>
      </c>
      <c r="G195" t="s">
        <v>525</v>
      </c>
    </row>
    <row r="196" spans="1:7" x14ac:dyDescent="0.3">
      <c r="A196">
        <v>0</v>
      </c>
      <c r="B196" t="s">
        <v>314</v>
      </c>
      <c r="C196" t="s">
        <v>377</v>
      </c>
      <c r="D196" t="s">
        <v>2</v>
      </c>
      <c r="E196" t="s">
        <v>377</v>
      </c>
      <c r="F196" t="s">
        <v>13</v>
      </c>
      <c r="G196" t="s">
        <v>525</v>
      </c>
    </row>
    <row r="197" spans="1:7" x14ac:dyDescent="0.3">
      <c r="A197">
        <v>0</v>
      </c>
      <c r="B197" t="s">
        <v>312</v>
      </c>
      <c r="C197" t="s">
        <v>403</v>
      </c>
      <c r="D197" t="s">
        <v>2</v>
      </c>
      <c r="E197" t="s">
        <v>403</v>
      </c>
      <c r="F197" t="s">
        <v>13</v>
      </c>
      <c r="G197" t="s">
        <v>525</v>
      </c>
    </row>
    <row r="198" spans="1:7" x14ac:dyDescent="0.3">
      <c r="A198">
        <v>0</v>
      </c>
      <c r="B198" t="s">
        <v>312</v>
      </c>
      <c r="C198" t="s">
        <v>387</v>
      </c>
      <c r="D198" t="s">
        <v>2</v>
      </c>
      <c r="E198" t="s">
        <v>387</v>
      </c>
      <c r="F198" t="s">
        <v>13</v>
      </c>
      <c r="G198" t="s">
        <v>525</v>
      </c>
    </row>
    <row r="199" spans="1:7" x14ac:dyDescent="0.3">
      <c r="A199">
        <v>0</v>
      </c>
      <c r="B199" t="s">
        <v>312</v>
      </c>
      <c r="C199" t="s">
        <v>431</v>
      </c>
      <c r="D199" t="s">
        <v>2</v>
      </c>
      <c r="E199" t="s">
        <v>431</v>
      </c>
      <c r="F199" t="s">
        <v>13</v>
      </c>
      <c r="G199" t="s">
        <v>525</v>
      </c>
    </row>
    <row r="200" spans="1:7" x14ac:dyDescent="0.3">
      <c r="A200">
        <v>0</v>
      </c>
      <c r="B200" t="s">
        <v>319</v>
      </c>
      <c r="C200" t="s">
        <v>459</v>
      </c>
      <c r="D200" t="s">
        <v>2</v>
      </c>
      <c r="E200" t="s">
        <v>459</v>
      </c>
      <c r="F200" t="s">
        <v>13</v>
      </c>
      <c r="G200" t="s">
        <v>525</v>
      </c>
    </row>
    <row r="201" spans="1:7" x14ac:dyDescent="0.3">
      <c r="A201">
        <v>0</v>
      </c>
      <c r="B201" t="s">
        <v>314</v>
      </c>
      <c r="C201" t="s">
        <v>376</v>
      </c>
      <c r="D201" t="s">
        <v>2</v>
      </c>
      <c r="E201" t="s">
        <v>376</v>
      </c>
      <c r="F201" t="s">
        <v>13</v>
      </c>
      <c r="G201" t="s">
        <v>525</v>
      </c>
    </row>
    <row r="202" spans="1:7" x14ac:dyDescent="0.3">
      <c r="A202">
        <v>0</v>
      </c>
      <c r="B202" t="s">
        <v>312</v>
      </c>
      <c r="C202" t="s">
        <v>379</v>
      </c>
      <c r="D202" t="s">
        <v>2</v>
      </c>
      <c r="E202" t="s">
        <v>379</v>
      </c>
      <c r="F202" t="s">
        <v>13</v>
      </c>
      <c r="G202" t="s">
        <v>525</v>
      </c>
    </row>
    <row r="203" spans="1:7" x14ac:dyDescent="0.3">
      <c r="A203">
        <v>0</v>
      </c>
      <c r="B203" t="s">
        <v>314</v>
      </c>
      <c r="C203" t="s">
        <v>445</v>
      </c>
      <c r="D203" t="s">
        <v>2</v>
      </c>
      <c r="E203" t="s">
        <v>445</v>
      </c>
      <c r="F203" t="s">
        <v>13</v>
      </c>
      <c r="G203" t="s">
        <v>525</v>
      </c>
    </row>
    <row r="204" spans="1:7" x14ac:dyDescent="0.3">
      <c r="A204">
        <v>0</v>
      </c>
      <c r="B204" t="s">
        <v>319</v>
      </c>
      <c r="C204" t="s">
        <v>460</v>
      </c>
      <c r="D204" t="s">
        <v>2</v>
      </c>
      <c r="E204" t="s">
        <v>460</v>
      </c>
      <c r="F204" t="s">
        <v>13</v>
      </c>
      <c r="G204" t="s">
        <v>525</v>
      </c>
    </row>
    <row r="205" spans="1:7" x14ac:dyDescent="0.3">
      <c r="A205">
        <v>0</v>
      </c>
      <c r="B205" t="s">
        <v>314</v>
      </c>
      <c r="C205" t="s">
        <v>450</v>
      </c>
      <c r="D205" t="s">
        <v>2</v>
      </c>
      <c r="E205" t="s">
        <v>450</v>
      </c>
      <c r="F205" t="s">
        <v>13</v>
      </c>
      <c r="G205" t="s">
        <v>525</v>
      </c>
    </row>
    <row r="206" spans="1:7" x14ac:dyDescent="0.3">
      <c r="A206">
        <v>0</v>
      </c>
      <c r="B206" t="s">
        <v>312</v>
      </c>
      <c r="C206" t="s">
        <v>473</v>
      </c>
      <c r="D206" t="s">
        <v>2</v>
      </c>
      <c r="E206" t="s">
        <v>473</v>
      </c>
      <c r="F206" t="s">
        <v>13</v>
      </c>
      <c r="G206" t="s">
        <v>525</v>
      </c>
    </row>
    <row r="207" spans="1:7" x14ac:dyDescent="0.3">
      <c r="A207">
        <v>0</v>
      </c>
      <c r="B207" t="s">
        <v>314</v>
      </c>
      <c r="C207" t="s">
        <v>313</v>
      </c>
      <c r="D207" t="s">
        <v>2</v>
      </c>
      <c r="E207" t="s">
        <v>313</v>
      </c>
      <c r="F207" t="s">
        <v>13</v>
      </c>
      <c r="G207" t="s">
        <v>525</v>
      </c>
    </row>
    <row r="208" spans="1:7" x14ac:dyDescent="0.3">
      <c r="A208">
        <v>0</v>
      </c>
      <c r="B208" t="s">
        <v>312</v>
      </c>
      <c r="C208" t="s">
        <v>472</v>
      </c>
      <c r="D208" t="s">
        <v>2</v>
      </c>
      <c r="E208" t="s">
        <v>472</v>
      </c>
      <c r="F208" t="s">
        <v>13</v>
      </c>
      <c r="G208" t="s">
        <v>525</v>
      </c>
    </row>
    <row r="209" spans="1:7" x14ac:dyDescent="0.3">
      <c r="A209">
        <v>0</v>
      </c>
      <c r="B209" t="s">
        <v>312</v>
      </c>
      <c r="C209" t="s">
        <v>402</v>
      </c>
      <c r="D209" t="s">
        <v>2</v>
      </c>
      <c r="E209" t="s">
        <v>402</v>
      </c>
      <c r="F209" t="s">
        <v>13</v>
      </c>
      <c r="G209" t="s">
        <v>525</v>
      </c>
    </row>
    <row r="210" spans="1:7" x14ac:dyDescent="0.3">
      <c r="A210">
        <v>0</v>
      </c>
      <c r="B210" t="s">
        <v>314</v>
      </c>
      <c r="C210" t="s">
        <v>455</v>
      </c>
      <c r="D210" t="s">
        <v>2</v>
      </c>
      <c r="E210" t="s">
        <v>455</v>
      </c>
      <c r="F210" t="s">
        <v>13</v>
      </c>
      <c r="G210" t="s">
        <v>525</v>
      </c>
    </row>
    <row r="211" spans="1:7" x14ac:dyDescent="0.3">
      <c r="A211">
        <v>0</v>
      </c>
      <c r="B211" t="s">
        <v>312</v>
      </c>
      <c r="C211" t="s">
        <v>411</v>
      </c>
      <c r="D211" t="s">
        <v>2</v>
      </c>
      <c r="E211" t="s">
        <v>411</v>
      </c>
      <c r="F211" t="s">
        <v>13</v>
      </c>
      <c r="G211" t="s">
        <v>525</v>
      </c>
    </row>
    <row r="212" spans="1:7" x14ac:dyDescent="0.3">
      <c r="A212">
        <v>0</v>
      </c>
      <c r="B212" t="s">
        <v>312</v>
      </c>
      <c r="C212" t="s">
        <v>488</v>
      </c>
      <c r="D212" t="s">
        <v>2</v>
      </c>
      <c r="E212" t="s">
        <v>488</v>
      </c>
      <c r="F212" t="s">
        <v>13</v>
      </c>
      <c r="G212" t="s">
        <v>525</v>
      </c>
    </row>
    <row r="213" spans="1:7" x14ac:dyDescent="0.3">
      <c r="A213">
        <v>0</v>
      </c>
      <c r="B213" t="s">
        <v>319</v>
      </c>
      <c r="C213" t="s">
        <v>462</v>
      </c>
      <c r="D213" t="s">
        <v>2</v>
      </c>
      <c r="E213" t="s">
        <v>462</v>
      </c>
      <c r="F213" t="s">
        <v>13</v>
      </c>
      <c r="G213" t="s">
        <v>525</v>
      </c>
    </row>
    <row r="214" spans="1:7" x14ac:dyDescent="0.3">
      <c r="A214">
        <v>0</v>
      </c>
      <c r="B214" t="s">
        <v>312</v>
      </c>
      <c r="C214" t="s">
        <v>246</v>
      </c>
      <c r="D214" t="s">
        <v>2</v>
      </c>
      <c r="E214" t="s">
        <v>246</v>
      </c>
      <c r="F214" t="s">
        <v>13</v>
      </c>
      <c r="G214" t="s">
        <v>525</v>
      </c>
    </row>
    <row r="215" spans="1:7" x14ac:dyDescent="0.3">
      <c r="A215">
        <v>0</v>
      </c>
      <c r="B215" t="s">
        <v>312</v>
      </c>
      <c r="C215" t="s">
        <v>357</v>
      </c>
      <c r="D215" t="s">
        <v>2</v>
      </c>
      <c r="E215" t="s">
        <v>357</v>
      </c>
      <c r="F215" t="s">
        <v>13</v>
      </c>
      <c r="G215" t="s">
        <v>525</v>
      </c>
    </row>
    <row r="216" spans="1:7" x14ac:dyDescent="0.3">
      <c r="A216">
        <v>0</v>
      </c>
      <c r="B216" t="s">
        <v>314</v>
      </c>
      <c r="C216" t="s">
        <v>341</v>
      </c>
      <c r="D216" t="s">
        <v>2</v>
      </c>
      <c r="E216" t="s">
        <v>341</v>
      </c>
      <c r="F216" t="s">
        <v>13</v>
      </c>
      <c r="G216" t="s">
        <v>525</v>
      </c>
    </row>
    <row r="217" spans="1:7" x14ac:dyDescent="0.3">
      <c r="A217">
        <v>0</v>
      </c>
      <c r="B217" t="s">
        <v>319</v>
      </c>
      <c r="C217" t="s">
        <v>466</v>
      </c>
      <c r="D217" t="s">
        <v>2</v>
      </c>
      <c r="E217" t="s">
        <v>466</v>
      </c>
      <c r="F217" t="s">
        <v>13</v>
      </c>
      <c r="G217" t="s">
        <v>525</v>
      </c>
    </row>
    <row r="218" spans="1:7" x14ac:dyDescent="0.3">
      <c r="A218">
        <v>0</v>
      </c>
      <c r="B218" t="s">
        <v>319</v>
      </c>
      <c r="C218" t="s">
        <v>362</v>
      </c>
      <c r="D218" t="s">
        <v>2</v>
      </c>
      <c r="E218" t="s">
        <v>362</v>
      </c>
      <c r="F218" t="s">
        <v>13</v>
      </c>
      <c r="G218" t="s">
        <v>525</v>
      </c>
    </row>
    <row r="219" spans="1:7" x14ac:dyDescent="0.3">
      <c r="A219">
        <v>0</v>
      </c>
      <c r="B219" t="s">
        <v>312</v>
      </c>
      <c r="C219" t="s">
        <v>433</v>
      </c>
      <c r="D219" t="s">
        <v>2</v>
      </c>
      <c r="E219" t="s">
        <v>433</v>
      </c>
      <c r="F219" t="s">
        <v>13</v>
      </c>
      <c r="G219" t="s">
        <v>525</v>
      </c>
    </row>
    <row r="220" spans="1:7" x14ac:dyDescent="0.3">
      <c r="A220">
        <v>0</v>
      </c>
      <c r="B220" t="s">
        <v>312</v>
      </c>
      <c r="C220" t="s">
        <v>397</v>
      </c>
      <c r="D220" t="s">
        <v>2</v>
      </c>
      <c r="E220" t="s">
        <v>397</v>
      </c>
      <c r="F220" t="s">
        <v>13</v>
      </c>
      <c r="G220" t="s">
        <v>525</v>
      </c>
    </row>
    <row r="221" spans="1:7" x14ac:dyDescent="0.3">
      <c r="A221">
        <v>0</v>
      </c>
      <c r="B221" t="s">
        <v>319</v>
      </c>
      <c r="C221" t="s">
        <v>378</v>
      </c>
      <c r="D221" t="s">
        <v>2</v>
      </c>
      <c r="E221" t="s">
        <v>378</v>
      </c>
      <c r="F221" t="s">
        <v>13</v>
      </c>
      <c r="G221" t="s">
        <v>525</v>
      </c>
    </row>
    <row r="222" spans="1:7" x14ac:dyDescent="0.3">
      <c r="A222">
        <v>0</v>
      </c>
      <c r="B222" t="s">
        <v>105</v>
      </c>
      <c r="C222" t="s">
        <v>117</v>
      </c>
      <c r="D222" t="s">
        <v>2</v>
      </c>
      <c r="E222" t="s">
        <v>117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476</v>
      </c>
      <c r="D223" t="s">
        <v>2</v>
      </c>
      <c r="E223" t="s">
        <v>476</v>
      </c>
      <c r="F223" t="s">
        <v>13</v>
      </c>
      <c r="G223" t="s">
        <v>525</v>
      </c>
    </row>
    <row r="224" spans="1:7" x14ac:dyDescent="0.3">
      <c r="A224">
        <v>0</v>
      </c>
      <c r="B224" t="s">
        <v>319</v>
      </c>
      <c r="C224" t="s">
        <v>478</v>
      </c>
      <c r="D224" t="s">
        <v>2</v>
      </c>
      <c r="E224" t="s">
        <v>478</v>
      </c>
      <c r="F224" t="s">
        <v>13</v>
      </c>
      <c r="G224" t="s">
        <v>525</v>
      </c>
    </row>
    <row r="225" spans="1:7" x14ac:dyDescent="0.3">
      <c r="A225">
        <v>0</v>
      </c>
      <c r="B225" t="s">
        <v>312</v>
      </c>
      <c r="C225" t="s">
        <v>367</v>
      </c>
      <c r="D225" t="s">
        <v>2</v>
      </c>
      <c r="E225" t="s">
        <v>367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346</v>
      </c>
      <c r="D226" t="s">
        <v>2</v>
      </c>
      <c r="E226" t="s">
        <v>346</v>
      </c>
      <c r="F226" t="s">
        <v>13</v>
      </c>
      <c r="G226" t="s">
        <v>525</v>
      </c>
    </row>
    <row r="227" spans="1:7" x14ac:dyDescent="0.3">
      <c r="A227">
        <v>0</v>
      </c>
      <c r="B227" t="s">
        <v>105</v>
      </c>
      <c r="C227" t="s">
        <v>119</v>
      </c>
      <c r="D227" t="s">
        <v>2</v>
      </c>
      <c r="E227" t="s">
        <v>119</v>
      </c>
      <c r="F227" t="s">
        <v>13</v>
      </c>
      <c r="G227" t="s">
        <v>525</v>
      </c>
    </row>
    <row r="228" spans="1:7" x14ac:dyDescent="0.3">
      <c r="A228">
        <v>0</v>
      </c>
      <c r="B228" t="s">
        <v>312</v>
      </c>
      <c r="C228" t="s">
        <v>385</v>
      </c>
      <c r="D228" t="s">
        <v>2</v>
      </c>
      <c r="E228" t="s">
        <v>385</v>
      </c>
      <c r="F228" t="s">
        <v>13</v>
      </c>
      <c r="G228" t="s">
        <v>525</v>
      </c>
    </row>
    <row r="229" spans="1:7" x14ac:dyDescent="0.3">
      <c r="A229">
        <v>0</v>
      </c>
      <c r="B229" t="s">
        <v>57</v>
      </c>
      <c r="C229" t="s">
        <v>120</v>
      </c>
      <c r="D229" t="s">
        <v>2</v>
      </c>
      <c r="E229" t="s">
        <v>120</v>
      </c>
      <c r="F229" t="s">
        <v>13</v>
      </c>
      <c r="G229" t="s">
        <v>525</v>
      </c>
    </row>
    <row r="230" spans="1:7" x14ac:dyDescent="0.3">
      <c r="A230">
        <v>0</v>
      </c>
      <c r="B230" t="s">
        <v>312</v>
      </c>
      <c r="C230" t="s">
        <v>324</v>
      </c>
      <c r="D230" t="s">
        <v>2</v>
      </c>
      <c r="E230" t="s">
        <v>324</v>
      </c>
      <c r="F230" t="s">
        <v>13</v>
      </c>
      <c r="G230" t="s">
        <v>525</v>
      </c>
    </row>
    <row r="231" spans="1:7" x14ac:dyDescent="0.3">
      <c r="A231">
        <v>0</v>
      </c>
      <c r="B231" t="s">
        <v>312</v>
      </c>
      <c r="C231" t="s">
        <v>327</v>
      </c>
      <c r="D231" t="s">
        <v>2</v>
      </c>
      <c r="E231" t="s">
        <v>327</v>
      </c>
      <c r="F231" t="s">
        <v>13</v>
      </c>
      <c r="G231" t="s">
        <v>525</v>
      </c>
    </row>
    <row r="232" spans="1:7" x14ac:dyDescent="0.3">
      <c r="A232">
        <v>0</v>
      </c>
      <c r="B232" t="s">
        <v>314</v>
      </c>
      <c r="C232" t="s">
        <v>441</v>
      </c>
      <c r="D232" t="s">
        <v>2</v>
      </c>
      <c r="E232" t="s">
        <v>441</v>
      </c>
      <c r="F232" t="s">
        <v>13</v>
      </c>
      <c r="G232" t="s">
        <v>525</v>
      </c>
    </row>
    <row r="233" spans="1:7" x14ac:dyDescent="0.3">
      <c r="A233">
        <v>0</v>
      </c>
      <c r="B233" t="s">
        <v>105</v>
      </c>
      <c r="C233" t="s">
        <v>115</v>
      </c>
      <c r="D233" t="s">
        <v>2</v>
      </c>
      <c r="E233" t="s">
        <v>115</v>
      </c>
      <c r="F233" t="s">
        <v>13</v>
      </c>
      <c r="G233" t="s">
        <v>525</v>
      </c>
    </row>
    <row r="234" spans="1:7" x14ac:dyDescent="0.3">
      <c r="A234">
        <v>0</v>
      </c>
      <c r="B234" t="s">
        <v>312</v>
      </c>
      <c r="C234" t="s">
        <v>484</v>
      </c>
      <c r="D234" t="s">
        <v>2</v>
      </c>
      <c r="E234" t="s">
        <v>484</v>
      </c>
      <c r="F234" t="s">
        <v>13</v>
      </c>
      <c r="G234" t="s">
        <v>525</v>
      </c>
    </row>
    <row r="235" spans="1:7" x14ac:dyDescent="0.3">
      <c r="A235">
        <v>0</v>
      </c>
      <c r="B235" t="s">
        <v>312</v>
      </c>
      <c r="C235" t="s">
        <v>311</v>
      </c>
      <c r="D235" t="s">
        <v>2</v>
      </c>
      <c r="E235" t="s">
        <v>311</v>
      </c>
      <c r="F235" t="s">
        <v>13</v>
      </c>
      <c r="G235" t="s">
        <v>525</v>
      </c>
    </row>
    <row r="236" spans="1:7" x14ac:dyDescent="0.3">
      <c r="A236">
        <v>0</v>
      </c>
      <c r="B236" t="s">
        <v>312</v>
      </c>
      <c r="C236" t="s">
        <v>365</v>
      </c>
      <c r="D236" t="s">
        <v>2</v>
      </c>
      <c r="E236" t="s">
        <v>365</v>
      </c>
      <c r="F236" t="s">
        <v>13</v>
      </c>
      <c r="G236" t="s">
        <v>525</v>
      </c>
    </row>
    <row r="237" spans="1:7" x14ac:dyDescent="0.3">
      <c r="A237">
        <v>0</v>
      </c>
      <c r="B237" t="s">
        <v>314</v>
      </c>
      <c r="C237" t="s">
        <v>350</v>
      </c>
      <c r="D237" t="s">
        <v>2</v>
      </c>
      <c r="E237" t="s">
        <v>350</v>
      </c>
      <c r="F237" t="s">
        <v>13</v>
      </c>
      <c r="G237" t="s">
        <v>525</v>
      </c>
    </row>
    <row r="238" spans="1:7" x14ac:dyDescent="0.3">
      <c r="A238">
        <v>0</v>
      </c>
      <c r="B238" t="s">
        <v>105</v>
      </c>
      <c r="C238" t="s">
        <v>123</v>
      </c>
      <c r="D238" t="s">
        <v>2</v>
      </c>
      <c r="E238" t="s">
        <v>123</v>
      </c>
      <c r="F238" t="s">
        <v>13</v>
      </c>
      <c r="G238" t="s">
        <v>525</v>
      </c>
    </row>
    <row r="239" spans="1:7" x14ac:dyDescent="0.3">
      <c r="A239">
        <v>0</v>
      </c>
      <c r="B239" t="s">
        <v>312</v>
      </c>
      <c r="C239" t="s">
        <v>396</v>
      </c>
      <c r="D239" t="s">
        <v>2</v>
      </c>
      <c r="E239" t="s">
        <v>396</v>
      </c>
      <c r="F239" t="s">
        <v>13</v>
      </c>
      <c r="G239" t="s">
        <v>525</v>
      </c>
    </row>
    <row r="240" spans="1:7" x14ac:dyDescent="0.3">
      <c r="A240">
        <v>0</v>
      </c>
      <c r="B240" t="s">
        <v>312</v>
      </c>
      <c r="C240" t="s">
        <v>428</v>
      </c>
      <c r="D240" t="s">
        <v>2</v>
      </c>
      <c r="E240" t="s">
        <v>428</v>
      </c>
      <c r="F240" t="s">
        <v>13</v>
      </c>
      <c r="G240" t="s">
        <v>525</v>
      </c>
    </row>
    <row r="241" spans="1:7" x14ac:dyDescent="0.3">
      <c r="A241">
        <v>0</v>
      </c>
      <c r="B241" t="s">
        <v>312</v>
      </c>
      <c r="C241" t="s">
        <v>383</v>
      </c>
      <c r="D241" t="s">
        <v>2</v>
      </c>
      <c r="E241" t="s">
        <v>383</v>
      </c>
      <c r="F241" t="s">
        <v>13</v>
      </c>
      <c r="G241" t="s">
        <v>525</v>
      </c>
    </row>
    <row r="242" spans="1:7" x14ac:dyDescent="0.3">
      <c r="A242">
        <v>0</v>
      </c>
      <c r="B242" t="s">
        <v>312</v>
      </c>
      <c r="C242" t="s">
        <v>426</v>
      </c>
      <c r="D242" t="s">
        <v>2</v>
      </c>
      <c r="E242" t="s">
        <v>426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437</v>
      </c>
      <c r="D243" t="s">
        <v>2</v>
      </c>
      <c r="E243" t="s">
        <v>437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454</v>
      </c>
      <c r="D244" t="s">
        <v>2</v>
      </c>
      <c r="E244" t="s">
        <v>454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t="s">
        <v>425</v>
      </c>
      <c r="D245" t="s">
        <v>2</v>
      </c>
      <c r="E245" t="s">
        <v>425</v>
      </c>
      <c r="F245" t="s">
        <v>13</v>
      </c>
      <c r="G245" t="s">
        <v>525</v>
      </c>
    </row>
    <row r="246" spans="1:7" x14ac:dyDescent="0.3">
      <c r="A246">
        <v>0</v>
      </c>
      <c r="B246" t="s">
        <v>312</v>
      </c>
      <c r="C246" t="s">
        <v>344</v>
      </c>
      <c r="D246" t="s">
        <v>2</v>
      </c>
      <c r="E246" t="s">
        <v>344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407</v>
      </c>
      <c r="D247" t="s">
        <v>2</v>
      </c>
      <c r="E247" t="s">
        <v>407</v>
      </c>
      <c r="F247" t="s">
        <v>13</v>
      </c>
      <c r="G247" t="s">
        <v>525</v>
      </c>
    </row>
    <row r="248" spans="1:7" x14ac:dyDescent="0.3">
      <c r="A248">
        <v>0</v>
      </c>
      <c r="B248" t="s">
        <v>314</v>
      </c>
      <c r="C248" t="s">
        <v>413</v>
      </c>
      <c r="D248" t="s">
        <v>2</v>
      </c>
      <c r="E248" t="s">
        <v>413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392</v>
      </c>
      <c r="D249" t="s">
        <v>2</v>
      </c>
      <c r="E249" t="s">
        <v>392</v>
      </c>
      <c r="F249" t="s">
        <v>13</v>
      </c>
      <c r="G249" t="s">
        <v>525</v>
      </c>
    </row>
    <row r="250" spans="1:7" x14ac:dyDescent="0.3">
      <c r="A250">
        <v>0</v>
      </c>
      <c r="B250" t="s">
        <v>319</v>
      </c>
      <c r="C250" t="s">
        <v>422</v>
      </c>
      <c r="D250" t="s">
        <v>2</v>
      </c>
      <c r="E250" t="s">
        <v>422</v>
      </c>
      <c r="F250" t="s">
        <v>13</v>
      </c>
      <c r="G250" t="s">
        <v>525</v>
      </c>
    </row>
    <row r="251" spans="1:7" x14ac:dyDescent="0.3">
      <c r="A251">
        <v>0</v>
      </c>
      <c r="B251" t="s">
        <v>314</v>
      </c>
      <c r="C251" t="s">
        <v>495</v>
      </c>
      <c r="D251" t="s">
        <v>494</v>
      </c>
      <c r="E251" t="s">
        <v>495</v>
      </c>
      <c r="F251" t="s">
        <v>13</v>
      </c>
      <c r="G251" t="s">
        <v>525</v>
      </c>
    </row>
    <row r="252" spans="1:7" x14ac:dyDescent="0.3">
      <c r="A252">
        <v>0</v>
      </c>
      <c r="B252" t="s">
        <v>314</v>
      </c>
      <c r="C252" t="s">
        <v>497</v>
      </c>
      <c r="D252" t="s">
        <v>494</v>
      </c>
      <c r="E252" t="s">
        <v>497</v>
      </c>
      <c r="F252" t="s">
        <v>13</v>
      </c>
      <c r="G252" t="s">
        <v>525</v>
      </c>
    </row>
    <row r="253" spans="1:7" x14ac:dyDescent="0.3">
      <c r="A253">
        <v>0</v>
      </c>
      <c r="B253" t="s">
        <v>314</v>
      </c>
      <c r="C253" t="s">
        <v>496</v>
      </c>
      <c r="D253" t="s">
        <v>494</v>
      </c>
      <c r="E253" t="s">
        <v>496</v>
      </c>
      <c r="F253" t="s">
        <v>13</v>
      </c>
      <c r="G253" t="s">
        <v>525</v>
      </c>
    </row>
    <row r="254" spans="1:7" x14ac:dyDescent="0.3">
      <c r="A254">
        <v>0</v>
      </c>
      <c r="B254" t="s">
        <v>312</v>
      </c>
      <c r="C254" t="s">
        <v>513</v>
      </c>
      <c r="D254" t="s">
        <v>498</v>
      </c>
      <c r="E254" t="s">
        <v>513</v>
      </c>
      <c r="F254" t="s">
        <v>13</v>
      </c>
      <c r="G254" t="s">
        <v>525</v>
      </c>
    </row>
    <row r="255" spans="1:7" x14ac:dyDescent="0.3">
      <c r="A255">
        <v>0</v>
      </c>
      <c r="B255" t="s">
        <v>312</v>
      </c>
      <c r="C255" t="s">
        <v>515</v>
      </c>
      <c r="D255" t="s">
        <v>498</v>
      </c>
      <c r="E255" t="s">
        <v>515</v>
      </c>
      <c r="F255" t="s">
        <v>13</v>
      </c>
      <c r="G255" t="s">
        <v>525</v>
      </c>
    </row>
    <row r="256" spans="1:7" x14ac:dyDescent="0.3">
      <c r="A256">
        <v>0</v>
      </c>
      <c r="B256" t="s">
        <v>312</v>
      </c>
      <c r="C256" t="s">
        <v>509</v>
      </c>
      <c r="D256" t="s">
        <v>498</v>
      </c>
      <c r="E256" t="s">
        <v>509</v>
      </c>
      <c r="F256" t="s">
        <v>13</v>
      </c>
      <c r="G256" t="s">
        <v>525</v>
      </c>
    </row>
    <row r="257" spans="1:7" x14ac:dyDescent="0.3">
      <c r="A257">
        <v>0</v>
      </c>
      <c r="B257" t="s">
        <v>312</v>
      </c>
      <c r="C257" t="s">
        <v>502</v>
      </c>
      <c r="D257" t="s">
        <v>498</v>
      </c>
      <c r="E257" t="s">
        <v>502</v>
      </c>
      <c r="F257" t="s">
        <v>13</v>
      </c>
      <c r="G257" t="s">
        <v>525</v>
      </c>
    </row>
    <row r="258" spans="1:7" x14ac:dyDescent="0.3">
      <c r="A258">
        <v>0</v>
      </c>
      <c r="B258" t="s">
        <v>312</v>
      </c>
      <c r="C258" t="s">
        <v>500</v>
      </c>
      <c r="D258" t="s">
        <v>498</v>
      </c>
      <c r="E258" t="s">
        <v>500</v>
      </c>
      <c r="F258" t="s">
        <v>13</v>
      </c>
      <c r="G258" t="s">
        <v>525</v>
      </c>
    </row>
    <row r="259" spans="1:7" x14ac:dyDescent="0.3">
      <c r="A259">
        <v>0</v>
      </c>
      <c r="B259" t="s">
        <v>507</v>
      </c>
      <c r="C259" t="s">
        <v>506</v>
      </c>
      <c r="D259" t="s">
        <v>498</v>
      </c>
      <c r="E259" t="s">
        <v>506</v>
      </c>
      <c r="F259" t="s">
        <v>13</v>
      </c>
      <c r="G259" t="s">
        <v>525</v>
      </c>
    </row>
    <row r="260" spans="1:7" x14ac:dyDescent="0.3">
      <c r="A260">
        <v>0</v>
      </c>
      <c r="B260" t="s">
        <v>312</v>
      </c>
      <c r="C260" t="s">
        <v>514</v>
      </c>
      <c r="D260" t="s">
        <v>498</v>
      </c>
      <c r="E260" t="s">
        <v>514</v>
      </c>
      <c r="F260" t="s">
        <v>13</v>
      </c>
      <c r="G260" t="s">
        <v>525</v>
      </c>
    </row>
    <row r="261" spans="1:7" x14ac:dyDescent="0.3">
      <c r="A261">
        <v>0</v>
      </c>
      <c r="B261" t="s">
        <v>312</v>
      </c>
      <c r="C261" t="s">
        <v>499</v>
      </c>
      <c r="D261" t="s">
        <v>498</v>
      </c>
      <c r="E261" t="s">
        <v>499</v>
      </c>
      <c r="F261" t="s">
        <v>13</v>
      </c>
      <c r="G261" t="s">
        <v>525</v>
      </c>
    </row>
    <row r="262" spans="1:7" x14ac:dyDescent="0.3">
      <c r="A262">
        <v>0</v>
      </c>
      <c r="B262" t="s">
        <v>312</v>
      </c>
      <c r="C262" t="s">
        <v>508</v>
      </c>
      <c r="D262" t="s">
        <v>498</v>
      </c>
      <c r="E262" t="s">
        <v>508</v>
      </c>
      <c r="F262" t="s">
        <v>13</v>
      </c>
      <c r="G262" t="s">
        <v>525</v>
      </c>
    </row>
    <row r="263" spans="1:7" x14ac:dyDescent="0.3">
      <c r="A263">
        <v>0</v>
      </c>
      <c r="B263" t="s">
        <v>312</v>
      </c>
      <c r="C263" t="s">
        <v>519</v>
      </c>
      <c r="D263" t="s">
        <v>498</v>
      </c>
      <c r="E263" t="s">
        <v>519</v>
      </c>
      <c r="F263" t="s">
        <v>13</v>
      </c>
      <c r="G263" t="s">
        <v>525</v>
      </c>
    </row>
    <row r="264" spans="1:7" x14ac:dyDescent="0.3">
      <c r="A264">
        <v>0</v>
      </c>
      <c r="B264" t="s">
        <v>312</v>
      </c>
      <c r="C264" t="s">
        <v>510</v>
      </c>
      <c r="D264" t="s">
        <v>498</v>
      </c>
      <c r="E264" t="s">
        <v>510</v>
      </c>
      <c r="F264" t="s">
        <v>13</v>
      </c>
      <c r="G264" t="s">
        <v>525</v>
      </c>
    </row>
    <row r="265" spans="1:7" x14ac:dyDescent="0.3">
      <c r="A265">
        <v>0</v>
      </c>
      <c r="B265" t="s">
        <v>312</v>
      </c>
      <c r="C265" t="s">
        <v>521</v>
      </c>
      <c r="D265" t="s">
        <v>498</v>
      </c>
      <c r="E265" t="s">
        <v>521</v>
      </c>
      <c r="F265" t="s">
        <v>13</v>
      </c>
      <c r="G265" t="s">
        <v>525</v>
      </c>
    </row>
    <row r="266" spans="1:7" x14ac:dyDescent="0.3">
      <c r="A266">
        <v>0</v>
      </c>
      <c r="B266" t="s">
        <v>312</v>
      </c>
      <c r="C266" t="s">
        <v>501</v>
      </c>
      <c r="D266" t="s">
        <v>498</v>
      </c>
      <c r="E266" t="s">
        <v>501</v>
      </c>
      <c r="F266" t="s">
        <v>13</v>
      </c>
      <c r="G266" t="s">
        <v>525</v>
      </c>
    </row>
    <row r="267" spans="1:7" x14ac:dyDescent="0.3">
      <c r="A267">
        <v>0</v>
      </c>
      <c r="B267" t="s">
        <v>312</v>
      </c>
      <c r="C267" t="s">
        <v>504</v>
      </c>
      <c r="D267" t="s">
        <v>498</v>
      </c>
      <c r="E267" t="s">
        <v>504</v>
      </c>
      <c r="F267" t="s">
        <v>13</v>
      </c>
      <c r="G267" t="s">
        <v>525</v>
      </c>
    </row>
    <row r="268" spans="1:7" x14ac:dyDescent="0.3">
      <c r="A268">
        <v>0</v>
      </c>
      <c r="B268" t="s">
        <v>312</v>
      </c>
      <c r="C268" t="s">
        <v>520</v>
      </c>
      <c r="D268" t="s">
        <v>498</v>
      </c>
      <c r="E268" t="s">
        <v>520</v>
      </c>
      <c r="F268" t="s">
        <v>13</v>
      </c>
      <c r="G268" t="s">
        <v>525</v>
      </c>
    </row>
    <row r="269" spans="1:7" x14ac:dyDescent="0.3">
      <c r="A269">
        <v>0</v>
      </c>
      <c r="B269" t="s">
        <v>312</v>
      </c>
      <c r="C269" t="s">
        <v>523</v>
      </c>
      <c r="D269" t="s">
        <v>498</v>
      </c>
      <c r="E269" t="s">
        <v>523</v>
      </c>
      <c r="F269" t="s">
        <v>13</v>
      </c>
      <c r="G269" t="s">
        <v>525</v>
      </c>
    </row>
    <row r="270" spans="1:7" x14ac:dyDescent="0.3">
      <c r="A270">
        <v>0</v>
      </c>
      <c r="B270" t="s">
        <v>312</v>
      </c>
      <c r="C270" t="s">
        <v>503</v>
      </c>
      <c r="D270" t="s">
        <v>498</v>
      </c>
      <c r="E270" t="s">
        <v>503</v>
      </c>
      <c r="F270" t="s">
        <v>13</v>
      </c>
      <c r="G270" t="s">
        <v>525</v>
      </c>
    </row>
    <row r="271" spans="1:7" x14ac:dyDescent="0.3">
      <c r="A271">
        <v>0</v>
      </c>
      <c r="B271" t="s">
        <v>312</v>
      </c>
      <c r="C271" t="s">
        <v>512</v>
      </c>
      <c r="D271" t="s">
        <v>498</v>
      </c>
      <c r="E271" t="s">
        <v>512</v>
      </c>
      <c r="F271" t="s">
        <v>13</v>
      </c>
      <c r="G271" t="s">
        <v>525</v>
      </c>
    </row>
    <row r="272" spans="1:7" x14ac:dyDescent="0.3">
      <c r="A272">
        <v>0</v>
      </c>
      <c r="B272" t="s">
        <v>312</v>
      </c>
      <c r="C272" t="s">
        <v>505</v>
      </c>
      <c r="D272" t="s">
        <v>498</v>
      </c>
      <c r="E272" t="s">
        <v>505</v>
      </c>
      <c r="F272" t="s">
        <v>13</v>
      </c>
      <c r="G272" t="s">
        <v>525</v>
      </c>
    </row>
    <row r="273" spans="1:7" x14ac:dyDescent="0.3">
      <c r="A273">
        <v>0</v>
      </c>
      <c r="B273" t="s">
        <v>312</v>
      </c>
      <c r="C273" t="s">
        <v>518</v>
      </c>
      <c r="D273" t="s">
        <v>498</v>
      </c>
      <c r="E273" t="s">
        <v>518</v>
      </c>
      <c r="F273" t="s">
        <v>13</v>
      </c>
      <c r="G273" t="s">
        <v>525</v>
      </c>
    </row>
    <row r="274" spans="1:7" x14ac:dyDescent="0.3">
      <c r="A274">
        <v>0</v>
      </c>
      <c r="B274" t="s">
        <v>312</v>
      </c>
      <c r="C274" t="s">
        <v>522</v>
      </c>
      <c r="D274" t="s">
        <v>498</v>
      </c>
      <c r="E274" t="s">
        <v>522</v>
      </c>
      <c r="F274" t="s">
        <v>13</v>
      </c>
      <c r="G274" t="s">
        <v>525</v>
      </c>
    </row>
    <row r="275" spans="1:7" x14ac:dyDescent="0.3">
      <c r="A275">
        <v>0</v>
      </c>
      <c r="B275" t="s">
        <v>312</v>
      </c>
      <c r="C275" t="s">
        <v>516</v>
      </c>
      <c r="D275" t="s">
        <v>498</v>
      </c>
      <c r="E275" t="s">
        <v>516</v>
      </c>
      <c r="F275" t="s">
        <v>13</v>
      </c>
      <c r="G275" t="s">
        <v>525</v>
      </c>
    </row>
    <row r="276" spans="1:7" x14ac:dyDescent="0.3">
      <c r="A276">
        <v>0</v>
      </c>
      <c r="B276" t="s">
        <v>312</v>
      </c>
      <c r="C276" t="s">
        <v>517</v>
      </c>
      <c r="D276" t="s">
        <v>498</v>
      </c>
      <c r="E276" t="s">
        <v>517</v>
      </c>
      <c r="F276" t="s">
        <v>13</v>
      </c>
      <c r="G276" t="s">
        <v>525</v>
      </c>
    </row>
    <row r="277" spans="1:7" x14ac:dyDescent="0.3">
      <c r="A277">
        <v>0</v>
      </c>
      <c r="B277" t="s">
        <v>16</v>
      </c>
      <c r="C277" s="2" t="s">
        <v>22</v>
      </c>
      <c r="D277" t="s">
        <v>2</v>
      </c>
      <c r="E277" s="2" t="s">
        <v>22</v>
      </c>
      <c r="F277" t="s">
        <v>13</v>
      </c>
      <c r="G277" t="s">
        <v>525</v>
      </c>
    </row>
    <row r="278" spans="1:7" x14ac:dyDescent="0.3">
      <c r="A278">
        <v>0</v>
      </c>
      <c r="B278" t="s">
        <v>16</v>
      </c>
      <c r="C278" s="2" t="s">
        <v>49</v>
      </c>
      <c r="D278" t="s">
        <v>2</v>
      </c>
      <c r="E278" s="2" t="s">
        <v>49</v>
      </c>
      <c r="F278" t="s">
        <v>13</v>
      </c>
      <c r="G278" t="s">
        <v>525</v>
      </c>
    </row>
    <row r="279" spans="1:7" x14ac:dyDescent="0.3">
      <c r="A279">
        <v>0</v>
      </c>
      <c r="B279" t="s">
        <v>312</v>
      </c>
      <c r="C279" s="2" t="s">
        <v>55</v>
      </c>
      <c r="D279" t="s">
        <v>2</v>
      </c>
      <c r="E279" s="2" t="s">
        <v>55</v>
      </c>
      <c r="F279" t="s">
        <v>13</v>
      </c>
      <c r="G279" t="s">
        <v>525</v>
      </c>
    </row>
    <row r="280" spans="1:7" x14ac:dyDescent="0.3">
      <c r="A280">
        <v>0</v>
      </c>
      <c r="B280" t="s">
        <v>312</v>
      </c>
      <c r="C280" t="s">
        <v>59</v>
      </c>
      <c r="D280" t="s">
        <v>2</v>
      </c>
      <c r="E280" t="s">
        <v>59</v>
      </c>
      <c r="F280" t="s">
        <v>13</v>
      </c>
      <c r="G280" t="s">
        <v>525</v>
      </c>
    </row>
    <row r="281" spans="1:7" x14ac:dyDescent="0.3">
      <c r="A281">
        <v>0</v>
      </c>
      <c r="B281" t="s">
        <v>16</v>
      </c>
      <c r="C281" s="2" t="s">
        <v>61</v>
      </c>
      <c r="D281" t="s">
        <v>2</v>
      </c>
      <c r="E281" s="2" t="s">
        <v>61</v>
      </c>
      <c r="F281" t="s">
        <v>13</v>
      </c>
      <c r="G281" t="s">
        <v>525</v>
      </c>
    </row>
    <row r="282" spans="1:7" x14ac:dyDescent="0.3">
      <c r="A282">
        <v>0</v>
      </c>
      <c r="B282" t="s">
        <v>312</v>
      </c>
      <c r="C282" s="2" t="s">
        <v>67</v>
      </c>
      <c r="D282" t="s">
        <v>2</v>
      </c>
      <c r="E282" s="2" t="s">
        <v>67</v>
      </c>
      <c r="F282" t="s">
        <v>13</v>
      </c>
      <c r="G282" t="s">
        <v>525</v>
      </c>
    </row>
    <row r="283" spans="1:7" x14ac:dyDescent="0.3">
      <c r="A283">
        <v>0</v>
      </c>
      <c r="B283" t="s">
        <v>312</v>
      </c>
      <c r="C283" t="s">
        <v>73</v>
      </c>
      <c r="D283" t="s">
        <v>2</v>
      </c>
      <c r="E283" t="s">
        <v>73</v>
      </c>
      <c r="F283" t="s">
        <v>13</v>
      </c>
      <c r="G283" t="s">
        <v>525</v>
      </c>
    </row>
    <row r="284" spans="1:7" x14ac:dyDescent="0.3">
      <c r="A284">
        <v>0</v>
      </c>
      <c r="B284" t="s">
        <v>312</v>
      </c>
      <c r="C284" t="s">
        <v>79</v>
      </c>
      <c r="D284" t="s">
        <v>2</v>
      </c>
      <c r="E284" t="s">
        <v>79</v>
      </c>
      <c r="F284" t="s">
        <v>13</v>
      </c>
      <c r="G284" t="s">
        <v>525</v>
      </c>
    </row>
    <row r="285" spans="1:7" x14ac:dyDescent="0.3">
      <c r="A285">
        <v>0</v>
      </c>
      <c r="B285" t="s">
        <v>312</v>
      </c>
      <c r="C285" t="s">
        <v>82</v>
      </c>
      <c r="D285" t="s">
        <v>2</v>
      </c>
      <c r="E285" t="s">
        <v>82</v>
      </c>
      <c r="F285" t="s">
        <v>13</v>
      </c>
      <c r="G285" t="s">
        <v>525</v>
      </c>
    </row>
    <row r="286" spans="1:7" x14ac:dyDescent="0.3">
      <c r="A286">
        <v>0</v>
      </c>
      <c r="B286" t="s">
        <v>312</v>
      </c>
      <c r="C286" t="s">
        <v>85</v>
      </c>
      <c r="D286" t="s">
        <v>2</v>
      </c>
      <c r="E286" t="s">
        <v>85</v>
      </c>
      <c r="F286" t="s">
        <v>13</v>
      </c>
      <c r="G286" t="s">
        <v>525</v>
      </c>
    </row>
    <row r="287" spans="1:7" x14ac:dyDescent="0.3">
      <c r="A287">
        <v>0</v>
      </c>
      <c r="B287" t="s">
        <v>312</v>
      </c>
      <c r="C287" t="s">
        <v>88</v>
      </c>
      <c r="D287" t="s">
        <v>2</v>
      </c>
      <c r="E287" t="s">
        <v>88</v>
      </c>
      <c r="F287" t="s">
        <v>13</v>
      </c>
      <c r="G287" t="s">
        <v>525</v>
      </c>
    </row>
    <row r="288" spans="1:7" x14ac:dyDescent="0.3">
      <c r="A288">
        <v>0</v>
      </c>
      <c r="B288" t="s">
        <v>312</v>
      </c>
      <c r="C288" t="s">
        <v>91</v>
      </c>
      <c r="D288" t="s">
        <v>2</v>
      </c>
      <c r="E288" t="s">
        <v>91</v>
      </c>
      <c r="F288" t="s">
        <v>13</v>
      </c>
      <c r="G288" t="s">
        <v>525</v>
      </c>
    </row>
    <row r="289" spans="1:7" x14ac:dyDescent="0.3">
      <c r="A289">
        <v>0</v>
      </c>
      <c r="B289" t="s">
        <v>312</v>
      </c>
      <c r="C289" t="s">
        <v>94</v>
      </c>
      <c r="D289" t="s">
        <v>2</v>
      </c>
      <c r="E289" t="s">
        <v>94</v>
      </c>
      <c r="F289" t="s">
        <v>13</v>
      </c>
      <c r="G289" t="s">
        <v>525</v>
      </c>
    </row>
    <row r="290" spans="1:7" x14ac:dyDescent="0.3">
      <c r="A290">
        <v>0</v>
      </c>
      <c r="B290" t="s">
        <v>312</v>
      </c>
      <c r="C290" t="s">
        <v>97</v>
      </c>
      <c r="D290" t="s">
        <v>2</v>
      </c>
      <c r="E290" t="s">
        <v>97</v>
      </c>
      <c r="F290" t="s">
        <v>13</v>
      </c>
      <c r="G290" t="s">
        <v>525</v>
      </c>
    </row>
    <row r="291" spans="1:7" x14ac:dyDescent="0.3">
      <c r="A291">
        <v>0</v>
      </c>
      <c r="B291" t="s">
        <v>312</v>
      </c>
      <c r="C291" t="s">
        <v>100</v>
      </c>
      <c r="D291" t="s">
        <v>2</v>
      </c>
      <c r="E291" t="s">
        <v>100</v>
      </c>
      <c r="F291" t="s">
        <v>13</v>
      </c>
      <c r="G291" t="s">
        <v>525</v>
      </c>
    </row>
  </sheetData>
  <pageMargins left="0.75" right="0.75" top="1" bottom="1" header="0.5" footer="0.5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260"/>
  <sheetViews>
    <sheetView workbookViewId="0">
      <selection activeCell="E15" sqref="E15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1.05</v>
      </c>
      <c r="B2" t="s">
        <v>57</v>
      </c>
      <c r="C2" t="s">
        <v>750</v>
      </c>
      <c r="D2" t="s">
        <v>2</v>
      </c>
      <c r="E2" s="2" t="s">
        <v>454</v>
      </c>
      <c r="F2" t="s">
        <v>13</v>
      </c>
      <c r="G2" t="s">
        <v>525</v>
      </c>
      <c r="H2" t="s">
        <v>626</v>
      </c>
    </row>
    <row r="3" spans="1:9" x14ac:dyDescent="0.3">
      <c r="A3">
        <v>6.2242139706928552E-2</v>
      </c>
      <c r="B3" t="s">
        <v>542</v>
      </c>
      <c r="C3" t="s">
        <v>689</v>
      </c>
      <c r="D3" t="s">
        <v>2</v>
      </c>
      <c r="E3" t="s">
        <v>111</v>
      </c>
      <c r="F3" t="s">
        <v>13</v>
      </c>
      <c r="G3" t="s">
        <v>525</v>
      </c>
      <c r="H3" t="s">
        <v>626</v>
      </c>
    </row>
    <row r="4" spans="1:9" x14ac:dyDescent="0.3">
      <c r="A4">
        <f>0.581306017925736/40.4</f>
        <v>1.4388762819943961E-2</v>
      </c>
      <c r="B4" t="s">
        <v>57</v>
      </c>
      <c r="C4" t="s">
        <v>751</v>
      </c>
      <c r="D4" t="s">
        <v>2</v>
      </c>
      <c r="E4" t="s">
        <v>373</v>
      </c>
      <c r="F4" t="s">
        <v>13</v>
      </c>
      <c r="G4" t="s">
        <v>525</v>
      </c>
      <c r="H4" t="s">
        <v>626</v>
      </c>
    </row>
    <row r="5" spans="1:9" x14ac:dyDescent="0.3">
      <c r="A5">
        <f>0.0622279129321383/48</f>
        <v>1.2964148527528812E-3</v>
      </c>
      <c r="B5" t="s">
        <v>57</v>
      </c>
      <c r="C5" t="s">
        <v>752</v>
      </c>
      <c r="D5" t="s">
        <v>2</v>
      </c>
      <c r="E5" t="s">
        <v>398</v>
      </c>
      <c r="F5" t="s">
        <v>13</v>
      </c>
      <c r="G5" t="s">
        <v>525</v>
      </c>
      <c r="H5" t="s">
        <v>626</v>
      </c>
    </row>
    <row r="6" spans="1:9" x14ac:dyDescent="0.3">
      <c r="A6">
        <v>6.9444444444444444E-5</v>
      </c>
      <c r="B6" t="s">
        <v>57</v>
      </c>
      <c r="C6" t="s">
        <v>85</v>
      </c>
      <c r="D6" t="s">
        <v>498</v>
      </c>
      <c r="E6" t="s">
        <v>516</v>
      </c>
      <c r="F6" t="s">
        <v>13</v>
      </c>
      <c r="G6" t="s">
        <v>525</v>
      </c>
      <c r="H6" t="s">
        <v>626</v>
      </c>
    </row>
    <row r="7" spans="1:9" x14ac:dyDescent="0.3">
      <c r="A7">
        <v>3.7500000000000003E-5</v>
      </c>
      <c r="B7" t="s">
        <v>57</v>
      </c>
      <c r="C7" t="s">
        <v>753</v>
      </c>
      <c r="D7" t="s">
        <v>498</v>
      </c>
      <c r="E7" t="s">
        <v>519</v>
      </c>
      <c r="F7" t="s">
        <v>13</v>
      </c>
      <c r="G7" t="s">
        <v>525</v>
      </c>
      <c r="H7" t="s">
        <v>626</v>
      </c>
    </row>
    <row r="8" spans="1:9" x14ac:dyDescent="0.3">
      <c r="A8">
        <f>0.0001425+A7</f>
        <v>1.7999999999999998E-4</v>
      </c>
      <c r="B8" t="s">
        <v>57</v>
      </c>
      <c r="C8" t="s">
        <v>754</v>
      </c>
      <c r="D8" t="s">
        <v>498</v>
      </c>
      <c r="E8" t="s">
        <v>518</v>
      </c>
      <c r="F8" t="s">
        <v>13</v>
      </c>
      <c r="G8" t="s">
        <v>525</v>
      </c>
      <c r="H8" t="s">
        <v>626</v>
      </c>
    </row>
    <row r="9" spans="1:9" x14ac:dyDescent="0.3">
      <c r="A9">
        <f>0.000195+A8</f>
        <v>3.7500000000000001E-4</v>
      </c>
      <c r="B9" t="s">
        <v>57</v>
      </c>
      <c r="C9" t="s">
        <v>746</v>
      </c>
      <c r="D9" t="s">
        <v>498</v>
      </c>
      <c r="E9" t="s">
        <v>522</v>
      </c>
      <c r="F9" t="s">
        <v>13</v>
      </c>
      <c r="G9" t="s">
        <v>525</v>
      </c>
      <c r="H9" t="s">
        <v>626</v>
      </c>
    </row>
    <row r="10" spans="1:9" x14ac:dyDescent="0.3">
      <c r="A10">
        <v>3.4909859154929578E-3</v>
      </c>
      <c r="B10" t="s">
        <v>57</v>
      </c>
      <c r="C10" t="s">
        <v>535</v>
      </c>
      <c r="D10" t="s">
        <v>498</v>
      </c>
      <c r="E10" t="s">
        <v>502</v>
      </c>
      <c r="F10" t="s">
        <v>13</v>
      </c>
      <c r="G10" t="s">
        <v>525</v>
      </c>
      <c r="H10" t="s">
        <v>658</v>
      </c>
    </row>
    <row r="11" spans="1:9" x14ac:dyDescent="0.3">
      <c r="A11">
        <v>3.1113956466069144E-7</v>
      </c>
      <c r="B11" t="s">
        <v>57</v>
      </c>
      <c r="C11" t="s">
        <v>500</v>
      </c>
      <c r="D11" t="s">
        <v>498</v>
      </c>
      <c r="E11" t="s">
        <v>500</v>
      </c>
      <c r="F11" t="s">
        <v>13</v>
      </c>
      <c r="G11" t="s">
        <v>525</v>
      </c>
      <c r="H11" t="s">
        <v>658</v>
      </c>
    </row>
    <row r="12" spans="1:9" x14ac:dyDescent="0.3">
      <c r="A12">
        <v>6.2227912932138286E-9</v>
      </c>
      <c r="B12" t="s">
        <v>57</v>
      </c>
      <c r="C12" t="s">
        <v>511</v>
      </c>
      <c r="D12" t="s">
        <v>498</v>
      </c>
      <c r="E12" t="s">
        <v>511</v>
      </c>
      <c r="F12" t="s">
        <v>13</v>
      </c>
      <c r="G12" t="s">
        <v>525</v>
      </c>
      <c r="H12" t="s">
        <v>658</v>
      </c>
    </row>
    <row r="13" spans="1:9" x14ac:dyDescent="0.3">
      <c r="A13">
        <v>4.4993085787451988E-2</v>
      </c>
      <c r="B13" t="s">
        <v>57</v>
      </c>
      <c r="C13" t="s">
        <v>535</v>
      </c>
      <c r="D13" t="s">
        <v>498</v>
      </c>
      <c r="E13" t="s">
        <v>502</v>
      </c>
      <c r="F13" t="s">
        <v>13</v>
      </c>
      <c r="G13" t="s">
        <v>525</v>
      </c>
      <c r="H13" t="s">
        <v>658</v>
      </c>
    </row>
    <row r="14" spans="1:9" x14ac:dyDescent="0.3">
      <c r="A14">
        <v>5.8130601792573624E-6</v>
      </c>
      <c r="B14" t="s">
        <v>57</v>
      </c>
      <c r="C14" t="s">
        <v>500</v>
      </c>
      <c r="D14" t="s">
        <v>498</v>
      </c>
      <c r="E14" t="s">
        <v>500</v>
      </c>
      <c r="F14" t="s">
        <v>13</v>
      </c>
      <c r="G14" t="s">
        <v>525</v>
      </c>
      <c r="H14" t="s">
        <v>658</v>
      </c>
    </row>
    <row r="15" spans="1:9" x14ac:dyDescent="0.3">
      <c r="A15">
        <v>3.4878361075544174E-7</v>
      </c>
      <c r="B15" t="s">
        <v>57</v>
      </c>
      <c r="C15" t="s">
        <v>511</v>
      </c>
      <c r="D15" t="s">
        <v>498</v>
      </c>
      <c r="E15" t="s">
        <v>511</v>
      </c>
      <c r="F15" t="s">
        <v>13</v>
      </c>
      <c r="G15" t="s">
        <v>525</v>
      </c>
      <c r="H15" t="s">
        <v>658</v>
      </c>
    </row>
    <row r="16" spans="1:9" x14ac:dyDescent="0.3">
      <c r="A16">
        <v>0</v>
      </c>
      <c r="B16" t="s">
        <v>312</v>
      </c>
      <c r="C16" t="s">
        <v>483</v>
      </c>
      <c r="D16" t="s">
        <v>2</v>
      </c>
      <c r="E16" t="s">
        <v>483</v>
      </c>
      <c r="F16" t="s">
        <v>13</v>
      </c>
      <c r="G16" t="s">
        <v>525</v>
      </c>
    </row>
    <row r="17" spans="1:7" x14ac:dyDescent="0.3">
      <c r="A17">
        <v>0</v>
      </c>
      <c r="B17" t="s">
        <v>105</v>
      </c>
      <c r="C17" t="s">
        <v>125</v>
      </c>
      <c r="D17" t="s">
        <v>2</v>
      </c>
      <c r="E17" t="s">
        <v>125</v>
      </c>
      <c r="F17" t="s">
        <v>13</v>
      </c>
      <c r="G17" t="s">
        <v>525</v>
      </c>
    </row>
    <row r="18" spans="1:7" x14ac:dyDescent="0.3">
      <c r="A18">
        <v>0</v>
      </c>
      <c r="B18" t="s">
        <v>319</v>
      </c>
      <c r="C18" t="s">
        <v>461</v>
      </c>
      <c r="D18" t="s">
        <v>2</v>
      </c>
      <c r="E18" t="s">
        <v>461</v>
      </c>
      <c r="F18" t="s">
        <v>13</v>
      </c>
      <c r="G18" t="s">
        <v>525</v>
      </c>
    </row>
    <row r="19" spans="1:7" x14ac:dyDescent="0.3">
      <c r="A19">
        <v>0</v>
      </c>
      <c r="B19" t="s">
        <v>314</v>
      </c>
      <c r="C19" t="s">
        <v>395</v>
      </c>
      <c r="D19" t="s">
        <v>2</v>
      </c>
      <c r="E19" t="s">
        <v>395</v>
      </c>
      <c r="F19" t="s">
        <v>13</v>
      </c>
      <c r="G19" t="s">
        <v>525</v>
      </c>
    </row>
    <row r="20" spans="1:7" x14ac:dyDescent="0.3">
      <c r="A20">
        <v>0</v>
      </c>
      <c r="B20" t="s">
        <v>312</v>
      </c>
      <c r="C20" t="s">
        <v>399</v>
      </c>
      <c r="D20" t="s">
        <v>2</v>
      </c>
      <c r="E20" t="s">
        <v>399</v>
      </c>
      <c r="F20" t="s">
        <v>13</v>
      </c>
      <c r="G20" t="s">
        <v>525</v>
      </c>
    </row>
    <row r="21" spans="1:7" x14ac:dyDescent="0.3">
      <c r="A21">
        <v>0</v>
      </c>
      <c r="B21" t="s">
        <v>314</v>
      </c>
      <c r="C21" t="s">
        <v>432</v>
      </c>
      <c r="D21" t="s">
        <v>2</v>
      </c>
      <c r="E21" t="s">
        <v>432</v>
      </c>
      <c r="F21" t="s">
        <v>13</v>
      </c>
      <c r="G21" t="s">
        <v>525</v>
      </c>
    </row>
    <row r="22" spans="1:7" x14ac:dyDescent="0.3">
      <c r="A22">
        <v>0</v>
      </c>
      <c r="B22" t="s">
        <v>312</v>
      </c>
      <c r="C22" t="s">
        <v>325</v>
      </c>
      <c r="D22" t="s">
        <v>2</v>
      </c>
      <c r="E22" t="s">
        <v>325</v>
      </c>
      <c r="F22" t="s">
        <v>13</v>
      </c>
      <c r="G22" t="s">
        <v>525</v>
      </c>
    </row>
    <row r="23" spans="1:7" x14ac:dyDescent="0.3">
      <c r="A23">
        <v>0</v>
      </c>
      <c r="B23" t="s">
        <v>314</v>
      </c>
      <c r="C23" t="s">
        <v>372</v>
      </c>
      <c r="D23" t="s">
        <v>2</v>
      </c>
      <c r="E23" t="s">
        <v>372</v>
      </c>
      <c r="F23" t="s">
        <v>13</v>
      </c>
      <c r="G23" t="s">
        <v>525</v>
      </c>
    </row>
    <row r="24" spans="1:7" x14ac:dyDescent="0.3">
      <c r="A24">
        <v>0</v>
      </c>
      <c r="B24" t="s">
        <v>314</v>
      </c>
      <c r="C24" t="s">
        <v>260</v>
      </c>
      <c r="D24" t="s">
        <v>2</v>
      </c>
      <c r="E24" t="s">
        <v>260</v>
      </c>
      <c r="F24" t="s">
        <v>13</v>
      </c>
      <c r="G24" t="s">
        <v>525</v>
      </c>
    </row>
    <row r="25" spans="1:7" x14ac:dyDescent="0.3">
      <c r="A25">
        <v>0</v>
      </c>
      <c r="B25" t="s">
        <v>312</v>
      </c>
      <c r="C25" t="s">
        <v>330</v>
      </c>
      <c r="D25" t="s">
        <v>2</v>
      </c>
      <c r="E25" t="s">
        <v>330</v>
      </c>
      <c r="F25" t="s">
        <v>13</v>
      </c>
      <c r="G25" t="s">
        <v>525</v>
      </c>
    </row>
    <row r="26" spans="1:7" x14ac:dyDescent="0.3">
      <c r="A26">
        <v>0</v>
      </c>
      <c r="B26" t="s">
        <v>105</v>
      </c>
      <c r="C26" t="s">
        <v>401</v>
      </c>
      <c r="D26" t="s">
        <v>2</v>
      </c>
      <c r="E26" t="s">
        <v>401</v>
      </c>
      <c r="F26" t="s">
        <v>13</v>
      </c>
      <c r="G26" t="s">
        <v>525</v>
      </c>
    </row>
    <row r="27" spans="1:7" x14ac:dyDescent="0.3">
      <c r="A27">
        <v>0</v>
      </c>
      <c r="B27" t="s">
        <v>312</v>
      </c>
      <c r="C27" t="s">
        <v>416</v>
      </c>
      <c r="D27" t="s">
        <v>2</v>
      </c>
      <c r="E27" t="s">
        <v>416</v>
      </c>
      <c r="F27" t="s">
        <v>13</v>
      </c>
      <c r="G27" t="s">
        <v>525</v>
      </c>
    </row>
    <row r="28" spans="1:7" x14ac:dyDescent="0.3">
      <c r="A28">
        <v>0</v>
      </c>
      <c r="B28" t="s">
        <v>319</v>
      </c>
      <c r="C28" t="s">
        <v>375</v>
      </c>
      <c r="D28" t="s">
        <v>2</v>
      </c>
      <c r="E28" t="s">
        <v>375</v>
      </c>
      <c r="F28" t="s">
        <v>13</v>
      </c>
      <c r="G28" t="s">
        <v>525</v>
      </c>
    </row>
    <row r="29" spans="1:7" x14ac:dyDescent="0.3">
      <c r="A29">
        <v>0</v>
      </c>
      <c r="B29" t="s">
        <v>312</v>
      </c>
      <c r="C29" t="s">
        <v>333</v>
      </c>
      <c r="D29" t="s">
        <v>2</v>
      </c>
      <c r="E29" t="s">
        <v>333</v>
      </c>
      <c r="F29" t="s">
        <v>13</v>
      </c>
      <c r="G29" t="s">
        <v>525</v>
      </c>
    </row>
    <row r="30" spans="1:7" x14ac:dyDescent="0.3">
      <c r="A30">
        <v>0</v>
      </c>
      <c r="B30" t="s">
        <v>57</v>
      </c>
      <c r="C30" t="s">
        <v>118</v>
      </c>
      <c r="D30" t="s">
        <v>2</v>
      </c>
      <c r="E30" t="s">
        <v>118</v>
      </c>
      <c r="F30" t="s">
        <v>13</v>
      </c>
      <c r="G30" t="s">
        <v>525</v>
      </c>
    </row>
    <row r="31" spans="1:7" x14ac:dyDescent="0.3">
      <c r="A31">
        <v>0</v>
      </c>
      <c r="B31" t="s">
        <v>312</v>
      </c>
      <c r="C31" t="s">
        <v>406</v>
      </c>
      <c r="D31" t="s">
        <v>2</v>
      </c>
      <c r="E31" t="s">
        <v>406</v>
      </c>
      <c r="F31" t="s">
        <v>13</v>
      </c>
      <c r="G31" t="s">
        <v>525</v>
      </c>
    </row>
    <row r="32" spans="1:7" x14ac:dyDescent="0.3">
      <c r="A32">
        <v>0</v>
      </c>
      <c r="B32" t="s">
        <v>312</v>
      </c>
      <c r="C32" t="s">
        <v>315</v>
      </c>
      <c r="D32" t="s">
        <v>2</v>
      </c>
      <c r="E32" t="s">
        <v>315</v>
      </c>
      <c r="F32" t="s">
        <v>13</v>
      </c>
      <c r="G32" t="s">
        <v>525</v>
      </c>
    </row>
    <row r="33" spans="1:7" x14ac:dyDescent="0.3">
      <c r="A33">
        <v>0</v>
      </c>
      <c r="B33" t="s">
        <v>312</v>
      </c>
      <c r="C33" t="s">
        <v>358</v>
      </c>
      <c r="D33" t="s">
        <v>2</v>
      </c>
      <c r="E33" t="s">
        <v>358</v>
      </c>
      <c r="F33" t="s">
        <v>13</v>
      </c>
      <c r="G33" t="s">
        <v>525</v>
      </c>
    </row>
    <row r="34" spans="1:7" x14ac:dyDescent="0.3">
      <c r="A34">
        <v>0</v>
      </c>
      <c r="B34" t="s">
        <v>314</v>
      </c>
      <c r="C34" t="s">
        <v>444</v>
      </c>
      <c r="D34" t="s">
        <v>2</v>
      </c>
      <c r="E34" t="s">
        <v>444</v>
      </c>
      <c r="F34" t="s">
        <v>13</v>
      </c>
      <c r="G34" t="s">
        <v>525</v>
      </c>
    </row>
    <row r="35" spans="1:7" x14ac:dyDescent="0.3">
      <c r="A35">
        <v>0</v>
      </c>
      <c r="B35" t="s">
        <v>312</v>
      </c>
      <c r="C35" t="s">
        <v>439</v>
      </c>
      <c r="D35" t="s">
        <v>2</v>
      </c>
      <c r="E35" t="s">
        <v>439</v>
      </c>
      <c r="F35" t="s">
        <v>13</v>
      </c>
      <c r="G35" t="s">
        <v>525</v>
      </c>
    </row>
    <row r="36" spans="1:7" x14ac:dyDescent="0.3">
      <c r="A36">
        <v>0</v>
      </c>
      <c r="B36" t="s">
        <v>312</v>
      </c>
      <c r="C36" t="s">
        <v>381</v>
      </c>
      <c r="D36" t="s">
        <v>2</v>
      </c>
      <c r="E36" t="s">
        <v>381</v>
      </c>
      <c r="F36" t="s">
        <v>13</v>
      </c>
      <c r="G36" t="s">
        <v>525</v>
      </c>
    </row>
    <row r="37" spans="1:7" x14ac:dyDescent="0.3">
      <c r="A37">
        <v>0</v>
      </c>
      <c r="B37" t="s">
        <v>312</v>
      </c>
      <c r="C37" t="s">
        <v>418</v>
      </c>
      <c r="D37" t="s">
        <v>2</v>
      </c>
      <c r="E37" t="s">
        <v>418</v>
      </c>
      <c r="F37" t="s">
        <v>13</v>
      </c>
      <c r="G37" t="s">
        <v>525</v>
      </c>
    </row>
    <row r="38" spans="1:7" x14ac:dyDescent="0.3">
      <c r="A38">
        <v>0</v>
      </c>
      <c r="B38" t="s">
        <v>314</v>
      </c>
      <c r="C38" t="s">
        <v>465</v>
      </c>
      <c r="D38" t="s">
        <v>2</v>
      </c>
      <c r="E38" t="s">
        <v>465</v>
      </c>
      <c r="F38" t="s">
        <v>13</v>
      </c>
      <c r="G38" t="s">
        <v>525</v>
      </c>
    </row>
    <row r="39" spans="1:7" x14ac:dyDescent="0.3">
      <c r="A39">
        <v>0</v>
      </c>
      <c r="B39" t="s">
        <v>105</v>
      </c>
      <c r="C39" t="s">
        <v>103</v>
      </c>
      <c r="D39" t="s">
        <v>2</v>
      </c>
      <c r="E39" t="s">
        <v>103</v>
      </c>
      <c r="F39" t="s">
        <v>13</v>
      </c>
      <c r="G39" t="s">
        <v>525</v>
      </c>
    </row>
    <row r="40" spans="1:7" x14ac:dyDescent="0.3">
      <c r="A40">
        <v>0</v>
      </c>
      <c r="B40" t="s">
        <v>312</v>
      </c>
      <c r="C40" t="s">
        <v>320</v>
      </c>
      <c r="D40" t="s">
        <v>2</v>
      </c>
      <c r="E40" t="s">
        <v>320</v>
      </c>
      <c r="F40" t="s">
        <v>13</v>
      </c>
      <c r="G40" t="s">
        <v>525</v>
      </c>
    </row>
    <row r="41" spans="1:7" x14ac:dyDescent="0.3">
      <c r="A41">
        <v>0</v>
      </c>
      <c r="B41" t="s">
        <v>312</v>
      </c>
      <c r="C41" t="s">
        <v>334</v>
      </c>
      <c r="D41" t="s">
        <v>2</v>
      </c>
      <c r="E41" t="s">
        <v>334</v>
      </c>
      <c r="F41" t="s">
        <v>13</v>
      </c>
      <c r="G41" t="s">
        <v>525</v>
      </c>
    </row>
    <row r="42" spans="1:7" x14ac:dyDescent="0.3">
      <c r="A42">
        <v>0</v>
      </c>
      <c r="B42" t="s">
        <v>312</v>
      </c>
      <c r="C42" t="s">
        <v>435</v>
      </c>
      <c r="D42" t="s">
        <v>2</v>
      </c>
      <c r="E42" t="s">
        <v>435</v>
      </c>
      <c r="F42" t="s">
        <v>13</v>
      </c>
      <c r="G42" t="s">
        <v>525</v>
      </c>
    </row>
    <row r="43" spans="1:7" x14ac:dyDescent="0.3">
      <c r="A43">
        <v>0</v>
      </c>
      <c r="B43" t="s">
        <v>319</v>
      </c>
      <c r="C43" t="s">
        <v>456</v>
      </c>
      <c r="D43" t="s">
        <v>2</v>
      </c>
      <c r="E43" t="s">
        <v>456</v>
      </c>
      <c r="F43" t="s">
        <v>13</v>
      </c>
      <c r="G43" t="s">
        <v>525</v>
      </c>
    </row>
    <row r="44" spans="1:7" x14ac:dyDescent="0.3">
      <c r="A44">
        <v>0</v>
      </c>
      <c r="B44" t="s">
        <v>312</v>
      </c>
      <c r="C44" t="s">
        <v>474</v>
      </c>
      <c r="D44" t="s">
        <v>2</v>
      </c>
      <c r="E44" t="s">
        <v>474</v>
      </c>
      <c r="F44" t="s">
        <v>13</v>
      </c>
      <c r="G44" t="s">
        <v>525</v>
      </c>
    </row>
    <row r="45" spans="1:7" x14ac:dyDescent="0.3">
      <c r="A45">
        <v>0</v>
      </c>
      <c r="B45" t="s">
        <v>319</v>
      </c>
      <c r="C45" t="s">
        <v>318</v>
      </c>
      <c r="D45" t="s">
        <v>2</v>
      </c>
      <c r="E45" t="s">
        <v>318</v>
      </c>
      <c r="F45" t="s">
        <v>13</v>
      </c>
      <c r="G45" t="s">
        <v>525</v>
      </c>
    </row>
    <row r="46" spans="1:7" x14ac:dyDescent="0.3">
      <c r="A46">
        <v>0</v>
      </c>
      <c r="B46" t="s">
        <v>314</v>
      </c>
      <c r="C46" t="s">
        <v>475</v>
      </c>
      <c r="D46" t="s">
        <v>2</v>
      </c>
      <c r="E46" t="s">
        <v>475</v>
      </c>
      <c r="F46" t="s">
        <v>13</v>
      </c>
      <c r="G46" t="s">
        <v>525</v>
      </c>
    </row>
    <row r="47" spans="1:7" x14ac:dyDescent="0.3">
      <c r="A47">
        <v>0</v>
      </c>
      <c r="B47" t="s">
        <v>314</v>
      </c>
      <c r="C47" t="s">
        <v>449</v>
      </c>
      <c r="D47" t="s">
        <v>2</v>
      </c>
      <c r="E47" t="s">
        <v>449</v>
      </c>
      <c r="F47" t="s">
        <v>13</v>
      </c>
      <c r="G47" t="s">
        <v>525</v>
      </c>
    </row>
    <row r="48" spans="1:7" x14ac:dyDescent="0.3">
      <c r="A48">
        <v>0</v>
      </c>
      <c r="B48" t="s">
        <v>314</v>
      </c>
      <c r="C48" t="s">
        <v>176</v>
      </c>
      <c r="D48" t="s">
        <v>2</v>
      </c>
      <c r="E48" t="s">
        <v>176</v>
      </c>
      <c r="F48" t="s">
        <v>13</v>
      </c>
      <c r="G48" t="s">
        <v>525</v>
      </c>
    </row>
    <row r="49" spans="1:7" x14ac:dyDescent="0.3">
      <c r="A49">
        <v>0</v>
      </c>
      <c r="B49" t="s">
        <v>312</v>
      </c>
      <c r="C49" t="s">
        <v>388</v>
      </c>
      <c r="D49" t="s">
        <v>2</v>
      </c>
      <c r="E49" t="s">
        <v>388</v>
      </c>
      <c r="F49" t="s">
        <v>13</v>
      </c>
      <c r="G49" t="s">
        <v>525</v>
      </c>
    </row>
    <row r="50" spans="1:7" x14ac:dyDescent="0.3">
      <c r="A50">
        <v>0</v>
      </c>
      <c r="B50" t="s">
        <v>319</v>
      </c>
      <c r="C50" t="s">
        <v>429</v>
      </c>
      <c r="D50" t="s">
        <v>2</v>
      </c>
      <c r="E50" t="s">
        <v>429</v>
      </c>
      <c r="F50" t="s">
        <v>13</v>
      </c>
      <c r="G50" t="s">
        <v>525</v>
      </c>
    </row>
    <row r="51" spans="1:7" x14ac:dyDescent="0.3">
      <c r="A51">
        <v>0</v>
      </c>
      <c r="B51" t="s">
        <v>312</v>
      </c>
      <c r="C51" t="s">
        <v>272</v>
      </c>
      <c r="D51" t="s">
        <v>2</v>
      </c>
      <c r="E51" t="s">
        <v>272</v>
      </c>
      <c r="F51" t="s">
        <v>13</v>
      </c>
      <c r="G51" t="s">
        <v>525</v>
      </c>
    </row>
    <row r="52" spans="1:7" x14ac:dyDescent="0.3">
      <c r="A52">
        <v>0</v>
      </c>
      <c r="B52" t="s">
        <v>312</v>
      </c>
      <c r="C52" t="s">
        <v>410</v>
      </c>
      <c r="D52" t="s">
        <v>2</v>
      </c>
      <c r="E52" t="s">
        <v>410</v>
      </c>
      <c r="F52" t="s">
        <v>13</v>
      </c>
      <c r="G52" t="s">
        <v>525</v>
      </c>
    </row>
    <row r="53" spans="1:7" x14ac:dyDescent="0.3">
      <c r="A53">
        <v>0</v>
      </c>
      <c r="B53" t="s">
        <v>319</v>
      </c>
      <c r="C53" t="s">
        <v>363</v>
      </c>
      <c r="D53" t="s">
        <v>2</v>
      </c>
      <c r="E53" t="s">
        <v>363</v>
      </c>
      <c r="F53" t="s">
        <v>13</v>
      </c>
      <c r="G53" t="s">
        <v>525</v>
      </c>
    </row>
    <row r="54" spans="1:7" x14ac:dyDescent="0.3">
      <c r="A54">
        <v>0</v>
      </c>
      <c r="B54" t="s">
        <v>312</v>
      </c>
      <c r="C54" t="s">
        <v>382</v>
      </c>
      <c r="D54" t="s">
        <v>2</v>
      </c>
      <c r="E54" t="s">
        <v>382</v>
      </c>
      <c r="F54" t="s">
        <v>13</v>
      </c>
      <c r="G54" t="s">
        <v>525</v>
      </c>
    </row>
    <row r="55" spans="1:7" x14ac:dyDescent="0.3">
      <c r="A55">
        <v>0</v>
      </c>
      <c r="B55" t="s">
        <v>312</v>
      </c>
      <c r="C55" t="s">
        <v>424</v>
      </c>
      <c r="D55" t="s">
        <v>2</v>
      </c>
      <c r="E55" t="s">
        <v>424</v>
      </c>
      <c r="F55" t="s">
        <v>13</v>
      </c>
      <c r="G55" t="s">
        <v>525</v>
      </c>
    </row>
    <row r="56" spans="1:7" x14ac:dyDescent="0.3">
      <c r="A56">
        <v>0</v>
      </c>
      <c r="B56" t="s">
        <v>314</v>
      </c>
      <c r="C56" t="s">
        <v>351</v>
      </c>
      <c r="D56" t="s">
        <v>2</v>
      </c>
      <c r="E56" t="s">
        <v>351</v>
      </c>
      <c r="F56" t="s">
        <v>13</v>
      </c>
      <c r="G56" t="s">
        <v>525</v>
      </c>
    </row>
    <row r="57" spans="1:7" x14ac:dyDescent="0.3">
      <c r="A57">
        <v>0</v>
      </c>
      <c r="B57" t="s">
        <v>312</v>
      </c>
      <c r="C57" t="s">
        <v>347</v>
      </c>
      <c r="D57" t="s">
        <v>2</v>
      </c>
      <c r="E57" t="s">
        <v>347</v>
      </c>
      <c r="F57" t="s">
        <v>13</v>
      </c>
      <c r="G57" t="s">
        <v>525</v>
      </c>
    </row>
    <row r="58" spans="1:7" x14ac:dyDescent="0.3">
      <c r="A58">
        <v>0</v>
      </c>
      <c r="B58" t="s">
        <v>314</v>
      </c>
      <c r="C58" t="s">
        <v>453</v>
      </c>
      <c r="D58" t="s">
        <v>2</v>
      </c>
      <c r="E58" t="s">
        <v>453</v>
      </c>
      <c r="F58" t="s">
        <v>13</v>
      </c>
      <c r="G58" t="s">
        <v>525</v>
      </c>
    </row>
    <row r="59" spans="1:7" x14ac:dyDescent="0.3">
      <c r="A59">
        <v>0</v>
      </c>
      <c r="B59" t="s">
        <v>319</v>
      </c>
      <c r="C59" t="s">
        <v>457</v>
      </c>
      <c r="D59" t="s">
        <v>2</v>
      </c>
      <c r="E59" t="s">
        <v>457</v>
      </c>
      <c r="F59" t="s">
        <v>13</v>
      </c>
      <c r="G59" t="s">
        <v>525</v>
      </c>
    </row>
    <row r="60" spans="1:7" x14ac:dyDescent="0.3">
      <c r="A60">
        <v>0</v>
      </c>
      <c r="B60" t="s">
        <v>312</v>
      </c>
      <c r="C60" t="s">
        <v>485</v>
      </c>
      <c r="D60" t="s">
        <v>2</v>
      </c>
      <c r="E60" t="s">
        <v>485</v>
      </c>
      <c r="F60" t="s">
        <v>13</v>
      </c>
      <c r="G60" t="s">
        <v>525</v>
      </c>
    </row>
    <row r="61" spans="1:7" x14ac:dyDescent="0.3">
      <c r="A61">
        <v>0</v>
      </c>
      <c r="B61" t="s">
        <v>312</v>
      </c>
      <c r="C61" t="s">
        <v>355</v>
      </c>
      <c r="D61" t="s">
        <v>2</v>
      </c>
      <c r="E61" t="s">
        <v>355</v>
      </c>
      <c r="F61" t="s">
        <v>13</v>
      </c>
      <c r="G61" t="s">
        <v>525</v>
      </c>
    </row>
    <row r="62" spans="1:7" x14ac:dyDescent="0.3">
      <c r="A62">
        <v>0</v>
      </c>
      <c r="B62" t="s">
        <v>312</v>
      </c>
      <c r="C62" t="s">
        <v>338</v>
      </c>
      <c r="D62" t="s">
        <v>2</v>
      </c>
      <c r="E62" t="s">
        <v>338</v>
      </c>
      <c r="F62" t="s">
        <v>13</v>
      </c>
      <c r="G62" t="s">
        <v>525</v>
      </c>
    </row>
    <row r="63" spans="1:7" x14ac:dyDescent="0.3">
      <c r="A63">
        <v>0</v>
      </c>
      <c r="B63" t="s">
        <v>312</v>
      </c>
      <c r="C63" t="s">
        <v>394</v>
      </c>
      <c r="D63" t="s">
        <v>2</v>
      </c>
      <c r="E63" t="s">
        <v>394</v>
      </c>
      <c r="F63" t="s">
        <v>13</v>
      </c>
      <c r="G63" t="s">
        <v>525</v>
      </c>
    </row>
    <row r="64" spans="1:7" x14ac:dyDescent="0.3">
      <c r="A64">
        <v>0</v>
      </c>
      <c r="B64" t="s">
        <v>312</v>
      </c>
      <c r="C64" t="s">
        <v>438</v>
      </c>
      <c r="D64" t="s">
        <v>2</v>
      </c>
      <c r="E64" t="s">
        <v>438</v>
      </c>
      <c r="F64" t="s">
        <v>13</v>
      </c>
      <c r="G64" t="s">
        <v>525</v>
      </c>
    </row>
    <row r="65" spans="1:7" x14ac:dyDescent="0.3">
      <c r="A65">
        <v>0</v>
      </c>
      <c r="B65" t="s">
        <v>312</v>
      </c>
      <c r="C65" t="s">
        <v>486</v>
      </c>
      <c r="D65" t="s">
        <v>2</v>
      </c>
      <c r="E65" t="s">
        <v>486</v>
      </c>
      <c r="F65" t="s">
        <v>13</v>
      </c>
      <c r="G65" t="s">
        <v>525</v>
      </c>
    </row>
    <row r="66" spans="1:7" x14ac:dyDescent="0.3">
      <c r="A66">
        <v>0</v>
      </c>
      <c r="B66" t="s">
        <v>319</v>
      </c>
      <c r="C66" t="s">
        <v>419</v>
      </c>
      <c r="D66" t="s">
        <v>2</v>
      </c>
      <c r="E66" t="s">
        <v>419</v>
      </c>
      <c r="F66" t="s">
        <v>13</v>
      </c>
      <c r="G66" t="s">
        <v>525</v>
      </c>
    </row>
    <row r="67" spans="1:7" x14ac:dyDescent="0.3">
      <c r="A67">
        <v>0</v>
      </c>
      <c r="B67" t="s">
        <v>57</v>
      </c>
      <c r="C67" t="s">
        <v>353</v>
      </c>
      <c r="D67" t="s">
        <v>2</v>
      </c>
      <c r="E67" t="s">
        <v>353</v>
      </c>
      <c r="F67" t="s">
        <v>13</v>
      </c>
      <c r="G67" t="s">
        <v>525</v>
      </c>
    </row>
    <row r="68" spans="1:7" x14ac:dyDescent="0.3">
      <c r="A68">
        <v>0</v>
      </c>
      <c r="B68" t="s">
        <v>319</v>
      </c>
      <c r="C68" t="s">
        <v>489</v>
      </c>
      <c r="D68" t="s">
        <v>2</v>
      </c>
      <c r="E68" t="s">
        <v>489</v>
      </c>
      <c r="F68" t="s">
        <v>13</v>
      </c>
      <c r="G68" t="s">
        <v>525</v>
      </c>
    </row>
    <row r="69" spans="1:7" x14ac:dyDescent="0.3">
      <c r="A69">
        <v>0</v>
      </c>
      <c r="B69" t="s">
        <v>312</v>
      </c>
      <c r="C69" t="s">
        <v>386</v>
      </c>
      <c r="D69" t="s">
        <v>2</v>
      </c>
      <c r="E69" t="s">
        <v>386</v>
      </c>
      <c r="F69" t="s">
        <v>13</v>
      </c>
      <c r="G69" t="s">
        <v>525</v>
      </c>
    </row>
    <row r="70" spans="1:7" x14ac:dyDescent="0.3">
      <c r="A70">
        <v>0</v>
      </c>
      <c r="B70" t="s">
        <v>319</v>
      </c>
      <c r="C70" t="s">
        <v>389</v>
      </c>
      <c r="D70" t="s">
        <v>2</v>
      </c>
      <c r="E70" t="s">
        <v>389</v>
      </c>
      <c r="F70" t="s">
        <v>13</v>
      </c>
      <c r="G70" t="s">
        <v>525</v>
      </c>
    </row>
    <row r="71" spans="1:7" x14ac:dyDescent="0.3">
      <c r="A71">
        <v>0</v>
      </c>
      <c r="B71" t="s">
        <v>312</v>
      </c>
      <c r="C71" t="s">
        <v>340</v>
      </c>
      <c r="D71" t="s">
        <v>2</v>
      </c>
      <c r="E71" t="s">
        <v>340</v>
      </c>
      <c r="F71" t="s">
        <v>13</v>
      </c>
      <c r="G71" t="s">
        <v>525</v>
      </c>
    </row>
    <row r="72" spans="1:7" x14ac:dyDescent="0.3">
      <c r="A72">
        <v>0</v>
      </c>
      <c r="B72" t="s">
        <v>312</v>
      </c>
      <c r="C72" t="s">
        <v>368</v>
      </c>
      <c r="D72" t="s">
        <v>2</v>
      </c>
      <c r="E72" t="s">
        <v>368</v>
      </c>
      <c r="F72" t="s">
        <v>13</v>
      </c>
      <c r="G72" t="s">
        <v>525</v>
      </c>
    </row>
    <row r="73" spans="1:7" x14ac:dyDescent="0.3">
      <c r="A73">
        <v>0</v>
      </c>
      <c r="B73" t="s">
        <v>312</v>
      </c>
      <c r="C73" t="s">
        <v>328</v>
      </c>
      <c r="D73" t="s">
        <v>2</v>
      </c>
      <c r="E73" t="s">
        <v>328</v>
      </c>
      <c r="F73" t="s">
        <v>13</v>
      </c>
      <c r="G73" t="s">
        <v>525</v>
      </c>
    </row>
    <row r="74" spans="1:7" x14ac:dyDescent="0.3">
      <c r="A74">
        <v>0</v>
      </c>
      <c r="B74" t="s">
        <v>312</v>
      </c>
      <c r="C74" t="s">
        <v>479</v>
      </c>
      <c r="D74" t="s">
        <v>2</v>
      </c>
      <c r="E74" t="s">
        <v>479</v>
      </c>
      <c r="F74" t="s">
        <v>13</v>
      </c>
      <c r="G74" t="s">
        <v>525</v>
      </c>
    </row>
    <row r="75" spans="1:7" x14ac:dyDescent="0.3">
      <c r="A75">
        <v>0</v>
      </c>
      <c r="B75" t="s">
        <v>57</v>
      </c>
      <c r="C75" t="s">
        <v>116</v>
      </c>
      <c r="D75" t="s">
        <v>2</v>
      </c>
      <c r="E75" t="s">
        <v>116</v>
      </c>
      <c r="F75" t="s">
        <v>13</v>
      </c>
      <c r="G75" t="s">
        <v>525</v>
      </c>
    </row>
    <row r="76" spans="1:7" x14ac:dyDescent="0.3">
      <c r="A76">
        <v>0</v>
      </c>
      <c r="B76" t="s">
        <v>312</v>
      </c>
      <c r="C76" t="s">
        <v>352</v>
      </c>
      <c r="D76" t="s">
        <v>2</v>
      </c>
      <c r="E76" t="s">
        <v>352</v>
      </c>
      <c r="F76" t="s">
        <v>13</v>
      </c>
      <c r="G76" t="s">
        <v>525</v>
      </c>
    </row>
    <row r="77" spans="1:7" x14ac:dyDescent="0.3">
      <c r="A77">
        <v>0</v>
      </c>
      <c r="B77" t="s">
        <v>312</v>
      </c>
      <c r="C77" t="s">
        <v>417</v>
      </c>
      <c r="D77" t="s">
        <v>2</v>
      </c>
      <c r="E77" t="s">
        <v>417</v>
      </c>
      <c r="F77" t="s">
        <v>13</v>
      </c>
      <c r="G77" t="s">
        <v>525</v>
      </c>
    </row>
    <row r="78" spans="1:7" x14ac:dyDescent="0.3">
      <c r="A78">
        <v>0</v>
      </c>
      <c r="B78" t="s">
        <v>312</v>
      </c>
      <c r="C78" t="s">
        <v>447</v>
      </c>
      <c r="D78" t="s">
        <v>2</v>
      </c>
      <c r="E78" t="s">
        <v>447</v>
      </c>
      <c r="F78" t="s">
        <v>13</v>
      </c>
      <c r="G78" t="s">
        <v>525</v>
      </c>
    </row>
    <row r="79" spans="1:7" x14ac:dyDescent="0.3">
      <c r="A79">
        <v>0</v>
      </c>
      <c r="B79" t="s">
        <v>319</v>
      </c>
      <c r="C79" t="s">
        <v>329</v>
      </c>
      <c r="D79" t="s">
        <v>2</v>
      </c>
      <c r="E79" t="s">
        <v>329</v>
      </c>
      <c r="F79" t="s">
        <v>13</v>
      </c>
      <c r="G79" t="s">
        <v>525</v>
      </c>
    </row>
    <row r="80" spans="1:7" x14ac:dyDescent="0.3">
      <c r="A80">
        <v>0</v>
      </c>
      <c r="B80" t="s">
        <v>312</v>
      </c>
      <c r="C80" t="s">
        <v>252</v>
      </c>
      <c r="D80" t="s">
        <v>2</v>
      </c>
      <c r="E80" t="s">
        <v>252</v>
      </c>
      <c r="F80" t="s">
        <v>13</v>
      </c>
      <c r="G80" t="s">
        <v>525</v>
      </c>
    </row>
    <row r="81" spans="1:7" x14ac:dyDescent="0.3">
      <c r="A81">
        <v>0</v>
      </c>
      <c r="B81" t="s">
        <v>312</v>
      </c>
      <c r="C81" t="s">
        <v>317</v>
      </c>
      <c r="D81" t="s">
        <v>2</v>
      </c>
      <c r="E81" t="s">
        <v>317</v>
      </c>
      <c r="F81" t="s">
        <v>13</v>
      </c>
      <c r="G81" t="s">
        <v>525</v>
      </c>
    </row>
    <row r="82" spans="1:7" x14ac:dyDescent="0.3">
      <c r="A82">
        <v>0</v>
      </c>
      <c r="B82" t="s">
        <v>312</v>
      </c>
      <c r="C82" t="s">
        <v>436</v>
      </c>
      <c r="D82" t="s">
        <v>2</v>
      </c>
      <c r="E82" t="s">
        <v>436</v>
      </c>
      <c r="F82" t="s">
        <v>13</v>
      </c>
      <c r="G82" t="s">
        <v>525</v>
      </c>
    </row>
    <row r="83" spans="1:7" x14ac:dyDescent="0.3">
      <c r="A83">
        <v>0</v>
      </c>
      <c r="B83" t="s">
        <v>319</v>
      </c>
      <c r="C83" t="s">
        <v>490</v>
      </c>
      <c r="D83" t="s">
        <v>2</v>
      </c>
      <c r="E83" t="s">
        <v>490</v>
      </c>
      <c r="F83" t="s">
        <v>13</v>
      </c>
      <c r="G83" t="s">
        <v>525</v>
      </c>
    </row>
    <row r="84" spans="1:7" x14ac:dyDescent="0.3">
      <c r="A84">
        <v>0</v>
      </c>
      <c r="B84" t="s">
        <v>312</v>
      </c>
      <c r="C84" t="s">
        <v>391</v>
      </c>
      <c r="D84" t="s">
        <v>2</v>
      </c>
      <c r="E84" t="s">
        <v>391</v>
      </c>
      <c r="F84" t="s">
        <v>13</v>
      </c>
      <c r="G84" t="s">
        <v>525</v>
      </c>
    </row>
    <row r="85" spans="1:7" x14ac:dyDescent="0.3">
      <c r="A85">
        <v>0</v>
      </c>
      <c r="B85" t="s">
        <v>312</v>
      </c>
      <c r="C85" t="s">
        <v>235</v>
      </c>
      <c r="D85" t="s">
        <v>2</v>
      </c>
      <c r="E85" t="s">
        <v>235</v>
      </c>
      <c r="F85" t="s">
        <v>13</v>
      </c>
      <c r="G85" t="s">
        <v>525</v>
      </c>
    </row>
    <row r="86" spans="1:7" x14ac:dyDescent="0.3">
      <c r="A86">
        <v>0</v>
      </c>
      <c r="B86" t="s">
        <v>312</v>
      </c>
      <c r="C86" t="s">
        <v>493</v>
      </c>
      <c r="D86" t="s">
        <v>2</v>
      </c>
      <c r="E86" t="s">
        <v>493</v>
      </c>
      <c r="F86" t="s">
        <v>13</v>
      </c>
      <c r="G86" t="s">
        <v>525</v>
      </c>
    </row>
    <row r="87" spans="1:7" x14ac:dyDescent="0.3">
      <c r="A87">
        <v>0</v>
      </c>
      <c r="B87" t="s">
        <v>312</v>
      </c>
      <c r="C87" t="s">
        <v>335</v>
      </c>
      <c r="D87" t="s">
        <v>2</v>
      </c>
      <c r="E87" t="s">
        <v>335</v>
      </c>
      <c r="F87" t="s">
        <v>13</v>
      </c>
      <c r="G87" t="s">
        <v>525</v>
      </c>
    </row>
    <row r="88" spans="1:7" x14ac:dyDescent="0.3">
      <c r="A88">
        <v>0</v>
      </c>
      <c r="B88" t="s">
        <v>312</v>
      </c>
      <c r="C88" t="s">
        <v>354</v>
      </c>
      <c r="D88" t="s">
        <v>2</v>
      </c>
      <c r="E88" t="s">
        <v>354</v>
      </c>
      <c r="F88" t="s">
        <v>13</v>
      </c>
      <c r="G88" t="s">
        <v>525</v>
      </c>
    </row>
    <row r="89" spans="1:7" x14ac:dyDescent="0.3">
      <c r="A89">
        <v>0</v>
      </c>
      <c r="B89" t="s">
        <v>319</v>
      </c>
      <c r="C89" t="s">
        <v>360</v>
      </c>
      <c r="D89" t="s">
        <v>2</v>
      </c>
      <c r="E89" t="s">
        <v>360</v>
      </c>
      <c r="F89" t="s">
        <v>13</v>
      </c>
      <c r="G89" t="s">
        <v>525</v>
      </c>
    </row>
    <row r="90" spans="1:7" x14ac:dyDescent="0.3">
      <c r="A90">
        <v>0</v>
      </c>
      <c r="B90" t="s">
        <v>314</v>
      </c>
      <c r="C90" t="s">
        <v>356</v>
      </c>
      <c r="D90" t="s">
        <v>2</v>
      </c>
      <c r="E90" t="s">
        <v>356</v>
      </c>
      <c r="F90" t="s">
        <v>13</v>
      </c>
      <c r="G90" t="s">
        <v>525</v>
      </c>
    </row>
    <row r="91" spans="1:7" x14ac:dyDescent="0.3">
      <c r="A91">
        <v>0</v>
      </c>
      <c r="B91" t="s">
        <v>312</v>
      </c>
      <c r="C91" t="s">
        <v>405</v>
      </c>
      <c r="D91" t="s">
        <v>2</v>
      </c>
      <c r="E91" t="s">
        <v>405</v>
      </c>
      <c r="F91" t="s">
        <v>13</v>
      </c>
      <c r="G91" t="s">
        <v>525</v>
      </c>
    </row>
    <row r="92" spans="1:7" x14ac:dyDescent="0.3">
      <c r="A92">
        <v>0</v>
      </c>
      <c r="B92" t="s">
        <v>312</v>
      </c>
      <c r="C92" t="s">
        <v>471</v>
      </c>
      <c r="D92" t="s">
        <v>2</v>
      </c>
      <c r="E92" t="s">
        <v>471</v>
      </c>
      <c r="F92" t="s">
        <v>13</v>
      </c>
      <c r="G92" t="s">
        <v>525</v>
      </c>
    </row>
    <row r="93" spans="1:7" x14ac:dyDescent="0.3">
      <c r="A93">
        <v>0</v>
      </c>
      <c r="B93" t="s">
        <v>319</v>
      </c>
      <c r="C93" t="s">
        <v>421</v>
      </c>
      <c r="D93" t="s">
        <v>2</v>
      </c>
      <c r="E93" t="s">
        <v>421</v>
      </c>
      <c r="F93" t="s">
        <v>13</v>
      </c>
      <c r="G93" t="s">
        <v>525</v>
      </c>
    </row>
    <row r="94" spans="1:7" x14ac:dyDescent="0.3">
      <c r="A94">
        <v>0</v>
      </c>
      <c r="B94" t="s">
        <v>312</v>
      </c>
      <c r="C94" t="s">
        <v>321</v>
      </c>
      <c r="D94" t="s">
        <v>2</v>
      </c>
      <c r="E94" t="s">
        <v>321</v>
      </c>
      <c r="F94" t="s">
        <v>13</v>
      </c>
      <c r="G94" t="s">
        <v>525</v>
      </c>
    </row>
    <row r="95" spans="1:7" x14ac:dyDescent="0.3">
      <c r="A95">
        <v>0</v>
      </c>
      <c r="B95" t="s">
        <v>105</v>
      </c>
      <c r="C95" t="s">
        <v>113</v>
      </c>
      <c r="D95" t="s">
        <v>2</v>
      </c>
      <c r="E95" t="s">
        <v>113</v>
      </c>
      <c r="F95" t="s">
        <v>13</v>
      </c>
      <c r="G95" t="s">
        <v>525</v>
      </c>
    </row>
    <row r="96" spans="1:7" x14ac:dyDescent="0.3">
      <c r="A96">
        <v>0</v>
      </c>
      <c r="B96" t="s">
        <v>312</v>
      </c>
      <c r="C96" t="s">
        <v>348</v>
      </c>
      <c r="D96" t="s">
        <v>2</v>
      </c>
      <c r="E96" t="s">
        <v>348</v>
      </c>
      <c r="F96" t="s">
        <v>13</v>
      </c>
      <c r="G96" t="s">
        <v>525</v>
      </c>
    </row>
    <row r="97" spans="1:7" x14ac:dyDescent="0.3">
      <c r="A97">
        <v>0</v>
      </c>
      <c r="B97" t="s">
        <v>105</v>
      </c>
      <c r="C97" t="s">
        <v>469</v>
      </c>
      <c r="D97" t="s">
        <v>2</v>
      </c>
      <c r="E97" t="s">
        <v>469</v>
      </c>
      <c r="F97" t="s">
        <v>13</v>
      </c>
      <c r="G97" t="s">
        <v>525</v>
      </c>
    </row>
    <row r="98" spans="1:7" x14ac:dyDescent="0.3">
      <c r="A98">
        <v>0</v>
      </c>
      <c r="B98" t="s">
        <v>314</v>
      </c>
      <c r="C98" t="s">
        <v>481</v>
      </c>
      <c r="D98" t="s">
        <v>2</v>
      </c>
      <c r="E98" t="s">
        <v>481</v>
      </c>
      <c r="F98" t="s">
        <v>13</v>
      </c>
      <c r="G98" t="s">
        <v>525</v>
      </c>
    </row>
    <row r="99" spans="1:7" x14ac:dyDescent="0.3">
      <c r="A99">
        <v>0</v>
      </c>
      <c r="B99" t="s">
        <v>312</v>
      </c>
      <c r="C99" t="s">
        <v>398</v>
      </c>
      <c r="D99" t="s">
        <v>2</v>
      </c>
      <c r="E99" t="s">
        <v>398</v>
      </c>
      <c r="F99" t="s">
        <v>13</v>
      </c>
      <c r="G99" t="s">
        <v>525</v>
      </c>
    </row>
    <row r="100" spans="1:7" x14ac:dyDescent="0.3">
      <c r="A100">
        <v>0</v>
      </c>
      <c r="B100" t="s">
        <v>314</v>
      </c>
      <c r="C100" t="s">
        <v>342</v>
      </c>
      <c r="D100" t="s">
        <v>2</v>
      </c>
      <c r="E100" t="s">
        <v>342</v>
      </c>
      <c r="F100" t="s">
        <v>13</v>
      </c>
      <c r="G100" t="s">
        <v>525</v>
      </c>
    </row>
    <row r="101" spans="1:7" x14ac:dyDescent="0.3">
      <c r="A101">
        <v>0</v>
      </c>
      <c r="B101" t="s">
        <v>312</v>
      </c>
      <c r="C101" t="s">
        <v>322</v>
      </c>
      <c r="D101" t="s">
        <v>2</v>
      </c>
      <c r="E101" t="s">
        <v>322</v>
      </c>
      <c r="F101" t="s">
        <v>13</v>
      </c>
      <c r="G101" t="s">
        <v>525</v>
      </c>
    </row>
    <row r="102" spans="1:7" x14ac:dyDescent="0.3">
      <c r="A102">
        <v>0</v>
      </c>
      <c r="B102" t="s">
        <v>314</v>
      </c>
      <c r="C102" t="s">
        <v>409</v>
      </c>
      <c r="D102" t="s">
        <v>2</v>
      </c>
      <c r="E102" t="s">
        <v>409</v>
      </c>
      <c r="F102" t="s">
        <v>13</v>
      </c>
      <c r="G102" t="s">
        <v>525</v>
      </c>
    </row>
    <row r="103" spans="1:7" x14ac:dyDescent="0.3">
      <c r="A103">
        <v>0</v>
      </c>
      <c r="B103" t="s">
        <v>314</v>
      </c>
      <c r="C103" t="s">
        <v>480</v>
      </c>
      <c r="D103" t="s">
        <v>2</v>
      </c>
      <c r="E103" t="s">
        <v>480</v>
      </c>
      <c r="F103" t="s">
        <v>13</v>
      </c>
      <c r="G103" t="s">
        <v>525</v>
      </c>
    </row>
    <row r="104" spans="1:7" x14ac:dyDescent="0.3">
      <c r="A104">
        <v>0</v>
      </c>
      <c r="B104" t="s">
        <v>105</v>
      </c>
      <c r="C104" t="s">
        <v>121</v>
      </c>
      <c r="D104" t="s">
        <v>2</v>
      </c>
      <c r="E104" t="s">
        <v>121</v>
      </c>
      <c r="F104" t="s">
        <v>13</v>
      </c>
      <c r="G104" t="s">
        <v>525</v>
      </c>
    </row>
    <row r="105" spans="1:7" x14ac:dyDescent="0.3">
      <c r="A105">
        <v>0</v>
      </c>
      <c r="B105" t="s">
        <v>312</v>
      </c>
      <c r="C105" t="s">
        <v>359</v>
      </c>
      <c r="D105" t="s">
        <v>2</v>
      </c>
      <c r="E105" t="s">
        <v>359</v>
      </c>
      <c r="F105" t="s">
        <v>13</v>
      </c>
      <c r="G105" t="s">
        <v>525</v>
      </c>
    </row>
    <row r="106" spans="1:7" x14ac:dyDescent="0.3">
      <c r="A106">
        <v>0</v>
      </c>
      <c r="B106" t="s">
        <v>319</v>
      </c>
      <c r="C106" t="s">
        <v>468</v>
      </c>
      <c r="D106" t="s">
        <v>2</v>
      </c>
      <c r="E106" t="s">
        <v>468</v>
      </c>
      <c r="F106" t="s">
        <v>13</v>
      </c>
      <c r="G106" t="s">
        <v>525</v>
      </c>
    </row>
    <row r="107" spans="1:7" x14ac:dyDescent="0.3">
      <c r="A107">
        <v>0</v>
      </c>
      <c r="B107" t="s">
        <v>319</v>
      </c>
      <c r="C107" t="s">
        <v>458</v>
      </c>
      <c r="D107" t="s">
        <v>2</v>
      </c>
      <c r="E107" t="s">
        <v>458</v>
      </c>
      <c r="F107" t="s">
        <v>13</v>
      </c>
      <c r="G107" t="s">
        <v>525</v>
      </c>
    </row>
    <row r="108" spans="1:7" x14ac:dyDescent="0.3">
      <c r="A108">
        <v>0</v>
      </c>
      <c r="B108" t="s">
        <v>312</v>
      </c>
      <c r="C108" t="s">
        <v>370</v>
      </c>
      <c r="D108" t="s">
        <v>2</v>
      </c>
      <c r="E108" t="s">
        <v>370</v>
      </c>
      <c r="F108" t="s">
        <v>13</v>
      </c>
      <c r="G108" t="s">
        <v>525</v>
      </c>
    </row>
    <row r="109" spans="1:7" x14ac:dyDescent="0.3">
      <c r="A109">
        <v>0</v>
      </c>
      <c r="B109" t="s">
        <v>57</v>
      </c>
      <c r="C109" t="s">
        <v>114</v>
      </c>
      <c r="D109" t="s">
        <v>2</v>
      </c>
      <c r="E109" t="s">
        <v>114</v>
      </c>
      <c r="F109" t="s">
        <v>13</v>
      </c>
      <c r="G109" t="s">
        <v>525</v>
      </c>
    </row>
    <row r="110" spans="1:7" x14ac:dyDescent="0.3">
      <c r="A110">
        <v>0</v>
      </c>
      <c r="B110" t="s">
        <v>319</v>
      </c>
      <c r="C110" t="s">
        <v>404</v>
      </c>
      <c r="D110" t="s">
        <v>2</v>
      </c>
      <c r="E110" t="s">
        <v>404</v>
      </c>
      <c r="F110" t="s">
        <v>13</v>
      </c>
      <c r="G110" t="s">
        <v>525</v>
      </c>
    </row>
    <row r="111" spans="1:7" x14ac:dyDescent="0.3">
      <c r="A111">
        <v>0</v>
      </c>
      <c r="B111" t="s">
        <v>312</v>
      </c>
      <c r="C111" t="s">
        <v>369</v>
      </c>
      <c r="D111" t="s">
        <v>2</v>
      </c>
      <c r="E111" t="s">
        <v>369</v>
      </c>
      <c r="F111" t="s">
        <v>13</v>
      </c>
      <c r="G111" t="s">
        <v>525</v>
      </c>
    </row>
    <row r="112" spans="1:7" x14ac:dyDescent="0.3">
      <c r="A112">
        <v>0</v>
      </c>
      <c r="B112" t="s">
        <v>57</v>
      </c>
      <c r="C112" t="s">
        <v>122</v>
      </c>
      <c r="D112" t="s">
        <v>2</v>
      </c>
      <c r="E112" t="s">
        <v>122</v>
      </c>
      <c r="F112" t="s">
        <v>13</v>
      </c>
      <c r="G112" t="s">
        <v>525</v>
      </c>
    </row>
    <row r="113" spans="1:7" x14ac:dyDescent="0.3">
      <c r="A113">
        <v>0</v>
      </c>
      <c r="B113" t="s">
        <v>319</v>
      </c>
      <c r="C113" t="s">
        <v>390</v>
      </c>
      <c r="D113" t="s">
        <v>2</v>
      </c>
      <c r="E113" t="s">
        <v>390</v>
      </c>
      <c r="F113" t="s">
        <v>13</v>
      </c>
      <c r="G113" t="s">
        <v>525</v>
      </c>
    </row>
    <row r="114" spans="1:7" x14ac:dyDescent="0.3">
      <c r="A114">
        <v>0</v>
      </c>
      <c r="B114" t="s">
        <v>312</v>
      </c>
      <c r="C114" t="s">
        <v>492</v>
      </c>
      <c r="D114" t="s">
        <v>2</v>
      </c>
      <c r="E114" t="s">
        <v>492</v>
      </c>
      <c r="F114" t="s">
        <v>13</v>
      </c>
      <c r="G114" t="s">
        <v>525</v>
      </c>
    </row>
    <row r="115" spans="1:7" x14ac:dyDescent="0.3">
      <c r="A115">
        <v>0</v>
      </c>
      <c r="B115" t="s">
        <v>312</v>
      </c>
      <c r="C115" t="s">
        <v>345</v>
      </c>
      <c r="D115" t="s">
        <v>2</v>
      </c>
      <c r="E115" t="s">
        <v>345</v>
      </c>
      <c r="F115" t="s">
        <v>13</v>
      </c>
      <c r="G115" t="s">
        <v>525</v>
      </c>
    </row>
    <row r="116" spans="1:7" x14ac:dyDescent="0.3">
      <c r="A116">
        <v>0</v>
      </c>
      <c r="B116" t="s">
        <v>314</v>
      </c>
      <c r="C116" t="s">
        <v>374</v>
      </c>
      <c r="D116" t="s">
        <v>2</v>
      </c>
      <c r="E116" t="s">
        <v>374</v>
      </c>
      <c r="F116" t="s">
        <v>13</v>
      </c>
      <c r="G116" t="s">
        <v>525</v>
      </c>
    </row>
    <row r="117" spans="1:7" x14ac:dyDescent="0.3">
      <c r="A117">
        <v>0</v>
      </c>
      <c r="B117" t="s">
        <v>105</v>
      </c>
      <c r="C117" t="s">
        <v>124</v>
      </c>
      <c r="D117" t="s">
        <v>2</v>
      </c>
      <c r="E117" t="s">
        <v>124</v>
      </c>
      <c r="F117" t="s">
        <v>13</v>
      </c>
      <c r="G117" t="s">
        <v>525</v>
      </c>
    </row>
    <row r="118" spans="1:7" x14ac:dyDescent="0.3">
      <c r="A118">
        <v>0</v>
      </c>
      <c r="B118" t="s">
        <v>312</v>
      </c>
      <c r="C118" t="s">
        <v>440</v>
      </c>
      <c r="D118" t="s">
        <v>2</v>
      </c>
      <c r="E118" t="s">
        <v>440</v>
      </c>
      <c r="F118" t="s">
        <v>13</v>
      </c>
      <c r="G118" t="s">
        <v>525</v>
      </c>
    </row>
    <row r="119" spans="1:7" x14ac:dyDescent="0.3">
      <c r="A119">
        <v>0</v>
      </c>
      <c r="B119" t="s">
        <v>312</v>
      </c>
      <c r="C119" t="s">
        <v>316</v>
      </c>
      <c r="D119" t="s">
        <v>2</v>
      </c>
      <c r="E119" t="s">
        <v>316</v>
      </c>
      <c r="F119" t="s">
        <v>13</v>
      </c>
      <c r="G119" t="s">
        <v>525</v>
      </c>
    </row>
    <row r="120" spans="1:7" x14ac:dyDescent="0.3">
      <c r="A120">
        <v>0</v>
      </c>
      <c r="B120" t="s">
        <v>312</v>
      </c>
      <c r="C120" t="s">
        <v>427</v>
      </c>
      <c r="D120" t="s">
        <v>2</v>
      </c>
      <c r="E120" t="s">
        <v>427</v>
      </c>
      <c r="F120" t="s">
        <v>13</v>
      </c>
      <c r="G120" t="s">
        <v>525</v>
      </c>
    </row>
    <row r="121" spans="1:7" x14ac:dyDescent="0.3">
      <c r="A121">
        <v>0</v>
      </c>
      <c r="B121" t="s">
        <v>312</v>
      </c>
      <c r="C121" t="s">
        <v>332</v>
      </c>
      <c r="D121" t="s">
        <v>2</v>
      </c>
      <c r="E121" t="s">
        <v>332</v>
      </c>
      <c r="F121" t="s">
        <v>13</v>
      </c>
      <c r="G121" t="s">
        <v>525</v>
      </c>
    </row>
    <row r="122" spans="1:7" x14ac:dyDescent="0.3">
      <c r="A122">
        <v>0</v>
      </c>
      <c r="B122" t="s">
        <v>312</v>
      </c>
      <c r="C122" t="s">
        <v>336</v>
      </c>
      <c r="D122" t="s">
        <v>2</v>
      </c>
      <c r="E122" t="s">
        <v>336</v>
      </c>
      <c r="F122" t="s">
        <v>13</v>
      </c>
      <c r="G122" t="s">
        <v>525</v>
      </c>
    </row>
    <row r="123" spans="1:7" x14ac:dyDescent="0.3">
      <c r="A123">
        <v>0</v>
      </c>
      <c r="B123" t="s">
        <v>314</v>
      </c>
      <c r="C123" t="s">
        <v>393</v>
      </c>
      <c r="D123" t="s">
        <v>2</v>
      </c>
      <c r="E123" t="s">
        <v>393</v>
      </c>
      <c r="F123" t="s">
        <v>13</v>
      </c>
      <c r="G123" t="s">
        <v>525</v>
      </c>
    </row>
    <row r="124" spans="1:7" x14ac:dyDescent="0.3">
      <c r="A124">
        <v>0</v>
      </c>
      <c r="B124" t="s">
        <v>312</v>
      </c>
      <c r="C124" t="s">
        <v>339</v>
      </c>
      <c r="D124" t="s">
        <v>2</v>
      </c>
      <c r="E124" t="s">
        <v>339</v>
      </c>
      <c r="F124" t="s">
        <v>13</v>
      </c>
      <c r="G124" t="s">
        <v>525</v>
      </c>
    </row>
    <row r="125" spans="1:7" x14ac:dyDescent="0.3">
      <c r="A125">
        <v>0</v>
      </c>
      <c r="B125" t="s">
        <v>312</v>
      </c>
      <c r="C125" t="s">
        <v>400</v>
      </c>
      <c r="D125" t="s">
        <v>2</v>
      </c>
      <c r="E125" t="s">
        <v>400</v>
      </c>
      <c r="F125" t="s">
        <v>13</v>
      </c>
      <c r="G125" t="s">
        <v>525</v>
      </c>
    </row>
    <row r="126" spans="1:7" x14ac:dyDescent="0.3">
      <c r="A126">
        <v>0</v>
      </c>
      <c r="B126" t="s">
        <v>312</v>
      </c>
      <c r="C126" t="s">
        <v>380</v>
      </c>
      <c r="D126" t="s">
        <v>2</v>
      </c>
      <c r="E126" t="s">
        <v>380</v>
      </c>
      <c r="F126" t="s">
        <v>13</v>
      </c>
      <c r="G126" t="s">
        <v>525</v>
      </c>
    </row>
    <row r="127" spans="1:7" x14ac:dyDescent="0.3">
      <c r="A127">
        <v>0</v>
      </c>
      <c r="B127" t="s">
        <v>312</v>
      </c>
      <c r="C127" t="s">
        <v>442</v>
      </c>
      <c r="D127" t="s">
        <v>2</v>
      </c>
      <c r="E127" t="s">
        <v>442</v>
      </c>
      <c r="F127" t="s">
        <v>13</v>
      </c>
      <c r="G127" t="s">
        <v>525</v>
      </c>
    </row>
    <row r="128" spans="1:7" x14ac:dyDescent="0.3">
      <c r="A128">
        <v>0</v>
      </c>
      <c r="B128" t="s">
        <v>314</v>
      </c>
      <c r="C128" t="s">
        <v>349</v>
      </c>
      <c r="D128" t="s">
        <v>2</v>
      </c>
      <c r="E128" t="s">
        <v>349</v>
      </c>
      <c r="F128" t="s">
        <v>13</v>
      </c>
      <c r="G128" t="s">
        <v>525</v>
      </c>
    </row>
    <row r="129" spans="1:7" x14ac:dyDescent="0.3">
      <c r="A129">
        <v>0</v>
      </c>
      <c r="B129" t="s">
        <v>57</v>
      </c>
      <c r="C129" t="s">
        <v>470</v>
      </c>
      <c r="D129" t="s">
        <v>2</v>
      </c>
      <c r="E129" t="s">
        <v>470</v>
      </c>
      <c r="F129" t="s">
        <v>13</v>
      </c>
      <c r="G129" t="s">
        <v>525</v>
      </c>
    </row>
    <row r="130" spans="1:7" x14ac:dyDescent="0.3">
      <c r="A130">
        <v>0</v>
      </c>
      <c r="B130" t="s">
        <v>319</v>
      </c>
      <c r="C130" t="s">
        <v>463</v>
      </c>
      <c r="D130" t="s">
        <v>2</v>
      </c>
      <c r="E130" t="s">
        <v>463</v>
      </c>
      <c r="F130" t="s">
        <v>13</v>
      </c>
      <c r="G130" t="s">
        <v>525</v>
      </c>
    </row>
    <row r="131" spans="1:7" x14ac:dyDescent="0.3">
      <c r="A131">
        <v>0</v>
      </c>
      <c r="B131" t="s">
        <v>314</v>
      </c>
      <c r="C131" t="s">
        <v>343</v>
      </c>
      <c r="D131" t="s">
        <v>2</v>
      </c>
      <c r="E131" t="s">
        <v>343</v>
      </c>
      <c r="F131" t="s">
        <v>13</v>
      </c>
      <c r="G131" t="s">
        <v>525</v>
      </c>
    </row>
    <row r="132" spans="1:7" x14ac:dyDescent="0.3">
      <c r="A132">
        <v>0</v>
      </c>
      <c r="B132" t="s">
        <v>312</v>
      </c>
      <c r="C132" t="s">
        <v>371</v>
      </c>
      <c r="D132" t="s">
        <v>2</v>
      </c>
      <c r="E132" t="s">
        <v>371</v>
      </c>
      <c r="F132" t="s">
        <v>13</v>
      </c>
      <c r="G132" t="s">
        <v>525</v>
      </c>
    </row>
    <row r="133" spans="1:7" x14ac:dyDescent="0.3">
      <c r="A133">
        <v>0</v>
      </c>
      <c r="B133" t="s">
        <v>312</v>
      </c>
      <c r="C133" t="s">
        <v>366</v>
      </c>
      <c r="D133" t="s">
        <v>2</v>
      </c>
      <c r="E133" t="s">
        <v>366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384</v>
      </c>
      <c r="D134" t="s">
        <v>2</v>
      </c>
      <c r="E134" t="s">
        <v>384</v>
      </c>
      <c r="F134" t="s">
        <v>13</v>
      </c>
      <c r="G134" t="s">
        <v>525</v>
      </c>
    </row>
    <row r="135" spans="1:7" x14ac:dyDescent="0.3">
      <c r="A135">
        <v>0</v>
      </c>
      <c r="B135" t="s">
        <v>319</v>
      </c>
      <c r="C135" t="s">
        <v>464</v>
      </c>
      <c r="D135" t="s">
        <v>2</v>
      </c>
      <c r="E135" t="s">
        <v>464</v>
      </c>
      <c r="F135" t="s">
        <v>13</v>
      </c>
      <c r="G135" t="s">
        <v>525</v>
      </c>
    </row>
    <row r="136" spans="1:7" x14ac:dyDescent="0.3">
      <c r="A136">
        <v>0</v>
      </c>
      <c r="B136" t="s">
        <v>312</v>
      </c>
      <c r="C136" t="s">
        <v>323</v>
      </c>
      <c r="D136" t="s">
        <v>2</v>
      </c>
      <c r="E136" t="s">
        <v>323</v>
      </c>
      <c r="F136" t="s">
        <v>13</v>
      </c>
      <c r="G136" t="s">
        <v>525</v>
      </c>
    </row>
    <row r="137" spans="1:7" x14ac:dyDescent="0.3">
      <c r="A137">
        <v>0</v>
      </c>
      <c r="B137" t="s">
        <v>314</v>
      </c>
      <c r="C137" t="s">
        <v>414</v>
      </c>
      <c r="D137" t="s">
        <v>2</v>
      </c>
      <c r="E137" t="s">
        <v>414</v>
      </c>
      <c r="F137" t="s">
        <v>13</v>
      </c>
      <c r="G137" t="s">
        <v>525</v>
      </c>
    </row>
    <row r="138" spans="1:7" x14ac:dyDescent="0.3">
      <c r="A138">
        <v>0</v>
      </c>
      <c r="B138" t="s">
        <v>312</v>
      </c>
      <c r="C138" t="s">
        <v>261</v>
      </c>
      <c r="D138" t="s">
        <v>2</v>
      </c>
      <c r="E138" t="s">
        <v>261</v>
      </c>
      <c r="F138" t="s">
        <v>13</v>
      </c>
      <c r="G138" t="s">
        <v>525</v>
      </c>
    </row>
    <row r="139" spans="1:7" x14ac:dyDescent="0.3">
      <c r="A139">
        <v>0</v>
      </c>
      <c r="B139" t="s">
        <v>319</v>
      </c>
      <c r="C139" t="s">
        <v>364</v>
      </c>
      <c r="D139" t="s">
        <v>2</v>
      </c>
      <c r="E139" t="s">
        <v>364</v>
      </c>
      <c r="F139" t="s">
        <v>13</v>
      </c>
      <c r="G139" t="s">
        <v>525</v>
      </c>
    </row>
    <row r="140" spans="1:7" x14ac:dyDescent="0.3">
      <c r="A140">
        <v>0</v>
      </c>
      <c r="B140" t="s">
        <v>312</v>
      </c>
      <c r="C140" t="s">
        <v>373</v>
      </c>
      <c r="D140" t="s">
        <v>2</v>
      </c>
      <c r="E140" t="s">
        <v>373</v>
      </c>
      <c r="F140" t="s">
        <v>13</v>
      </c>
      <c r="G140" t="s">
        <v>525</v>
      </c>
    </row>
    <row r="141" spans="1:7" x14ac:dyDescent="0.3">
      <c r="A141">
        <v>0</v>
      </c>
      <c r="B141" t="s">
        <v>312</v>
      </c>
      <c r="C141" t="s">
        <v>482</v>
      </c>
      <c r="D141" t="s">
        <v>2</v>
      </c>
      <c r="E141" t="s">
        <v>482</v>
      </c>
      <c r="F141" t="s">
        <v>13</v>
      </c>
      <c r="G141" t="s">
        <v>525</v>
      </c>
    </row>
    <row r="142" spans="1:7" x14ac:dyDescent="0.3">
      <c r="A142">
        <v>0</v>
      </c>
      <c r="B142" t="s">
        <v>312</v>
      </c>
      <c r="C142" t="s">
        <v>412</v>
      </c>
      <c r="D142" t="s">
        <v>2</v>
      </c>
      <c r="E142" t="s">
        <v>412</v>
      </c>
      <c r="F142" t="s">
        <v>13</v>
      </c>
      <c r="G142" t="s">
        <v>525</v>
      </c>
    </row>
    <row r="143" spans="1:7" x14ac:dyDescent="0.3">
      <c r="A143">
        <v>0</v>
      </c>
      <c r="B143" t="s">
        <v>312</v>
      </c>
      <c r="C143" t="s">
        <v>434</v>
      </c>
      <c r="D143" t="s">
        <v>2</v>
      </c>
      <c r="E143" t="s">
        <v>434</v>
      </c>
      <c r="F143" t="s">
        <v>13</v>
      </c>
      <c r="G143" t="s">
        <v>525</v>
      </c>
    </row>
    <row r="144" spans="1:7" x14ac:dyDescent="0.3">
      <c r="A144">
        <v>0</v>
      </c>
      <c r="B144" t="s">
        <v>314</v>
      </c>
      <c r="C144" t="s">
        <v>443</v>
      </c>
      <c r="D144" t="s">
        <v>2</v>
      </c>
      <c r="E144" t="s">
        <v>443</v>
      </c>
      <c r="F144" t="s">
        <v>13</v>
      </c>
      <c r="G144" t="s">
        <v>525</v>
      </c>
    </row>
    <row r="145" spans="1:7" x14ac:dyDescent="0.3">
      <c r="A145">
        <v>0</v>
      </c>
      <c r="B145" t="s">
        <v>319</v>
      </c>
      <c r="C145" t="s">
        <v>430</v>
      </c>
      <c r="D145" t="s">
        <v>2</v>
      </c>
      <c r="E145" t="s">
        <v>430</v>
      </c>
      <c r="F145" t="s">
        <v>13</v>
      </c>
      <c r="G145" t="s">
        <v>525</v>
      </c>
    </row>
    <row r="146" spans="1:7" x14ac:dyDescent="0.3">
      <c r="A146">
        <v>0</v>
      </c>
      <c r="B146" t="s">
        <v>314</v>
      </c>
      <c r="C146" t="s">
        <v>408</v>
      </c>
      <c r="D146" t="s">
        <v>2</v>
      </c>
      <c r="E146" t="s">
        <v>408</v>
      </c>
      <c r="F146" t="s">
        <v>13</v>
      </c>
      <c r="G146" t="s">
        <v>525</v>
      </c>
    </row>
    <row r="147" spans="1:7" x14ac:dyDescent="0.3">
      <c r="A147">
        <v>0</v>
      </c>
      <c r="B147" t="s">
        <v>312</v>
      </c>
      <c r="C147" t="s">
        <v>138</v>
      </c>
      <c r="D147" t="s">
        <v>2</v>
      </c>
      <c r="E147" t="s">
        <v>138</v>
      </c>
      <c r="F147" t="s">
        <v>13</v>
      </c>
      <c r="G147" t="s">
        <v>525</v>
      </c>
    </row>
    <row r="148" spans="1:7" x14ac:dyDescent="0.3">
      <c r="A148">
        <v>0</v>
      </c>
      <c r="B148" t="s">
        <v>312</v>
      </c>
      <c r="C148" t="s">
        <v>275</v>
      </c>
      <c r="D148" t="s">
        <v>2</v>
      </c>
      <c r="E148" t="s">
        <v>275</v>
      </c>
      <c r="F148" t="s">
        <v>13</v>
      </c>
      <c r="G148" t="s">
        <v>525</v>
      </c>
    </row>
    <row r="149" spans="1:7" x14ac:dyDescent="0.3">
      <c r="A149">
        <v>0</v>
      </c>
      <c r="B149" t="s">
        <v>312</v>
      </c>
      <c r="C149" t="s">
        <v>337</v>
      </c>
      <c r="D149" t="s">
        <v>2</v>
      </c>
      <c r="E149" t="s">
        <v>337</v>
      </c>
      <c r="F149" t="s">
        <v>13</v>
      </c>
      <c r="G149" t="s">
        <v>525</v>
      </c>
    </row>
    <row r="150" spans="1:7" x14ac:dyDescent="0.3">
      <c r="A150">
        <v>0</v>
      </c>
      <c r="B150" t="s">
        <v>312</v>
      </c>
      <c r="C150" t="s">
        <v>331</v>
      </c>
      <c r="D150" t="s">
        <v>2</v>
      </c>
      <c r="E150" t="s">
        <v>331</v>
      </c>
      <c r="F150" t="s">
        <v>13</v>
      </c>
      <c r="G150" t="s">
        <v>525</v>
      </c>
    </row>
    <row r="151" spans="1:7" x14ac:dyDescent="0.3">
      <c r="A151">
        <v>0</v>
      </c>
      <c r="B151" t="s">
        <v>312</v>
      </c>
      <c r="C151" t="s">
        <v>452</v>
      </c>
      <c r="D151" t="s">
        <v>2</v>
      </c>
      <c r="E151" t="s">
        <v>452</v>
      </c>
      <c r="F151" t="s">
        <v>13</v>
      </c>
      <c r="G151" t="s">
        <v>525</v>
      </c>
    </row>
    <row r="152" spans="1:7" x14ac:dyDescent="0.3">
      <c r="A152">
        <v>0</v>
      </c>
      <c r="B152" t="s">
        <v>319</v>
      </c>
      <c r="C152" t="s">
        <v>477</v>
      </c>
      <c r="D152" t="s">
        <v>2</v>
      </c>
      <c r="E152" t="s">
        <v>477</v>
      </c>
      <c r="F152" t="s">
        <v>13</v>
      </c>
      <c r="G152" t="s">
        <v>525</v>
      </c>
    </row>
    <row r="153" spans="1:7" x14ac:dyDescent="0.3">
      <c r="A153">
        <v>0</v>
      </c>
      <c r="B153" t="s">
        <v>312</v>
      </c>
      <c r="C153" t="s">
        <v>446</v>
      </c>
      <c r="D153" t="s">
        <v>2</v>
      </c>
      <c r="E153" t="s">
        <v>446</v>
      </c>
      <c r="F153" t="s">
        <v>13</v>
      </c>
      <c r="G153" t="s">
        <v>525</v>
      </c>
    </row>
    <row r="154" spans="1:7" x14ac:dyDescent="0.3">
      <c r="A154">
        <v>0</v>
      </c>
      <c r="B154" t="s">
        <v>319</v>
      </c>
      <c r="C154" t="s">
        <v>491</v>
      </c>
      <c r="D154" t="s">
        <v>2</v>
      </c>
      <c r="E154" t="s">
        <v>491</v>
      </c>
      <c r="F154" t="s">
        <v>13</v>
      </c>
      <c r="G154" t="s">
        <v>525</v>
      </c>
    </row>
    <row r="155" spans="1:7" x14ac:dyDescent="0.3">
      <c r="A155">
        <v>0</v>
      </c>
      <c r="B155" t="s">
        <v>312</v>
      </c>
      <c r="C155" t="s">
        <v>326</v>
      </c>
      <c r="D155" t="s">
        <v>2</v>
      </c>
      <c r="E155" t="s">
        <v>326</v>
      </c>
      <c r="F155" t="s">
        <v>13</v>
      </c>
      <c r="G155" t="s">
        <v>525</v>
      </c>
    </row>
    <row r="156" spans="1:7" x14ac:dyDescent="0.3">
      <c r="A156">
        <v>0</v>
      </c>
      <c r="B156" t="s">
        <v>319</v>
      </c>
      <c r="C156" t="s">
        <v>415</v>
      </c>
      <c r="D156" t="s">
        <v>2</v>
      </c>
      <c r="E156" t="s">
        <v>415</v>
      </c>
      <c r="F156" t="s">
        <v>13</v>
      </c>
      <c r="G156" t="s">
        <v>525</v>
      </c>
    </row>
    <row r="157" spans="1:7" x14ac:dyDescent="0.3">
      <c r="A157">
        <v>0</v>
      </c>
      <c r="B157" t="s">
        <v>314</v>
      </c>
      <c r="C157" t="s">
        <v>451</v>
      </c>
      <c r="D157" t="s">
        <v>2</v>
      </c>
      <c r="E157" t="s">
        <v>451</v>
      </c>
      <c r="F157" t="s">
        <v>13</v>
      </c>
      <c r="G157" t="s">
        <v>525</v>
      </c>
    </row>
    <row r="158" spans="1:7" x14ac:dyDescent="0.3">
      <c r="A158">
        <v>0</v>
      </c>
      <c r="B158" t="s">
        <v>314</v>
      </c>
      <c r="C158" t="s">
        <v>448</v>
      </c>
      <c r="D158" t="s">
        <v>2</v>
      </c>
      <c r="E158" t="s">
        <v>448</v>
      </c>
      <c r="F158" t="s">
        <v>13</v>
      </c>
      <c r="G158" t="s">
        <v>525</v>
      </c>
    </row>
    <row r="159" spans="1:7" x14ac:dyDescent="0.3">
      <c r="A159">
        <v>0</v>
      </c>
      <c r="B159" t="s">
        <v>312</v>
      </c>
      <c r="C159" t="s">
        <v>423</v>
      </c>
      <c r="D159" t="s">
        <v>2</v>
      </c>
      <c r="E159" t="s">
        <v>423</v>
      </c>
      <c r="F159" t="s">
        <v>13</v>
      </c>
      <c r="G159" t="s">
        <v>525</v>
      </c>
    </row>
    <row r="160" spans="1:7" x14ac:dyDescent="0.3">
      <c r="A160">
        <v>0</v>
      </c>
      <c r="B160" t="s">
        <v>319</v>
      </c>
      <c r="C160" t="s">
        <v>361</v>
      </c>
      <c r="D160" t="s">
        <v>2</v>
      </c>
      <c r="E160" t="s">
        <v>361</v>
      </c>
      <c r="F160" t="s">
        <v>13</v>
      </c>
      <c r="G160" t="s">
        <v>525</v>
      </c>
    </row>
    <row r="161" spans="1:7" x14ac:dyDescent="0.3">
      <c r="A161">
        <v>0</v>
      </c>
      <c r="B161" t="s">
        <v>314</v>
      </c>
      <c r="C161" t="s">
        <v>467</v>
      </c>
      <c r="D161" t="s">
        <v>2</v>
      </c>
      <c r="E161" t="s">
        <v>467</v>
      </c>
      <c r="F161" t="s">
        <v>13</v>
      </c>
      <c r="G161" t="s">
        <v>525</v>
      </c>
    </row>
    <row r="162" spans="1:7" x14ac:dyDescent="0.3">
      <c r="A162">
        <v>0</v>
      </c>
      <c r="B162" t="s">
        <v>319</v>
      </c>
      <c r="C162" t="s">
        <v>420</v>
      </c>
      <c r="D162" t="s">
        <v>2</v>
      </c>
      <c r="E162" t="s">
        <v>420</v>
      </c>
      <c r="F162" t="s">
        <v>13</v>
      </c>
      <c r="G162" t="s">
        <v>525</v>
      </c>
    </row>
    <row r="163" spans="1:7" x14ac:dyDescent="0.3">
      <c r="A163">
        <v>0</v>
      </c>
      <c r="B163" t="s">
        <v>314</v>
      </c>
      <c r="C163" t="s">
        <v>487</v>
      </c>
      <c r="D163" t="s">
        <v>2</v>
      </c>
      <c r="E163" t="s">
        <v>487</v>
      </c>
      <c r="F163" t="s">
        <v>13</v>
      </c>
      <c r="G163" t="s">
        <v>525</v>
      </c>
    </row>
    <row r="164" spans="1:7" x14ac:dyDescent="0.3">
      <c r="A164">
        <v>0</v>
      </c>
      <c r="B164" t="s">
        <v>312</v>
      </c>
      <c r="C164" t="s">
        <v>149</v>
      </c>
      <c r="D164" t="s">
        <v>2</v>
      </c>
      <c r="E164" t="s">
        <v>149</v>
      </c>
      <c r="F164" t="s">
        <v>13</v>
      </c>
      <c r="G164" t="s">
        <v>525</v>
      </c>
    </row>
    <row r="165" spans="1:7" x14ac:dyDescent="0.3">
      <c r="A165">
        <v>0</v>
      </c>
      <c r="B165" t="s">
        <v>314</v>
      </c>
      <c r="C165" t="s">
        <v>377</v>
      </c>
      <c r="D165" t="s">
        <v>2</v>
      </c>
      <c r="E165" t="s">
        <v>377</v>
      </c>
      <c r="F165" t="s">
        <v>13</v>
      </c>
      <c r="G165" t="s">
        <v>525</v>
      </c>
    </row>
    <row r="166" spans="1:7" x14ac:dyDescent="0.3">
      <c r="A166">
        <v>0</v>
      </c>
      <c r="B166" t="s">
        <v>312</v>
      </c>
      <c r="C166" t="s">
        <v>403</v>
      </c>
      <c r="D166" t="s">
        <v>2</v>
      </c>
      <c r="E166" t="s">
        <v>403</v>
      </c>
      <c r="F166" t="s">
        <v>13</v>
      </c>
      <c r="G166" t="s">
        <v>525</v>
      </c>
    </row>
    <row r="167" spans="1:7" x14ac:dyDescent="0.3">
      <c r="A167">
        <v>0</v>
      </c>
      <c r="B167" t="s">
        <v>312</v>
      </c>
      <c r="C167" t="s">
        <v>387</v>
      </c>
      <c r="D167" t="s">
        <v>2</v>
      </c>
      <c r="E167" t="s">
        <v>387</v>
      </c>
      <c r="F167" t="s">
        <v>13</v>
      </c>
      <c r="G167" t="s">
        <v>525</v>
      </c>
    </row>
    <row r="168" spans="1:7" x14ac:dyDescent="0.3">
      <c r="A168">
        <v>0</v>
      </c>
      <c r="B168" t="s">
        <v>312</v>
      </c>
      <c r="C168" t="s">
        <v>431</v>
      </c>
      <c r="D168" t="s">
        <v>2</v>
      </c>
      <c r="E168" t="s">
        <v>431</v>
      </c>
      <c r="F168" t="s">
        <v>13</v>
      </c>
      <c r="G168" t="s">
        <v>525</v>
      </c>
    </row>
    <row r="169" spans="1:7" x14ac:dyDescent="0.3">
      <c r="A169">
        <v>0</v>
      </c>
      <c r="B169" t="s">
        <v>319</v>
      </c>
      <c r="C169" t="s">
        <v>459</v>
      </c>
      <c r="D169" t="s">
        <v>2</v>
      </c>
      <c r="E169" t="s">
        <v>459</v>
      </c>
      <c r="F169" t="s">
        <v>13</v>
      </c>
      <c r="G169" t="s">
        <v>525</v>
      </c>
    </row>
    <row r="170" spans="1:7" x14ac:dyDescent="0.3">
      <c r="A170">
        <v>0</v>
      </c>
      <c r="B170" t="s">
        <v>314</v>
      </c>
      <c r="C170" t="s">
        <v>376</v>
      </c>
      <c r="D170" t="s">
        <v>2</v>
      </c>
      <c r="E170" t="s">
        <v>376</v>
      </c>
      <c r="F170" t="s">
        <v>13</v>
      </c>
      <c r="G170" t="s">
        <v>525</v>
      </c>
    </row>
    <row r="171" spans="1:7" x14ac:dyDescent="0.3">
      <c r="A171">
        <v>0</v>
      </c>
      <c r="B171" t="s">
        <v>312</v>
      </c>
      <c r="C171" t="s">
        <v>379</v>
      </c>
      <c r="D171" t="s">
        <v>2</v>
      </c>
      <c r="E171" t="s">
        <v>379</v>
      </c>
      <c r="F171" t="s">
        <v>13</v>
      </c>
      <c r="G171" t="s">
        <v>525</v>
      </c>
    </row>
    <row r="172" spans="1:7" x14ac:dyDescent="0.3">
      <c r="A172">
        <v>0</v>
      </c>
      <c r="B172" t="s">
        <v>314</v>
      </c>
      <c r="C172" t="s">
        <v>445</v>
      </c>
      <c r="D172" t="s">
        <v>2</v>
      </c>
      <c r="E172" t="s">
        <v>445</v>
      </c>
      <c r="F172" t="s">
        <v>13</v>
      </c>
      <c r="G172" t="s">
        <v>525</v>
      </c>
    </row>
    <row r="173" spans="1:7" x14ac:dyDescent="0.3">
      <c r="A173">
        <v>0</v>
      </c>
      <c r="B173" t="s">
        <v>319</v>
      </c>
      <c r="C173" t="s">
        <v>460</v>
      </c>
      <c r="D173" t="s">
        <v>2</v>
      </c>
      <c r="E173" t="s">
        <v>460</v>
      </c>
      <c r="F173" t="s">
        <v>13</v>
      </c>
      <c r="G173" t="s">
        <v>525</v>
      </c>
    </row>
    <row r="174" spans="1:7" x14ac:dyDescent="0.3">
      <c r="A174">
        <v>0</v>
      </c>
      <c r="B174" t="s">
        <v>314</v>
      </c>
      <c r="C174" t="s">
        <v>450</v>
      </c>
      <c r="D174" t="s">
        <v>2</v>
      </c>
      <c r="E174" t="s">
        <v>450</v>
      </c>
      <c r="F174" t="s">
        <v>13</v>
      </c>
      <c r="G174" t="s">
        <v>525</v>
      </c>
    </row>
    <row r="175" spans="1:7" x14ac:dyDescent="0.3">
      <c r="A175">
        <v>0</v>
      </c>
      <c r="B175" t="s">
        <v>312</v>
      </c>
      <c r="C175" t="s">
        <v>473</v>
      </c>
      <c r="D175" t="s">
        <v>2</v>
      </c>
      <c r="E175" t="s">
        <v>473</v>
      </c>
      <c r="F175" t="s">
        <v>13</v>
      </c>
      <c r="G175" t="s">
        <v>525</v>
      </c>
    </row>
    <row r="176" spans="1:7" x14ac:dyDescent="0.3">
      <c r="A176">
        <v>0</v>
      </c>
      <c r="B176" t="s">
        <v>314</v>
      </c>
      <c r="C176" t="s">
        <v>313</v>
      </c>
      <c r="D176" t="s">
        <v>2</v>
      </c>
      <c r="E176" t="s">
        <v>313</v>
      </c>
      <c r="F176" t="s">
        <v>13</v>
      </c>
      <c r="G176" t="s">
        <v>525</v>
      </c>
    </row>
    <row r="177" spans="1:7" x14ac:dyDescent="0.3">
      <c r="A177">
        <v>0</v>
      </c>
      <c r="B177" t="s">
        <v>312</v>
      </c>
      <c r="C177" t="s">
        <v>472</v>
      </c>
      <c r="D177" t="s">
        <v>2</v>
      </c>
      <c r="E177" t="s">
        <v>472</v>
      </c>
      <c r="F177" t="s">
        <v>13</v>
      </c>
      <c r="G177" t="s">
        <v>525</v>
      </c>
    </row>
    <row r="178" spans="1:7" x14ac:dyDescent="0.3">
      <c r="A178">
        <v>0</v>
      </c>
      <c r="B178" t="s">
        <v>312</v>
      </c>
      <c r="C178" t="s">
        <v>402</v>
      </c>
      <c r="D178" t="s">
        <v>2</v>
      </c>
      <c r="E178" t="s">
        <v>402</v>
      </c>
      <c r="F178" t="s">
        <v>13</v>
      </c>
      <c r="G178" t="s">
        <v>525</v>
      </c>
    </row>
    <row r="179" spans="1:7" x14ac:dyDescent="0.3">
      <c r="A179">
        <v>0</v>
      </c>
      <c r="B179" t="s">
        <v>314</v>
      </c>
      <c r="C179" t="s">
        <v>455</v>
      </c>
      <c r="D179" t="s">
        <v>2</v>
      </c>
      <c r="E179" t="s">
        <v>455</v>
      </c>
      <c r="F179" t="s">
        <v>13</v>
      </c>
      <c r="G179" t="s">
        <v>525</v>
      </c>
    </row>
    <row r="180" spans="1:7" x14ac:dyDescent="0.3">
      <c r="A180">
        <v>0</v>
      </c>
      <c r="B180" t="s">
        <v>312</v>
      </c>
      <c r="C180" t="s">
        <v>411</v>
      </c>
      <c r="D180" t="s">
        <v>2</v>
      </c>
      <c r="E180" t="s">
        <v>411</v>
      </c>
      <c r="F180" t="s">
        <v>13</v>
      </c>
      <c r="G180" t="s">
        <v>525</v>
      </c>
    </row>
    <row r="181" spans="1:7" x14ac:dyDescent="0.3">
      <c r="A181">
        <v>0</v>
      </c>
      <c r="B181" t="s">
        <v>312</v>
      </c>
      <c r="C181" t="s">
        <v>488</v>
      </c>
      <c r="D181" t="s">
        <v>2</v>
      </c>
      <c r="E181" t="s">
        <v>488</v>
      </c>
      <c r="F181" t="s">
        <v>13</v>
      </c>
      <c r="G181" t="s">
        <v>525</v>
      </c>
    </row>
    <row r="182" spans="1:7" x14ac:dyDescent="0.3">
      <c r="A182">
        <v>0</v>
      </c>
      <c r="B182" t="s">
        <v>319</v>
      </c>
      <c r="C182" t="s">
        <v>462</v>
      </c>
      <c r="D182" t="s">
        <v>2</v>
      </c>
      <c r="E182" t="s">
        <v>462</v>
      </c>
      <c r="F182" t="s">
        <v>13</v>
      </c>
      <c r="G182" t="s">
        <v>525</v>
      </c>
    </row>
    <row r="183" spans="1:7" x14ac:dyDescent="0.3">
      <c r="A183">
        <v>0</v>
      </c>
      <c r="B183" t="s">
        <v>312</v>
      </c>
      <c r="C183" t="s">
        <v>246</v>
      </c>
      <c r="D183" t="s">
        <v>2</v>
      </c>
      <c r="E183" t="s">
        <v>246</v>
      </c>
      <c r="F183" t="s">
        <v>13</v>
      </c>
      <c r="G183" t="s">
        <v>525</v>
      </c>
    </row>
    <row r="184" spans="1:7" x14ac:dyDescent="0.3">
      <c r="A184">
        <v>0</v>
      </c>
      <c r="B184" t="s">
        <v>312</v>
      </c>
      <c r="C184" t="s">
        <v>357</v>
      </c>
      <c r="D184" t="s">
        <v>2</v>
      </c>
      <c r="E184" t="s">
        <v>357</v>
      </c>
      <c r="F184" t="s">
        <v>13</v>
      </c>
      <c r="G184" t="s">
        <v>525</v>
      </c>
    </row>
    <row r="185" spans="1:7" x14ac:dyDescent="0.3">
      <c r="A185">
        <v>0</v>
      </c>
      <c r="B185" t="s">
        <v>314</v>
      </c>
      <c r="C185" t="s">
        <v>341</v>
      </c>
      <c r="D185" t="s">
        <v>2</v>
      </c>
      <c r="E185" t="s">
        <v>341</v>
      </c>
      <c r="F185" t="s">
        <v>13</v>
      </c>
      <c r="G185" t="s">
        <v>525</v>
      </c>
    </row>
    <row r="186" spans="1:7" x14ac:dyDescent="0.3">
      <c r="A186">
        <v>0</v>
      </c>
      <c r="B186" t="s">
        <v>319</v>
      </c>
      <c r="C186" t="s">
        <v>466</v>
      </c>
      <c r="D186" t="s">
        <v>2</v>
      </c>
      <c r="E186" t="s">
        <v>466</v>
      </c>
      <c r="F186" t="s">
        <v>13</v>
      </c>
      <c r="G186" t="s">
        <v>525</v>
      </c>
    </row>
    <row r="187" spans="1:7" x14ac:dyDescent="0.3">
      <c r="A187">
        <v>0</v>
      </c>
      <c r="B187" t="s">
        <v>319</v>
      </c>
      <c r="C187" t="s">
        <v>362</v>
      </c>
      <c r="D187" t="s">
        <v>2</v>
      </c>
      <c r="E187" t="s">
        <v>362</v>
      </c>
      <c r="F187" t="s">
        <v>13</v>
      </c>
      <c r="G187" t="s">
        <v>525</v>
      </c>
    </row>
    <row r="188" spans="1:7" x14ac:dyDescent="0.3">
      <c r="A188">
        <v>0</v>
      </c>
      <c r="B188" t="s">
        <v>312</v>
      </c>
      <c r="C188" t="s">
        <v>433</v>
      </c>
      <c r="D188" t="s">
        <v>2</v>
      </c>
      <c r="E188" t="s">
        <v>433</v>
      </c>
      <c r="F188" t="s">
        <v>13</v>
      </c>
      <c r="G188" t="s">
        <v>525</v>
      </c>
    </row>
    <row r="189" spans="1:7" x14ac:dyDescent="0.3">
      <c r="A189">
        <v>0</v>
      </c>
      <c r="B189" t="s">
        <v>312</v>
      </c>
      <c r="C189" t="s">
        <v>397</v>
      </c>
      <c r="D189" t="s">
        <v>2</v>
      </c>
      <c r="E189" t="s">
        <v>397</v>
      </c>
      <c r="F189" t="s">
        <v>13</v>
      </c>
      <c r="G189" t="s">
        <v>525</v>
      </c>
    </row>
    <row r="190" spans="1:7" x14ac:dyDescent="0.3">
      <c r="A190">
        <v>0</v>
      </c>
      <c r="B190" t="s">
        <v>319</v>
      </c>
      <c r="C190" t="s">
        <v>378</v>
      </c>
      <c r="D190" t="s">
        <v>2</v>
      </c>
      <c r="E190" t="s">
        <v>378</v>
      </c>
      <c r="F190" t="s">
        <v>13</v>
      </c>
      <c r="G190" t="s">
        <v>525</v>
      </c>
    </row>
    <row r="191" spans="1:7" x14ac:dyDescent="0.3">
      <c r="A191">
        <v>0</v>
      </c>
      <c r="B191" t="s">
        <v>105</v>
      </c>
      <c r="C191" t="s">
        <v>117</v>
      </c>
      <c r="D191" t="s">
        <v>2</v>
      </c>
      <c r="E191" t="s">
        <v>117</v>
      </c>
      <c r="F191" t="s">
        <v>13</v>
      </c>
      <c r="G191" t="s">
        <v>525</v>
      </c>
    </row>
    <row r="192" spans="1:7" x14ac:dyDescent="0.3">
      <c r="A192">
        <v>0</v>
      </c>
      <c r="B192" t="s">
        <v>312</v>
      </c>
      <c r="C192" t="s">
        <v>476</v>
      </c>
      <c r="D192" t="s">
        <v>2</v>
      </c>
      <c r="E192" t="s">
        <v>476</v>
      </c>
      <c r="F192" t="s">
        <v>13</v>
      </c>
      <c r="G192" t="s">
        <v>525</v>
      </c>
    </row>
    <row r="193" spans="1:7" x14ac:dyDescent="0.3">
      <c r="A193">
        <v>0</v>
      </c>
      <c r="B193" t="s">
        <v>319</v>
      </c>
      <c r="C193" t="s">
        <v>478</v>
      </c>
      <c r="D193" t="s">
        <v>2</v>
      </c>
      <c r="E193" t="s">
        <v>478</v>
      </c>
      <c r="F193" t="s">
        <v>13</v>
      </c>
      <c r="G193" t="s">
        <v>525</v>
      </c>
    </row>
    <row r="194" spans="1:7" x14ac:dyDescent="0.3">
      <c r="A194">
        <v>0</v>
      </c>
      <c r="B194" t="s">
        <v>312</v>
      </c>
      <c r="C194" t="s">
        <v>367</v>
      </c>
      <c r="D194" t="s">
        <v>2</v>
      </c>
      <c r="E194" t="s">
        <v>367</v>
      </c>
      <c r="F194" t="s">
        <v>13</v>
      </c>
      <c r="G194" t="s">
        <v>525</v>
      </c>
    </row>
    <row r="195" spans="1:7" x14ac:dyDescent="0.3">
      <c r="A195">
        <v>0</v>
      </c>
      <c r="B195" t="s">
        <v>312</v>
      </c>
      <c r="C195" t="s">
        <v>346</v>
      </c>
      <c r="D195" t="s">
        <v>2</v>
      </c>
      <c r="E195" t="s">
        <v>346</v>
      </c>
      <c r="F195" t="s">
        <v>13</v>
      </c>
      <c r="G195" t="s">
        <v>525</v>
      </c>
    </row>
    <row r="196" spans="1:7" x14ac:dyDescent="0.3">
      <c r="A196">
        <v>0</v>
      </c>
      <c r="B196" t="s">
        <v>105</v>
      </c>
      <c r="C196" t="s">
        <v>119</v>
      </c>
      <c r="D196" t="s">
        <v>2</v>
      </c>
      <c r="E196" t="s">
        <v>119</v>
      </c>
      <c r="F196" t="s">
        <v>13</v>
      </c>
      <c r="G196" t="s">
        <v>525</v>
      </c>
    </row>
    <row r="197" spans="1:7" x14ac:dyDescent="0.3">
      <c r="A197">
        <v>0</v>
      </c>
      <c r="B197" t="s">
        <v>312</v>
      </c>
      <c r="C197" t="s">
        <v>385</v>
      </c>
      <c r="D197" t="s">
        <v>2</v>
      </c>
      <c r="E197" t="s">
        <v>385</v>
      </c>
      <c r="F197" t="s">
        <v>13</v>
      </c>
      <c r="G197" t="s">
        <v>525</v>
      </c>
    </row>
    <row r="198" spans="1:7" x14ac:dyDescent="0.3">
      <c r="A198">
        <v>0</v>
      </c>
      <c r="B198" t="s">
        <v>57</v>
      </c>
      <c r="C198" t="s">
        <v>120</v>
      </c>
      <c r="D198" t="s">
        <v>2</v>
      </c>
      <c r="E198" t="s">
        <v>120</v>
      </c>
      <c r="F198" t="s">
        <v>13</v>
      </c>
      <c r="G198" t="s">
        <v>525</v>
      </c>
    </row>
    <row r="199" spans="1:7" x14ac:dyDescent="0.3">
      <c r="A199">
        <v>0</v>
      </c>
      <c r="B199" t="s">
        <v>312</v>
      </c>
      <c r="C199" t="s">
        <v>324</v>
      </c>
      <c r="D199" t="s">
        <v>2</v>
      </c>
      <c r="E199" t="s">
        <v>324</v>
      </c>
      <c r="F199" t="s">
        <v>13</v>
      </c>
      <c r="G199" t="s">
        <v>525</v>
      </c>
    </row>
    <row r="200" spans="1:7" x14ac:dyDescent="0.3">
      <c r="A200">
        <v>0</v>
      </c>
      <c r="B200" t="s">
        <v>312</v>
      </c>
      <c r="C200" t="s">
        <v>327</v>
      </c>
      <c r="D200" t="s">
        <v>2</v>
      </c>
      <c r="E200" t="s">
        <v>327</v>
      </c>
      <c r="F200" t="s">
        <v>13</v>
      </c>
      <c r="G200" t="s">
        <v>525</v>
      </c>
    </row>
    <row r="201" spans="1:7" x14ac:dyDescent="0.3">
      <c r="A201">
        <v>0</v>
      </c>
      <c r="B201" t="s">
        <v>314</v>
      </c>
      <c r="C201" t="s">
        <v>441</v>
      </c>
      <c r="D201" t="s">
        <v>2</v>
      </c>
      <c r="E201" t="s">
        <v>441</v>
      </c>
      <c r="F201" t="s">
        <v>13</v>
      </c>
      <c r="G201" t="s">
        <v>525</v>
      </c>
    </row>
    <row r="202" spans="1:7" x14ac:dyDescent="0.3">
      <c r="A202">
        <v>0</v>
      </c>
      <c r="B202" t="s">
        <v>105</v>
      </c>
      <c r="C202" t="s">
        <v>115</v>
      </c>
      <c r="D202" t="s">
        <v>2</v>
      </c>
      <c r="E202" t="s">
        <v>115</v>
      </c>
      <c r="F202" t="s">
        <v>13</v>
      </c>
      <c r="G202" t="s">
        <v>525</v>
      </c>
    </row>
    <row r="203" spans="1:7" x14ac:dyDescent="0.3">
      <c r="A203">
        <v>0</v>
      </c>
      <c r="B203" t="s">
        <v>312</v>
      </c>
      <c r="C203" t="s">
        <v>484</v>
      </c>
      <c r="D203" t="s">
        <v>2</v>
      </c>
      <c r="E203" t="s">
        <v>484</v>
      </c>
      <c r="F203" t="s">
        <v>13</v>
      </c>
      <c r="G203" t="s">
        <v>525</v>
      </c>
    </row>
    <row r="204" spans="1:7" x14ac:dyDescent="0.3">
      <c r="A204">
        <v>0</v>
      </c>
      <c r="B204" t="s">
        <v>312</v>
      </c>
      <c r="C204" t="s">
        <v>311</v>
      </c>
      <c r="D204" t="s">
        <v>2</v>
      </c>
      <c r="E204" t="s">
        <v>311</v>
      </c>
      <c r="F204" t="s">
        <v>13</v>
      </c>
      <c r="G204" t="s">
        <v>525</v>
      </c>
    </row>
    <row r="205" spans="1:7" x14ac:dyDescent="0.3">
      <c r="A205">
        <v>0</v>
      </c>
      <c r="B205" t="s">
        <v>312</v>
      </c>
      <c r="C205" t="s">
        <v>365</v>
      </c>
      <c r="D205" t="s">
        <v>2</v>
      </c>
      <c r="E205" t="s">
        <v>365</v>
      </c>
      <c r="F205" t="s">
        <v>13</v>
      </c>
      <c r="G205" t="s">
        <v>525</v>
      </c>
    </row>
    <row r="206" spans="1:7" x14ac:dyDescent="0.3">
      <c r="A206">
        <v>0</v>
      </c>
      <c r="B206" t="s">
        <v>314</v>
      </c>
      <c r="C206" t="s">
        <v>350</v>
      </c>
      <c r="D206" t="s">
        <v>2</v>
      </c>
      <c r="E206" t="s">
        <v>350</v>
      </c>
      <c r="F206" t="s">
        <v>13</v>
      </c>
      <c r="G206" t="s">
        <v>525</v>
      </c>
    </row>
    <row r="207" spans="1:7" x14ac:dyDescent="0.3">
      <c r="A207">
        <v>0</v>
      </c>
      <c r="B207" t="s">
        <v>105</v>
      </c>
      <c r="C207" t="s">
        <v>123</v>
      </c>
      <c r="D207" t="s">
        <v>2</v>
      </c>
      <c r="E207" t="s">
        <v>123</v>
      </c>
      <c r="F207" t="s">
        <v>13</v>
      </c>
      <c r="G207" t="s">
        <v>525</v>
      </c>
    </row>
    <row r="208" spans="1:7" x14ac:dyDescent="0.3">
      <c r="A208">
        <v>0</v>
      </c>
      <c r="B208" t="s">
        <v>312</v>
      </c>
      <c r="C208" t="s">
        <v>396</v>
      </c>
      <c r="D208" t="s">
        <v>2</v>
      </c>
      <c r="E208" t="s">
        <v>396</v>
      </c>
      <c r="F208" t="s">
        <v>13</v>
      </c>
      <c r="G208" t="s">
        <v>525</v>
      </c>
    </row>
    <row r="209" spans="1:7" x14ac:dyDescent="0.3">
      <c r="A209">
        <v>0</v>
      </c>
      <c r="B209" t="s">
        <v>312</v>
      </c>
      <c r="C209" t="s">
        <v>428</v>
      </c>
      <c r="D209" t="s">
        <v>2</v>
      </c>
      <c r="E209" t="s">
        <v>428</v>
      </c>
      <c r="F209" t="s">
        <v>13</v>
      </c>
      <c r="G209" t="s">
        <v>525</v>
      </c>
    </row>
    <row r="210" spans="1:7" x14ac:dyDescent="0.3">
      <c r="A210">
        <v>0</v>
      </c>
      <c r="B210" t="s">
        <v>312</v>
      </c>
      <c r="C210" t="s">
        <v>383</v>
      </c>
      <c r="D210" t="s">
        <v>2</v>
      </c>
      <c r="E210" t="s">
        <v>383</v>
      </c>
      <c r="F210" t="s">
        <v>13</v>
      </c>
      <c r="G210" t="s">
        <v>525</v>
      </c>
    </row>
    <row r="211" spans="1:7" x14ac:dyDescent="0.3">
      <c r="A211">
        <v>0</v>
      </c>
      <c r="B211" t="s">
        <v>312</v>
      </c>
      <c r="C211" t="s">
        <v>426</v>
      </c>
      <c r="D211" t="s">
        <v>2</v>
      </c>
      <c r="E211" t="s">
        <v>426</v>
      </c>
      <c r="F211" t="s">
        <v>13</v>
      </c>
      <c r="G211" t="s">
        <v>525</v>
      </c>
    </row>
    <row r="212" spans="1:7" x14ac:dyDescent="0.3">
      <c r="A212">
        <v>0</v>
      </c>
      <c r="B212" t="s">
        <v>312</v>
      </c>
      <c r="C212" t="s">
        <v>437</v>
      </c>
      <c r="D212" t="s">
        <v>2</v>
      </c>
      <c r="E212" t="s">
        <v>437</v>
      </c>
      <c r="F212" t="s">
        <v>13</v>
      </c>
      <c r="G212" t="s">
        <v>525</v>
      </c>
    </row>
    <row r="213" spans="1:7" x14ac:dyDescent="0.3">
      <c r="A213">
        <v>0</v>
      </c>
      <c r="B213" t="s">
        <v>312</v>
      </c>
      <c r="C213" t="s">
        <v>454</v>
      </c>
      <c r="D213" t="s">
        <v>2</v>
      </c>
      <c r="E213" t="s">
        <v>454</v>
      </c>
      <c r="F213" t="s">
        <v>13</v>
      </c>
      <c r="G213" t="s">
        <v>525</v>
      </c>
    </row>
    <row r="214" spans="1:7" x14ac:dyDescent="0.3">
      <c r="A214">
        <v>0</v>
      </c>
      <c r="B214" t="s">
        <v>312</v>
      </c>
      <c r="C214" t="s">
        <v>425</v>
      </c>
      <c r="D214" t="s">
        <v>2</v>
      </c>
      <c r="E214" t="s">
        <v>425</v>
      </c>
      <c r="F214" t="s">
        <v>13</v>
      </c>
      <c r="G214" t="s">
        <v>525</v>
      </c>
    </row>
    <row r="215" spans="1:7" x14ac:dyDescent="0.3">
      <c r="A215">
        <v>0</v>
      </c>
      <c r="B215" t="s">
        <v>312</v>
      </c>
      <c r="C215" t="s">
        <v>344</v>
      </c>
      <c r="D215" t="s">
        <v>2</v>
      </c>
      <c r="E215" t="s">
        <v>344</v>
      </c>
      <c r="F215" t="s">
        <v>13</v>
      </c>
      <c r="G215" t="s">
        <v>525</v>
      </c>
    </row>
    <row r="216" spans="1:7" x14ac:dyDescent="0.3">
      <c r="A216">
        <v>0</v>
      </c>
      <c r="B216" t="s">
        <v>312</v>
      </c>
      <c r="C216" t="s">
        <v>407</v>
      </c>
      <c r="D216" t="s">
        <v>2</v>
      </c>
      <c r="E216" t="s">
        <v>407</v>
      </c>
      <c r="F216" t="s">
        <v>13</v>
      </c>
      <c r="G216" t="s">
        <v>525</v>
      </c>
    </row>
    <row r="217" spans="1:7" x14ac:dyDescent="0.3">
      <c r="A217">
        <v>0</v>
      </c>
      <c r="B217" t="s">
        <v>314</v>
      </c>
      <c r="C217" t="s">
        <v>413</v>
      </c>
      <c r="D217" t="s">
        <v>2</v>
      </c>
      <c r="E217" t="s">
        <v>413</v>
      </c>
      <c r="F217" t="s">
        <v>13</v>
      </c>
      <c r="G217" t="s">
        <v>525</v>
      </c>
    </row>
    <row r="218" spans="1:7" x14ac:dyDescent="0.3">
      <c r="A218">
        <v>0</v>
      </c>
      <c r="B218" t="s">
        <v>312</v>
      </c>
      <c r="C218" t="s">
        <v>392</v>
      </c>
      <c r="D218" t="s">
        <v>2</v>
      </c>
      <c r="E218" t="s">
        <v>392</v>
      </c>
      <c r="F218" t="s">
        <v>13</v>
      </c>
      <c r="G218" t="s">
        <v>525</v>
      </c>
    </row>
    <row r="219" spans="1:7" x14ac:dyDescent="0.3">
      <c r="A219">
        <v>0</v>
      </c>
      <c r="B219" t="s">
        <v>319</v>
      </c>
      <c r="C219" t="s">
        <v>422</v>
      </c>
      <c r="D219" t="s">
        <v>2</v>
      </c>
      <c r="E219" t="s">
        <v>422</v>
      </c>
      <c r="F219" t="s">
        <v>13</v>
      </c>
      <c r="G219" t="s">
        <v>525</v>
      </c>
    </row>
    <row r="220" spans="1:7" x14ac:dyDescent="0.3">
      <c r="A220">
        <v>0</v>
      </c>
      <c r="B220" t="s">
        <v>314</v>
      </c>
      <c r="C220" t="s">
        <v>495</v>
      </c>
      <c r="D220" t="s">
        <v>494</v>
      </c>
      <c r="E220" t="s">
        <v>495</v>
      </c>
      <c r="F220" t="s">
        <v>13</v>
      </c>
      <c r="G220" t="s">
        <v>525</v>
      </c>
    </row>
    <row r="221" spans="1:7" x14ac:dyDescent="0.3">
      <c r="A221">
        <v>0</v>
      </c>
      <c r="B221" t="s">
        <v>314</v>
      </c>
      <c r="C221" t="s">
        <v>497</v>
      </c>
      <c r="D221" t="s">
        <v>494</v>
      </c>
      <c r="E221" t="s">
        <v>497</v>
      </c>
      <c r="F221" t="s">
        <v>13</v>
      </c>
      <c r="G221" t="s">
        <v>525</v>
      </c>
    </row>
    <row r="222" spans="1:7" x14ac:dyDescent="0.3">
      <c r="A222">
        <v>0</v>
      </c>
      <c r="B222" t="s">
        <v>314</v>
      </c>
      <c r="C222" t="s">
        <v>496</v>
      </c>
      <c r="D222" t="s">
        <v>494</v>
      </c>
      <c r="E222" t="s">
        <v>496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513</v>
      </c>
      <c r="D223" t="s">
        <v>498</v>
      </c>
      <c r="E223" t="s">
        <v>513</v>
      </c>
      <c r="F223" t="s">
        <v>13</v>
      </c>
      <c r="G223" t="s">
        <v>525</v>
      </c>
    </row>
    <row r="224" spans="1:7" x14ac:dyDescent="0.3">
      <c r="A224">
        <v>0</v>
      </c>
      <c r="B224" t="s">
        <v>312</v>
      </c>
      <c r="C224" t="s">
        <v>515</v>
      </c>
      <c r="D224" t="s">
        <v>498</v>
      </c>
      <c r="E224" t="s">
        <v>515</v>
      </c>
      <c r="F224" t="s">
        <v>13</v>
      </c>
      <c r="G224" t="s">
        <v>525</v>
      </c>
    </row>
    <row r="225" spans="1:7" x14ac:dyDescent="0.3">
      <c r="A225">
        <v>0</v>
      </c>
      <c r="B225" t="s">
        <v>312</v>
      </c>
      <c r="C225" t="s">
        <v>509</v>
      </c>
      <c r="D225" t="s">
        <v>498</v>
      </c>
      <c r="E225" t="s">
        <v>509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502</v>
      </c>
      <c r="D226" t="s">
        <v>498</v>
      </c>
      <c r="E226" t="s">
        <v>502</v>
      </c>
      <c r="F226" t="s">
        <v>13</v>
      </c>
      <c r="G226" t="s">
        <v>525</v>
      </c>
    </row>
    <row r="227" spans="1:7" x14ac:dyDescent="0.3">
      <c r="A227">
        <v>0</v>
      </c>
      <c r="B227" t="s">
        <v>312</v>
      </c>
      <c r="C227" t="s">
        <v>500</v>
      </c>
      <c r="D227" t="s">
        <v>498</v>
      </c>
      <c r="E227" t="s">
        <v>500</v>
      </c>
      <c r="F227" t="s">
        <v>13</v>
      </c>
      <c r="G227" t="s">
        <v>525</v>
      </c>
    </row>
    <row r="228" spans="1:7" x14ac:dyDescent="0.3">
      <c r="A228">
        <v>0</v>
      </c>
      <c r="B228" t="s">
        <v>507</v>
      </c>
      <c r="C228" t="s">
        <v>506</v>
      </c>
      <c r="D228" t="s">
        <v>498</v>
      </c>
      <c r="E228" t="s">
        <v>506</v>
      </c>
      <c r="F228" t="s">
        <v>13</v>
      </c>
      <c r="G228" t="s">
        <v>525</v>
      </c>
    </row>
    <row r="229" spans="1:7" x14ac:dyDescent="0.3">
      <c r="A229">
        <v>0</v>
      </c>
      <c r="B229" t="s">
        <v>312</v>
      </c>
      <c r="C229" t="s">
        <v>514</v>
      </c>
      <c r="D229" t="s">
        <v>498</v>
      </c>
      <c r="E229" t="s">
        <v>514</v>
      </c>
      <c r="F229" t="s">
        <v>13</v>
      </c>
      <c r="G229" t="s">
        <v>525</v>
      </c>
    </row>
    <row r="230" spans="1:7" x14ac:dyDescent="0.3">
      <c r="A230">
        <v>0</v>
      </c>
      <c r="B230" t="s">
        <v>312</v>
      </c>
      <c r="C230" t="s">
        <v>499</v>
      </c>
      <c r="D230" t="s">
        <v>498</v>
      </c>
      <c r="E230" t="s">
        <v>499</v>
      </c>
      <c r="F230" t="s">
        <v>13</v>
      </c>
      <c r="G230" t="s">
        <v>525</v>
      </c>
    </row>
    <row r="231" spans="1:7" x14ac:dyDescent="0.3">
      <c r="A231">
        <v>0</v>
      </c>
      <c r="B231" t="s">
        <v>312</v>
      </c>
      <c r="C231" t="s">
        <v>508</v>
      </c>
      <c r="D231" t="s">
        <v>498</v>
      </c>
      <c r="E231" t="s">
        <v>508</v>
      </c>
      <c r="F231" t="s">
        <v>13</v>
      </c>
      <c r="G231" t="s">
        <v>525</v>
      </c>
    </row>
    <row r="232" spans="1:7" x14ac:dyDescent="0.3">
      <c r="A232">
        <v>0</v>
      </c>
      <c r="B232" t="s">
        <v>312</v>
      </c>
      <c r="C232" t="s">
        <v>519</v>
      </c>
      <c r="D232" t="s">
        <v>498</v>
      </c>
      <c r="E232" t="s">
        <v>519</v>
      </c>
      <c r="F232" t="s">
        <v>13</v>
      </c>
      <c r="G232" t="s">
        <v>525</v>
      </c>
    </row>
    <row r="233" spans="1:7" x14ac:dyDescent="0.3">
      <c r="A233">
        <v>0</v>
      </c>
      <c r="B233" t="s">
        <v>312</v>
      </c>
      <c r="C233" t="s">
        <v>510</v>
      </c>
      <c r="D233" t="s">
        <v>498</v>
      </c>
      <c r="E233" t="s">
        <v>510</v>
      </c>
      <c r="F233" t="s">
        <v>13</v>
      </c>
      <c r="G233" t="s">
        <v>525</v>
      </c>
    </row>
    <row r="234" spans="1:7" x14ac:dyDescent="0.3">
      <c r="A234">
        <v>0</v>
      </c>
      <c r="B234" t="s">
        <v>312</v>
      </c>
      <c r="C234" t="s">
        <v>521</v>
      </c>
      <c r="D234" t="s">
        <v>498</v>
      </c>
      <c r="E234" t="s">
        <v>521</v>
      </c>
      <c r="F234" t="s">
        <v>13</v>
      </c>
      <c r="G234" t="s">
        <v>525</v>
      </c>
    </row>
    <row r="235" spans="1:7" x14ac:dyDescent="0.3">
      <c r="A235">
        <v>0</v>
      </c>
      <c r="B235" t="s">
        <v>312</v>
      </c>
      <c r="C235" t="s">
        <v>501</v>
      </c>
      <c r="D235" t="s">
        <v>498</v>
      </c>
      <c r="E235" t="s">
        <v>501</v>
      </c>
      <c r="F235" t="s">
        <v>13</v>
      </c>
      <c r="G235" t="s">
        <v>525</v>
      </c>
    </row>
    <row r="236" spans="1:7" x14ac:dyDescent="0.3">
      <c r="A236">
        <v>0</v>
      </c>
      <c r="B236" t="s">
        <v>312</v>
      </c>
      <c r="C236" t="s">
        <v>504</v>
      </c>
      <c r="D236" t="s">
        <v>498</v>
      </c>
      <c r="E236" t="s">
        <v>504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520</v>
      </c>
      <c r="D237" t="s">
        <v>498</v>
      </c>
      <c r="E237" t="s">
        <v>520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523</v>
      </c>
      <c r="D238" t="s">
        <v>498</v>
      </c>
      <c r="E238" t="s">
        <v>523</v>
      </c>
      <c r="F238" t="s">
        <v>13</v>
      </c>
      <c r="G238" t="s">
        <v>525</v>
      </c>
    </row>
    <row r="239" spans="1:7" x14ac:dyDescent="0.3">
      <c r="A239">
        <v>0</v>
      </c>
      <c r="B239" t="s">
        <v>312</v>
      </c>
      <c r="C239" t="s">
        <v>503</v>
      </c>
      <c r="D239" t="s">
        <v>498</v>
      </c>
      <c r="E239" t="s">
        <v>503</v>
      </c>
      <c r="F239" t="s">
        <v>13</v>
      </c>
      <c r="G239" t="s">
        <v>525</v>
      </c>
    </row>
    <row r="240" spans="1:7" x14ac:dyDescent="0.3">
      <c r="A240">
        <v>0</v>
      </c>
      <c r="B240" t="s">
        <v>312</v>
      </c>
      <c r="C240" t="s">
        <v>512</v>
      </c>
      <c r="D240" t="s">
        <v>498</v>
      </c>
      <c r="E240" t="s">
        <v>512</v>
      </c>
      <c r="F240" t="s">
        <v>13</v>
      </c>
      <c r="G240" t="s">
        <v>525</v>
      </c>
    </row>
    <row r="241" spans="1:7" x14ac:dyDescent="0.3">
      <c r="A241">
        <v>0</v>
      </c>
      <c r="B241" t="s">
        <v>312</v>
      </c>
      <c r="C241" t="s">
        <v>505</v>
      </c>
      <c r="D241" t="s">
        <v>498</v>
      </c>
      <c r="E241" t="s">
        <v>505</v>
      </c>
      <c r="F241" t="s">
        <v>13</v>
      </c>
      <c r="G241" t="s">
        <v>525</v>
      </c>
    </row>
    <row r="242" spans="1:7" x14ac:dyDescent="0.3">
      <c r="A242">
        <v>0</v>
      </c>
      <c r="B242" t="s">
        <v>312</v>
      </c>
      <c r="C242" t="s">
        <v>518</v>
      </c>
      <c r="D242" t="s">
        <v>498</v>
      </c>
      <c r="E242" t="s">
        <v>518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522</v>
      </c>
      <c r="D243" t="s">
        <v>498</v>
      </c>
      <c r="E243" t="s">
        <v>522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516</v>
      </c>
      <c r="D244" t="s">
        <v>498</v>
      </c>
      <c r="E244" t="s">
        <v>516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t="s">
        <v>517</v>
      </c>
      <c r="D245" t="s">
        <v>498</v>
      </c>
      <c r="E245" t="s">
        <v>517</v>
      </c>
      <c r="F245" t="s">
        <v>13</v>
      </c>
      <c r="G245" t="s">
        <v>525</v>
      </c>
    </row>
    <row r="246" spans="1:7" x14ac:dyDescent="0.3">
      <c r="A246">
        <v>0</v>
      </c>
      <c r="B246" t="s">
        <v>16</v>
      </c>
      <c r="C246" s="2" t="s">
        <v>22</v>
      </c>
      <c r="D246" t="s">
        <v>2</v>
      </c>
      <c r="E246" s="2" t="s">
        <v>22</v>
      </c>
      <c r="F246" t="s">
        <v>13</v>
      </c>
      <c r="G246" t="s">
        <v>525</v>
      </c>
    </row>
    <row r="247" spans="1:7" x14ac:dyDescent="0.3">
      <c r="A247">
        <v>0</v>
      </c>
      <c r="B247" t="s">
        <v>16</v>
      </c>
      <c r="C247" s="2" t="s">
        <v>49</v>
      </c>
      <c r="D247" t="s">
        <v>2</v>
      </c>
      <c r="E247" s="2" t="s">
        <v>49</v>
      </c>
      <c r="F247" t="s">
        <v>13</v>
      </c>
      <c r="G247" t="s">
        <v>525</v>
      </c>
    </row>
    <row r="248" spans="1:7" x14ac:dyDescent="0.3">
      <c r="A248">
        <v>0</v>
      </c>
      <c r="B248" t="s">
        <v>312</v>
      </c>
      <c r="C248" s="2" t="s">
        <v>55</v>
      </c>
      <c r="D248" t="s">
        <v>2</v>
      </c>
      <c r="E248" s="2" t="s">
        <v>55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59</v>
      </c>
      <c r="D249" t="s">
        <v>2</v>
      </c>
      <c r="E249" t="s">
        <v>59</v>
      </c>
      <c r="F249" t="s">
        <v>13</v>
      </c>
      <c r="G249" t="s">
        <v>525</v>
      </c>
    </row>
    <row r="250" spans="1:7" x14ac:dyDescent="0.3">
      <c r="A250">
        <v>0</v>
      </c>
      <c r="B250" t="s">
        <v>16</v>
      </c>
      <c r="C250" s="2" t="s">
        <v>61</v>
      </c>
      <c r="D250" t="s">
        <v>2</v>
      </c>
      <c r="E250" s="2" t="s">
        <v>61</v>
      </c>
      <c r="F250" t="s">
        <v>13</v>
      </c>
      <c r="G250" t="s">
        <v>525</v>
      </c>
    </row>
    <row r="251" spans="1:7" x14ac:dyDescent="0.3">
      <c r="A251">
        <v>0</v>
      </c>
      <c r="B251" t="s">
        <v>312</v>
      </c>
      <c r="C251" s="2" t="s">
        <v>67</v>
      </c>
      <c r="D251" t="s">
        <v>2</v>
      </c>
      <c r="E251" s="2" t="s">
        <v>67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73</v>
      </c>
      <c r="D252" t="s">
        <v>2</v>
      </c>
      <c r="E252" t="s">
        <v>73</v>
      </c>
      <c r="F252" t="s">
        <v>13</v>
      </c>
      <c r="G252" t="s">
        <v>525</v>
      </c>
    </row>
    <row r="253" spans="1:7" x14ac:dyDescent="0.3">
      <c r="A253">
        <v>0</v>
      </c>
      <c r="B253" t="s">
        <v>312</v>
      </c>
      <c r="C253" t="s">
        <v>79</v>
      </c>
      <c r="D253" t="s">
        <v>2</v>
      </c>
      <c r="E253" t="s">
        <v>79</v>
      </c>
      <c r="F253" t="s">
        <v>13</v>
      </c>
      <c r="G253" t="s">
        <v>525</v>
      </c>
    </row>
    <row r="254" spans="1:7" x14ac:dyDescent="0.3">
      <c r="A254">
        <v>0</v>
      </c>
      <c r="B254" t="s">
        <v>312</v>
      </c>
      <c r="C254" t="s">
        <v>82</v>
      </c>
      <c r="D254" t="s">
        <v>2</v>
      </c>
      <c r="E254" t="s">
        <v>82</v>
      </c>
      <c r="F254" t="s">
        <v>13</v>
      </c>
      <c r="G254" t="s">
        <v>525</v>
      </c>
    </row>
    <row r="255" spans="1:7" x14ac:dyDescent="0.3">
      <c r="A255">
        <v>0</v>
      </c>
      <c r="B255" t="s">
        <v>312</v>
      </c>
      <c r="C255" t="s">
        <v>85</v>
      </c>
      <c r="D255" t="s">
        <v>2</v>
      </c>
      <c r="E255" t="s">
        <v>85</v>
      </c>
      <c r="F255" t="s">
        <v>13</v>
      </c>
      <c r="G255" t="s">
        <v>525</v>
      </c>
    </row>
    <row r="256" spans="1:7" x14ac:dyDescent="0.3">
      <c r="A256">
        <v>0</v>
      </c>
      <c r="B256" t="s">
        <v>312</v>
      </c>
      <c r="C256" t="s">
        <v>88</v>
      </c>
      <c r="D256" t="s">
        <v>2</v>
      </c>
      <c r="E256" t="s">
        <v>88</v>
      </c>
      <c r="F256" t="s">
        <v>13</v>
      </c>
      <c r="G256" t="s">
        <v>525</v>
      </c>
    </row>
    <row r="257" spans="1:7" x14ac:dyDescent="0.3">
      <c r="A257">
        <v>0</v>
      </c>
      <c r="B257" t="s">
        <v>312</v>
      </c>
      <c r="C257" t="s">
        <v>91</v>
      </c>
      <c r="D257" t="s">
        <v>2</v>
      </c>
      <c r="E257" t="s">
        <v>91</v>
      </c>
      <c r="F257" t="s">
        <v>13</v>
      </c>
      <c r="G257" t="s">
        <v>525</v>
      </c>
    </row>
    <row r="258" spans="1:7" x14ac:dyDescent="0.3">
      <c r="A258">
        <v>0</v>
      </c>
      <c r="B258" t="s">
        <v>312</v>
      </c>
      <c r="C258" t="s">
        <v>94</v>
      </c>
      <c r="D258" t="s">
        <v>2</v>
      </c>
      <c r="E258" t="s">
        <v>94</v>
      </c>
      <c r="F258" t="s">
        <v>13</v>
      </c>
      <c r="G258" t="s">
        <v>525</v>
      </c>
    </row>
    <row r="259" spans="1:7" x14ac:dyDescent="0.3">
      <c r="A259">
        <v>0</v>
      </c>
      <c r="B259" t="s">
        <v>312</v>
      </c>
      <c r="C259" t="s">
        <v>97</v>
      </c>
      <c r="D259" t="s">
        <v>2</v>
      </c>
      <c r="E259" t="s">
        <v>97</v>
      </c>
      <c r="F259" t="s">
        <v>13</v>
      </c>
      <c r="G259" t="s">
        <v>525</v>
      </c>
    </row>
    <row r="260" spans="1:7" x14ac:dyDescent="0.3">
      <c r="A260">
        <v>0</v>
      </c>
      <c r="B260" t="s">
        <v>312</v>
      </c>
      <c r="C260" t="s">
        <v>100</v>
      </c>
      <c r="D260" t="s">
        <v>2</v>
      </c>
      <c r="E260" t="s">
        <v>100</v>
      </c>
      <c r="F260" t="s">
        <v>13</v>
      </c>
      <c r="G260" t="s">
        <v>525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254"/>
  <sheetViews>
    <sheetView workbookViewId="0">
      <selection activeCell="E9" sqref="E9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2.5591895512228473</v>
      </c>
      <c r="B2" t="s">
        <v>542</v>
      </c>
      <c r="C2" t="s">
        <v>689</v>
      </c>
      <c r="D2" t="s">
        <v>2</v>
      </c>
      <c r="E2" t="s">
        <v>111</v>
      </c>
      <c r="F2" t="s">
        <v>13</v>
      </c>
      <c r="G2" t="s">
        <v>525</v>
      </c>
      <c r="H2" t="s">
        <v>626</v>
      </c>
    </row>
    <row r="3" spans="1:9" x14ac:dyDescent="0.3">
      <c r="A3">
        <f>1.1235/48</f>
        <v>2.340625E-2</v>
      </c>
      <c r="B3" t="s">
        <v>57</v>
      </c>
      <c r="C3" t="s">
        <v>752</v>
      </c>
      <c r="D3" t="s">
        <v>2</v>
      </c>
      <c r="E3" t="s">
        <v>398</v>
      </c>
      <c r="F3" t="s">
        <v>13</v>
      </c>
      <c r="G3" t="s">
        <v>525</v>
      </c>
      <c r="H3" t="s">
        <v>626</v>
      </c>
    </row>
    <row r="4" spans="1:9" x14ac:dyDescent="0.3">
      <c r="A4">
        <v>2.0529999999999999</v>
      </c>
      <c r="B4" t="s">
        <v>57</v>
      </c>
      <c r="C4" t="s">
        <v>755</v>
      </c>
      <c r="D4" t="s">
        <v>2</v>
      </c>
      <c r="E4" t="s">
        <v>82</v>
      </c>
      <c r="F4" s="4" t="s">
        <v>13</v>
      </c>
      <c r="G4" t="s">
        <v>525</v>
      </c>
      <c r="H4" t="s">
        <v>626</v>
      </c>
    </row>
    <row r="5" spans="1:9" x14ac:dyDescent="0.3">
      <c r="A5">
        <v>5.5</v>
      </c>
      <c r="B5" t="s">
        <v>57</v>
      </c>
      <c r="C5" t="s">
        <v>756</v>
      </c>
      <c r="D5" t="s">
        <v>2</v>
      </c>
      <c r="E5" t="s">
        <v>149</v>
      </c>
      <c r="F5" t="s">
        <v>13</v>
      </c>
      <c r="G5" t="s">
        <v>525</v>
      </c>
      <c r="H5" t="s">
        <v>626</v>
      </c>
    </row>
    <row r="6" spans="1:9" x14ac:dyDescent="0.3">
      <c r="A6">
        <v>2.9999999999999997E-4</v>
      </c>
      <c r="B6" t="s">
        <v>57</v>
      </c>
      <c r="C6" t="s">
        <v>749</v>
      </c>
      <c r="D6" t="s">
        <v>498</v>
      </c>
      <c r="E6" t="s">
        <v>521</v>
      </c>
      <c r="F6" t="s">
        <v>13</v>
      </c>
      <c r="G6" t="s">
        <v>525</v>
      </c>
      <c r="H6" t="s">
        <v>626</v>
      </c>
    </row>
    <row r="7" spans="1:9" x14ac:dyDescent="0.3">
      <c r="A7">
        <v>6.3028349999999997E-2</v>
      </c>
      <c r="B7" t="s">
        <v>57</v>
      </c>
      <c r="C7" t="s">
        <v>535</v>
      </c>
      <c r="D7" t="s">
        <v>498</v>
      </c>
      <c r="E7" t="s">
        <v>502</v>
      </c>
      <c r="F7" t="s">
        <v>13</v>
      </c>
      <c r="G7" t="s">
        <v>525</v>
      </c>
      <c r="H7" t="s">
        <v>658</v>
      </c>
    </row>
    <row r="8" spans="1:9" x14ac:dyDescent="0.3">
      <c r="A8">
        <v>5.6175E-6</v>
      </c>
      <c r="B8" t="s">
        <v>57</v>
      </c>
      <c r="C8" t="s">
        <v>500</v>
      </c>
      <c r="D8" t="s">
        <v>498</v>
      </c>
      <c r="E8" t="s">
        <v>500</v>
      </c>
      <c r="F8" t="s">
        <v>13</v>
      </c>
      <c r="G8" t="s">
        <v>525</v>
      </c>
      <c r="H8" t="s">
        <v>658</v>
      </c>
    </row>
    <row r="9" spans="1:9" x14ac:dyDescent="0.3">
      <c r="A9">
        <v>1.1235E-7</v>
      </c>
      <c r="B9" t="s">
        <v>57</v>
      </c>
      <c r="C9" t="s">
        <v>511</v>
      </c>
      <c r="D9" t="s">
        <v>498</v>
      </c>
      <c r="E9" t="s">
        <v>511</v>
      </c>
      <c r="F9" t="s">
        <v>13</v>
      </c>
      <c r="G9" t="s">
        <v>525</v>
      </c>
      <c r="H9" t="s">
        <v>658</v>
      </c>
    </row>
    <row r="10" spans="1:9" x14ac:dyDescent="0.3">
      <c r="A10">
        <v>0</v>
      </c>
      <c r="B10" t="s">
        <v>312</v>
      </c>
      <c r="C10" t="s">
        <v>483</v>
      </c>
      <c r="D10" t="s">
        <v>2</v>
      </c>
      <c r="E10" t="s">
        <v>483</v>
      </c>
      <c r="F10" t="s">
        <v>13</v>
      </c>
      <c r="G10" t="s">
        <v>525</v>
      </c>
    </row>
    <row r="11" spans="1:9" x14ac:dyDescent="0.3">
      <c r="A11">
        <v>0</v>
      </c>
      <c r="B11" t="s">
        <v>105</v>
      </c>
      <c r="C11" t="s">
        <v>125</v>
      </c>
      <c r="D11" t="s">
        <v>2</v>
      </c>
      <c r="E11" t="s">
        <v>125</v>
      </c>
      <c r="F11" t="s">
        <v>13</v>
      </c>
      <c r="G11" t="s">
        <v>525</v>
      </c>
    </row>
    <row r="12" spans="1:9" x14ac:dyDescent="0.3">
      <c r="A12">
        <v>0</v>
      </c>
      <c r="B12" t="s">
        <v>319</v>
      </c>
      <c r="C12" t="s">
        <v>461</v>
      </c>
      <c r="D12" t="s">
        <v>2</v>
      </c>
      <c r="E12" t="s">
        <v>461</v>
      </c>
      <c r="F12" t="s">
        <v>13</v>
      </c>
      <c r="G12" t="s">
        <v>525</v>
      </c>
    </row>
    <row r="13" spans="1:9" x14ac:dyDescent="0.3">
      <c r="A13">
        <v>0</v>
      </c>
      <c r="B13" t="s">
        <v>314</v>
      </c>
      <c r="C13" t="s">
        <v>395</v>
      </c>
      <c r="D13" t="s">
        <v>2</v>
      </c>
      <c r="E13" t="s">
        <v>395</v>
      </c>
      <c r="F13" t="s">
        <v>13</v>
      </c>
      <c r="G13" t="s">
        <v>525</v>
      </c>
    </row>
    <row r="14" spans="1:9" x14ac:dyDescent="0.3">
      <c r="A14">
        <v>0</v>
      </c>
      <c r="B14" t="s">
        <v>312</v>
      </c>
      <c r="C14" t="s">
        <v>399</v>
      </c>
      <c r="D14" t="s">
        <v>2</v>
      </c>
      <c r="E14" t="s">
        <v>399</v>
      </c>
      <c r="F14" t="s">
        <v>13</v>
      </c>
      <c r="G14" t="s">
        <v>525</v>
      </c>
    </row>
    <row r="15" spans="1:9" x14ac:dyDescent="0.3">
      <c r="A15">
        <v>0</v>
      </c>
      <c r="B15" t="s">
        <v>314</v>
      </c>
      <c r="C15" t="s">
        <v>432</v>
      </c>
      <c r="D15" t="s">
        <v>2</v>
      </c>
      <c r="E15" t="s">
        <v>432</v>
      </c>
      <c r="F15" t="s">
        <v>13</v>
      </c>
      <c r="G15" t="s">
        <v>525</v>
      </c>
    </row>
    <row r="16" spans="1:9" x14ac:dyDescent="0.3">
      <c r="A16">
        <v>0</v>
      </c>
      <c r="B16" t="s">
        <v>312</v>
      </c>
      <c r="C16" t="s">
        <v>325</v>
      </c>
      <c r="D16" t="s">
        <v>2</v>
      </c>
      <c r="E16" t="s">
        <v>325</v>
      </c>
      <c r="F16" t="s">
        <v>13</v>
      </c>
      <c r="G16" t="s">
        <v>525</v>
      </c>
    </row>
    <row r="17" spans="1:7" x14ac:dyDescent="0.3">
      <c r="A17">
        <v>0</v>
      </c>
      <c r="B17" t="s">
        <v>314</v>
      </c>
      <c r="C17" t="s">
        <v>372</v>
      </c>
      <c r="D17" t="s">
        <v>2</v>
      </c>
      <c r="E17" t="s">
        <v>372</v>
      </c>
      <c r="F17" t="s">
        <v>13</v>
      </c>
      <c r="G17" t="s">
        <v>525</v>
      </c>
    </row>
    <row r="18" spans="1:7" x14ac:dyDescent="0.3">
      <c r="A18">
        <v>0</v>
      </c>
      <c r="B18" t="s">
        <v>314</v>
      </c>
      <c r="C18" t="s">
        <v>260</v>
      </c>
      <c r="D18" t="s">
        <v>2</v>
      </c>
      <c r="E18" t="s">
        <v>260</v>
      </c>
      <c r="F18" t="s">
        <v>13</v>
      </c>
      <c r="G18" t="s">
        <v>525</v>
      </c>
    </row>
    <row r="19" spans="1:7" x14ac:dyDescent="0.3">
      <c r="A19">
        <v>0</v>
      </c>
      <c r="B19" t="s">
        <v>312</v>
      </c>
      <c r="C19" t="s">
        <v>330</v>
      </c>
      <c r="D19" t="s">
        <v>2</v>
      </c>
      <c r="E19" t="s">
        <v>330</v>
      </c>
      <c r="F19" t="s">
        <v>13</v>
      </c>
      <c r="G19" t="s">
        <v>525</v>
      </c>
    </row>
    <row r="20" spans="1:7" x14ac:dyDescent="0.3">
      <c r="A20">
        <v>0</v>
      </c>
      <c r="B20" t="s">
        <v>105</v>
      </c>
      <c r="C20" t="s">
        <v>401</v>
      </c>
      <c r="D20" t="s">
        <v>2</v>
      </c>
      <c r="E20" t="s">
        <v>401</v>
      </c>
      <c r="F20" t="s">
        <v>13</v>
      </c>
      <c r="G20" t="s">
        <v>525</v>
      </c>
    </row>
    <row r="21" spans="1:7" x14ac:dyDescent="0.3">
      <c r="A21">
        <v>0</v>
      </c>
      <c r="B21" t="s">
        <v>312</v>
      </c>
      <c r="C21" t="s">
        <v>416</v>
      </c>
      <c r="D21" t="s">
        <v>2</v>
      </c>
      <c r="E21" t="s">
        <v>416</v>
      </c>
      <c r="F21" t="s">
        <v>13</v>
      </c>
      <c r="G21" t="s">
        <v>525</v>
      </c>
    </row>
    <row r="22" spans="1:7" x14ac:dyDescent="0.3">
      <c r="A22">
        <v>0</v>
      </c>
      <c r="B22" t="s">
        <v>319</v>
      </c>
      <c r="C22" t="s">
        <v>375</v>
      </c>
      <c r="D22" t="s">
        <v>2</v>
      </c>
      <c r="E22" t="s">
        <v>375</v>
      </c>
      <c r="F22" t="s">
        <v>13</v>
      </c>
      <c r="G22" t="s">
        <v>525</v>
      </c>
    </row>
    <row r="23" spans="1:7" x14ac:dyDescent="0.3">
      <c r="A23">
        <v>0</v>
      </c>
      <c r="B23" t="s">
        <v>312</v>
      </c>
      <c r="C23" t="s">
        <v>333</v>
      </c>
      <c r="D23" t="s">
        <v>2</v>
      </c>
      <c r="E23" t="s">
        <v>333</v>
      </c>
      <c r="F23" t="s">
        <v>13</v>
      </c>
      <c r="G23" t="s">
        <v>525</v>
      </c>
    </row>
    <row r="24" spans="1:7" x14ac:dyDescent="0.3">
      <c r="A24">
        <v>0</v>
      </c>
      <c r="B24" t="s">
        <v>57</v>
      </c>
      <c r="C24" t="s">
        <v>118</v>
      </c>
      <c r="D24" t="s">
        <v>2</v>
      </c>
      <c r="E24" t="s">
        <v>118</v>
      </c>
      <c r="F24" t="s">
        <v>13</v>
      </c>
      <c r="G24" t="s">
        <v>525</v>
      </c>
    </row>
    <row r="25" spans="1:7" x14ac:dyDescent="0.3">
      <c r="A25">
        <v>0</v>
      </c>
      <c r="B25" t="s">
        <v>312</v>
      </c>
      <c r="C25" t="s">
        <v>406</v>
      </c>
      <c r="D25" t="s">
        <v>2</v>
      </c>
      <c r="E25" t="s">
        <v>406</v>
      </c>
      <c r="F25" t="s">
        <v>13</v>
      </c>
      <c r="G25" t="s">
        <v>525</v>
      </c>
    </row>
    <row r="26" spans="1:7" x14ac:dyDescent="0.3">
      <c r="A26">
        <v>0</v>
      </c>
      <c r="B26" t="s">
        <v>312</v>
      </c>
      <c r="C26" t="s">
        <v>315</v>
      </c>
      <c r="D26" t="s">
        <v>2</v>
      </c>
      <c r="E26" t="s">
        <v>315</v>
      </c>
      <c r="F26" t="s">
        <v>13</v>
      </c>
      <c r="G26" t="s">
        <v>525</v>
      </c>
    </row>
    <row r="27" spans="1:7" x14ac:dyDescent="0.3">
      <c r="A27">
        <v>0</v>
      </c>
      <c r="B27" t="s">
        <v>312</v>
      </c>
      <c r="C27" t="s">
        <v>358</v>
      </c>
      <c r="D27" t="s">
        <v>2</v>
      </c>
      <c r="E27" t="s">
        <v>358</v>
      </c>
      <c r="F27" t="s">
        <v>13</v>
      </c>
      <c r="G27" t="s">
        <v>525</v>
      </c>
    </row>
    <row r="28" spans="1:7" x14ac:dyDescent="0.3">
      <c r="A28">
        <v>0</v>
      </c>
      <c r="B28" t="s">
        <v>314</v>
      </c>
      <c r="C28" t="s">
        <v>444</v>
      </c>
      <c r="D28" t="s">
        <v>2</v>
      </c>
      <c r="E28" t="s">
        <v>444</v>
      </c>
      <c r="F28" t="s">
        <v>13</v>
      </c>
      <c r="G28" t="s">
        <v>525</v>
      </c>
    </row>
    <row r="29" spans="1:7" x14ac:dyDescent="0.3">
      <c r="A29">
        <v>0</v>
      </c>
      <c r="B29" t="s">
        <v>312</v>
      </c>
      <c r="C29" t="s">
        <v>439</v>
      </c>
      <c r="D29" t="s">
        <v>2</v>
      </c>
      <c r="E29" t="s">
        <v>439</v>
      </c>
      <c r="F29" t="s">
        <v>13</v>
      </c>
      <c r="G29" t="s">
        <v>525</v>
      </c>
    </row>
    <row r="30" spans="1:7" x14ac:dyDescent="0.3">
      <c r="A30">
        <v>0</v>
      </c>
      <c r="B30" t="s">
        <v>312</v>
      </c>
      <c r="C30" t="s">
        <v>381</v>
      </c>
      <c r="D30" t="s">
        <v>2</v>
      </c>
      <c r="E30" t="s">
        <v>381</v>
      </c>
      <c r="F30" t="s">
        <v>13</v>
      </c>
      <c r="G30" t="s">
        <v>525</v>
      </c>
    </row>
    <row r="31" spans="1:7" x14ac:dyDescent="0.3">
      <c r="A31">
        <v>0</v>
      </c>
      <c r="B31" t="s">
        <v>312</v>
      </c>
      <c r="C31" t="s">
        <v>418</v>
      </c>
      <c r="D31" t="s">
        <v>2</v>
      </c>
      <c r="E31" t="s">
        <v>418</v>
      </c>
      <c r="F31" t="s">
        <v>13</v>
      </c>
      <c r="G31" t="s">
        <v>525</v>
      </c>
    </row>
    <row r="32" spans="1:7" x14ac:dyDescent="0.3">
      <c r="A32">
        <v>0</v>
      </c>
      <c r="B32" t="s">
        <v>314</v>
      </c>
      <c r="C32" t="s">
        <v>465</v>
      </c>
      <c r="D32" t="s">
        <v>2</v>
      </c>
      <c r="E32" t="s">
        <v>465</v>
      </c>
      <c r="F32" t="s">
        <v>13</v>
      </c>
      <c r="G32" t="s">
        <v>525</v>
      </c>
    </row>
    <row r="33" spans="1:7" x14ac:dyDescent="0.3">
      <c r="A33">
        <v>0</v>
      </c>
      <c r="B33" t="s">
        <v>105</v>
      </c>
      <c r="C33" t="s">
        <v>103</v>
      </c>
      <c r="D33" t="s">
        <v>2</v>
      </c>
      <c r="E33" t="s">
        <v>103</v>
      </c>
      <c r="F33" t="s">
        <v>13</v>
      </c>
      <c r="G33" t="s">
        <v>525</v>
      </c>
    </row>
    <row r="34" spans="1:7" x14ac:dyDescent="0.3">
      <c r="A34">
        <v>0</v>
      </c>
      <c r="B34" t="s">
        <v>312</v>
      </c>
      <c r="C34" t="s">
        <v>320</v>
      </c>
      <c r="D34" t="s">
        <v>2</v>
      </c>
      <c r="E34" t="s">
        <v>320</v>
      </c>
      <c r="F34" t="s">
        <v>13</v>
      </c>
      <c r="G34" t="s">
        <v>525</v>
      </c>
    </row>
    <row r="35" spans="1:7" x14ac:dyDescent="0.3">
      <c r="A35">
        <v>0</v>
      </c>
      <c r="B35" t="s">
        <v>312</v>
      </c>
      <c r="C35" t="s">
        <v>334</v>
      </c>
      <c r="D35" t="s">
        <v>2</v>
      </c>
      <c r="E35" t="s">
        <v>334</v>
      </c>
      <c r="F35" t="s">
        <v>13</v>
      </c>
      <c r="G35" t="s">
        <v>525</v>
      </c>
    </row>
    <row r="36" spans="1:7" x14ac:dyDescent="0.3">
      <c r="A36">
        <v>0</v>
      </c>
      <c r="B36" t="s">
        <v>312</v>
      </c>
      <c r="C36" t="s">
        <v>435</v>
      </c>
      <c r="D36" t="s">
        <v>2</v>
      </c>
      <c r="E36" t="s">
        <v>435</v>
      </c>
      <c r="F36" t="s">
        <v>13</v>
      </c>
      <c r="G36" t="s">
        <v>525</v>
      </c>
    </row>
    <row r="37" spans="1:7" x14ac:dyDescent="0.3">
      <c r="A37">
        <v>0</v>
      </c>
      <c r="B37" t="s">
        <v>319</v>
      </c>
      <c r="C37" t="s">
        <v>456</v>
      </c>
      <c r="D37" t="s">
        <v>2</v>
      </c>
      <c r="E37" t="s">
        <v>456</v>
      </c>
      <c r="F37" t="s">
        <v>13</v>
      </c>
      <c r="G37" t="s">
        <v>525</v>
      </c>
    </row>
    <row r="38" spans="1:7" x14ac:dyDescent="0.3">
      <c r="A38">
        <v>0</v>
      </c>
      <c r="B38" t="s">
        <v>312</v>
      </c>
      <c r="C38" t="s">
        <v>474</v>
      </c>
      <c r="D38" t="s">
        <v>2</v>
      </c>
      <c r="E38" t="s">
        <v>474</v>
      </c>
      <c r="F38" t="s">
        <v>13</v>
      </c>
      <c r="G38" t="s">
        <v>525</v>
      </c>
    </row>
    <row r="39" spans="1:7" x14ac:dyDescent="0.3">
      <c r="A39">
        <v>0</v>
      </c>
      <c r="B39" t="s">
        <v>319</v>
      </c>
      <c r="C39" t="s">
        <v>318</v>
      </c>
      <c r="D39" t="s">
        <v>2</v>
      </c>
      <c r="E39" t="s">
        <v>318</v>
      </c>
      <c r="F39" t="s">
        <v>13</v>
      </c>
      <c r="G39" t="s">
        <v>525</v>
      </c>
    </row>
    <row r="40" spans="1:7" x14ac:dyDescent="0.3">
      <c r="A40">
        <v>0</v>
      </c>
      <c r="B40" t="s">
        <v>314</v>
      </c>
      <c r="C40" t="s">
        <v>475</v>
      </c>
      <c r="D40" t="s">
        <v>2</v>
      </c>
      <c r="E40" t="s">
        <v>475</v>
      </c>
      <c r="F40" t="s">
        <v>13</v>
      </c>
      <c r="G40" t="s">
        <v>525</v>
      </c>
    </row>
    <row r="41" spans="1:7" x14ac:dyDescent="0.3">
      <c r="A41">
        <v>0</v>
      </c>
      <c r="B41" t="s">
        <v>314</v>
      </c>
      <c r="C41" t="s">
        <v>449</v>
      </c>
      <c r="D41" t="s">
        <v>2</v>
      </c>
      <c r="E41" t="s">
        <v>449</v>
      </c>
      <c r="F41" t="s">
        <v>13</v>
      </c>
      <c r="G41" t="s">
        <v>525</v>
      </c>
    </row>
    <row r="42" spans="1:7" x14ac:dyDescent="0.3">
      <c r="A42">
        <v>0</v>
      </c>
      <c r="B42" t="s">
        <v>314</v>
      </c>
      <c r="C42" t="s">
        <v>176</v>
      </c>
      <c r="D42" t="s">
        <v>2</v>
      </c>
      <c r="E42" t="s">
        <v>176</v>
      </c>
      <c r="F42" t="s">
        <v>13</v>
      </c>
      <c r="G42" t="s">
        <v>525</v>
      </c>
    </row>
    <row r="43" spans="1:7" x14ac:dyDescent="0.3">
      <c r="A43">
        <v>0</v>
      </c>
      <c r="B43" t="s">
        <v>312</v>
      </c>
      <c r="C43" t="s">
        <v>388</v>
      </c>
      <c r="D43" t="s">
        <v>2</v>
      </c>
      <c r="E43" t="s">
        <v>388</v>
      </c>
      <c r="F43" t="s">
        <v>13</v>
      </c>
      <c r="G43" t="s">
        <v>525</v>
      </c>
    </row>
    <row r="44" spans="1:7" x14ac:dyDescent="0.3">
      <c r="A44">
        <v>0</v>
      </c>
      <c r="B44" t="s">
        <v>319</v>
      </c>
      <c r="C44" t="s">
        <v>429</v>
      </c>
      <c r="D44" t="s">
        <v>2</v>
      </c>
      <c r="E44" t="s">
        <v>429</v>
      </c>
      <c r="F44" t="s">
        <v>13</v>
      </c>
      <c r="G44" t="s">
        <v>525</v>
      </c>
    </row>
    <row r="45" spans="1:7" x14ac:dyDescent="0.3">
      <c r="A45">
        <v>0</v>
      </c>
      <c r="B45" t="s">
        <v>312</v>
      </c>
      <c r="C45" t="s">
        <v>272</v>
      </c>
      <c r="D45" t="s">
        <v>2</v>
      </c>
      <c r="E45" t="s">
        <v>272</v>
      </c>
      <c r="F45" t="s">
        <v>13</v>
      </c>
      <c r="G45" t="s">
        <v>525</v>
      </c>
    </row>
    <row r="46" spans="1:7" x14ac:dyDescent="0.3">
      <c r="A46">
        <v>0</v>
      </c>
      <c r="B46" t="s">
        <v>312</v>
      </c>
      <c r="C46" t="s">
        <v>410</v>
      </c>
      <c r="D46" t="s">
        <v>2</v>
      </c>
      <c r="E46" t="s">
        <v>410</v>
      </c>
      <c r="F46" t="s">
        <v>13</v>
      </c>
      <c r="G46" t="s">
        <v>525</v>
      </c>
    </row>
    <row r="47" spans="1:7" x14ac:dyDescent="0.3">
      <c r="A47">
        <v>0</v>
      </c>
      <c r="B47" t="s">
        <v>319</v>
      </c>
      <c r="C47" t="s">
        <v>363</v>
      </c>
      <c r="D47" t="s">
        <v>2</v>
      </c>
      <c r="E47" t="s">
        <v>363</v>
      </c>
      <c r="F47" t="s">
        <v>13</v>
      </c>
      <c r="G47" t="s">
        <v>525</v>
      </c>
    </row>
    <row r="48" spans="1:7" x14ac:dyDescent="0.3">
      <c r="A48">
        <v>0</v>
      </c>
      <c r="B48" t="s">
        <v>312</v>
      </c>
      <c r="C48" t="s">
        <v>382</v>
      </c>
      <c r="D48" t="s">
        <v>2</v>
      </c>
      <c r="E48" t="s">
        <v>382</v>
      </c>
      <c r="F48" t="s">
        <v>13</v>
      </c>
      <c r="G48" t="s">
        <v>525</v>
      </c>
    </row>
    <row r="49" spans="1:7" x14ac:dyDescent="0.3">
      <c r="A49">
        <v>0</v>
      </c>
      <c r="B49" t="s">
        <v>312</v>
      </c>
      <c r="C49" t="s">
        <v>424</v>
      </c>
      <c r="D49" t="s">
        <v>2</v>
      </c>
      <c r="E49" t="s">
        <v>424</v>
      </c>
      <c r="F49" t="s">
        <v>13</v>
      </c>
      <c r="G49" t="s">
        <v>525</v>
      </c>
    </row>
    <row r="50" spans="1:7" x14ac:dyDescent="0.3">
      <c r="A50">
        <v>0</v>
      </c>
      <c r="B50" t="s">
        <v>314</v>
      </c>
      <c r="C50" t="s">
        <v>351</v>
      </c>
      <c r="D50" t="s">
        <v>2</v>
      </c>
      <c r="E50" t="s">
        <v>351</v>
      </c>
      <c r="F50" t="s">
        <v>13</v>
      </c>
      <c r="G50" t="s">
        <v>525</v>
      </c>
    </row>
    <row r="51" spans="1:7" x14ac:dyDescent="0.3">
      <c r="A51">
        <v>0</v>
      </c>
      <c r="B51" t="s">
        <v>312</v>
      </c>
      <c r="C51" t="s">
        <v>347</v>
      </c>
      <c r="D51" t="s">
        <v>2</v>
      </c>
      <c r="E51" t="s">
        <v>347</v>
      </c>
      <c r="F51" t="s">
        <v>13</v>
      </c>
      <c r="G51" t="s">
        <v>525</v>
      </c>
    </row>
    <row r="52" spans="1:7" x14ac:dyDescent="0.3">
      <c r="A52">
        <v>0</v>
      </c>
      <c r="B52" t="s">
        <v>314</v>
      </c>
      <c r="C52" t="s">
        <v>453</v>
      </c>
      <c r="D52" t="s">
        <v>2</v>
      </c>
      <c r="E52" t="s">
        <v>453</v>
      </c>
      <c r="F52" t="s">
        <v>13</v>
      </c>
      <c r="G52" t="s">
        <v>525</v>
      </c>
    </row>
    <row r="53" spans="1:7" x14ac:dyDescent="0.3">
      <c r="A53">
        <v>0</v>
      </c>
      <c r="B53" t="s">
        <v>319</v>
      </c>
      <c r="C53" t="s">
        <v>457</v>
      </c>
      <c r="D53" t="s">
        <v>2</v>
      </c>
      <c r="E53" t="s">
        <v>457</v>
      </c>
      <c r="F53" t="s">
        <v>13</v>
      </c>
      <c r="G53" t="s">
        <v>525</v>
      </c>
    </row>
    <row r="54" spans="1:7" x14ac:dyDescent="0.3">
      <c r="A54">
        <v>0</v>
      </c>
      <c r="B54" t="s">
        <v>312</v>
      </c>
      <c r="C54" t="s">
        <v>485</v>
      </c>
      <c r="D54" t="s">
        <v>2</v>
      </c>
      <c r="E54" t="s">
        <v>485</v>
      </c>
      <c r="F54" t="s">
        <v>13</v>
      </c>
      <c r="G54" t="s">
        <v>525</v>
      </c>
    </row>
    <row r="55" spans="1:7" x14ac:dyDescent="0.3">
      <c r="A55">
        <v>0</v>
      </c>
      <c r="B55" t="s">
        <v>312</v>
      </c>
      <c r="C55" t="s">
        <v>355</v>
      </c>
      <c r="D55" t="s">
        <v>2</v>
      </c>
      <c r="E55" t="s">
        <v>355</v>
      </c>
      <c r="F55" t="s">
        <v>13</v>
      </c>
      <c r="G55" t="s">
        <v>525</v>
      </c>
    </row>
    <row r="56" spans="1:7" x14ac:dyDescent="0.3">
      <c r="A56">
        <v>0</v>
      </c>
      <c r="B56" t="s">
        <v>312</v>
      </c>
      <c r="C56" t="s">
        <v>338</v>
      </c>
      <c r="D56" t="s">
        <v>2</v>
      </c>
      <c r="E56" t="s">
        <v>338</v>
      </c>
      <c r="F56" t="s">
        <v>13</v>
      </c>
      <c r="G56" t="s">
        <v>525</v>
      </c>
    </row>
    <row r="57" spans="1:7" x14ac:dyDescent="0.3">
      <c r="A57">
        <v>0</v>
      </c>
      <c r="B57" t="s">
        <v>312</v>
      </c>
      <c r="C57" t="s">
        <v>394</v>
      </c>
      <c r="D57" t="s">
        <v>2</v>
      </c>
      <c r="E57" t="s">
        <v>394</v>
      </c>
      <c r="F57" t="s">
        <v>13</v>
      </c>
      <c r="G57" t="s">
        <v>525</v>
      </c>
    </row>
    <row r="58" spans="1:7" x14ac:dyDescent="0.3">
      <c r="A58">
        <v>0</v>
      </c>
      <c r="B58" t="s">
        <v>312</v>
      </c>
      <c r="C58" t="s">
        <v>438</v>
      </c>
      <c r="D58" t="s">
        <v>2</v>
      </c>
      <c r="E58" t="s">
        <v>438</v>
      </c>
      <c r="F58" t="s">
        <v>13</v>
      </c>
      <c r="G58" t="s">
        <v>525</v>
      </c>
    </row>
    <row r="59" spans="1:7" x14ac:dyDescent="0.3">
      <c r="A59">
        <v>0</v>
      </c>
      <c r="B59" t="s">
        <v>312</v>
      </c>
      <c r="C59" t="s">
        <v>486</v>
      </c>
      <c r="D59" t="s">
        <v>2</v>
      </c>
      <c r="E59" t="s">
        <v>486</v>
      </c>
      <c r="F59" t="s">
        <v>13</v>
      </c>
      <c r="G59" t="s">
        <v>525</v>
      </c>
    </row>
    <row r="60" spans="1:7" x14ac:dyDescent="0.3">
      <c r="A60">
        <v>0</v>
      </c>
      <c r="B60" t="s">
        <v>319</v>
      </c>
      <c r="C60" t="s">
        <v>419</v>
      </c>
      <c r="D60" t="s">
        <v>2</v>
      </c>
      <c r="E60" t="s">
        <v>419</v>
      </c>
      <c r="F60" t="s">
        <v>13</v>
      </c>
      <c r="G60" t="s">
        <v>525</v>
      </c>
    </row>
    <row r="61" spans="1:7" x14ac:dyDescent="0.3">
      <c r="A61">
        <v>0</v>
      </c>
      <c r="B61" t="s">
        <v>57</v>
      </c>
      <c r="C61" t="s">
        <v>353</v>
      </c>
      <c r="D61" t="s">
        <v>2</v>
      </c>
      <c r="E61" t="s">
        <v>353</v>
      </c>
      <c r="F61" t="s">
        <v>13</v>
      </c>
      <c r="G61" t="s">
        <v>525</v>
      </c>
    </row>
    <row r="62" spans="1:7" x14ac:dyDescent="0.3">
      <c r="A62">
        <v>0</v>
      </c>
      <c r="B62" t="s">
        <v>319</v>
      </c>
      <c r="C62" t="s">
        <v>489</v>
      </c>
      <c r="D62" t="s">
        <v>2</v>
      </c>
      <c r="E62" t="s">
        <v>489</v>
      </c>
      <c r="F62" t="s">
        <v>13</v>
      </c>
      <c r="G62" t="s">
        <v>525</v>
      </c>
    </row>
    <row r="63" spans="1:7" x14ac:dyDescent="0.3">
      <c r="A63">
        <v>0</v>
      </c>
      <c r="B63" t="s">
        <v>312</v>
      </c>
      <c r="C63" t="s">
        <v>386</v>
      </c>
      <c r="D63" t="s">
        <v>2</v>
      </c>
      <c r="E63" t="s">
        <v>386</v>
      </c>
      <c r="F63" t="s">
        <v>13</v>
      </c>
      <c r="G63" t="s">
        <v>525</v>
      </c>
    </row>
    <row r="64" spans="1:7" x14ac:dyDescent="0.3">
      <c r="A64">
        <v>0</v>
      </c>
      <c r="B64" t="s">
        <v>319</v>
      </c>
      <c r="C64" t="s">
        <v>389</v>
      </c>
      <c r="D64" t="s">
        <v>2</v>
      </c>
      <c r="E64" t="s">
        <v>389</v>
      </c>
      <c r="F64" t="s">
        <v>13</v>
      </c>
      <c r="G64" t="s">
        <v>525</v>
      </c>
    </row>
    <row r="65" spans="1:7" x14ac:dyDescent="0.3">
      <c r="A65">
        <v>0</v>
      </c>
      <c r="B65" t="s">
        <v>312</v>
      </c>
      <c r="C65" t="s">
        <v>340</v>
      </c>
      <c r="D65" t="s">
        <v>2</v>
      </c>
      <c r="E65" t="s">
        <v>340</v>
      </c>
      <c r="F65" t="s">
        <v>13</v>
      </c>
      <c r="G65" t="s">
        <v>525</v>
      </c>
    </row>
    <row r="66" spans="1:7" x14ac:dyDescent="0.3">
      <c r="A66">
        <v>0</v>
      </c>
      <c r="B66" t="s">
        <v>312</v>
      </c>
      <c r="C66" t="s">
        <v>368</v>
      </c>
      <c r="D66" t="s">
        <v>2</v>
      </c>
      <c r="E66" t="s">
        <v>368</v>
      </c>
      <c r="F66" t="s">
        <v>13</v>
      </c>
      <c r="G66" t="s">
        <v>525</v>
      </c>
    </row>
    <row r="67" spans="1:7" x14ac:dyDescent="0.3">
      <c r="A67">
        <v>0</v>
      </c>
      <c r="B67" t="s">
        <v>312</v>
      </c>
      <c r="C67" t="s">
        <v>328</v>
      </c>
      <c r="D67" t="s">
        <v>2</v>
      </c>
      <c r="E67" t="s">
        <v>328</v>
      </c>
      <c r="F67" t="s">
        <v>13</v>
      </c>
      <c r="G67" t="s">
        <v>525</v>
      </c>
    </row>
    <row r="68" spans="1:7" x14ac:dyDescent="0.3">
      <c r="A68">
        <v>0</v>
      </c>
      <c r="B68" t="s">
        <v>312</v>
      </c>
      <c r="C68" t="s">
        <v>479</v>
      </c>
      <c r="D68" t="s">
        <v>2</v>
      </c>
      <c r="E68" t="s">
        <v>479</v>
      </c>
      <c r="F68" t="s">
        <v>13</v>
      </c>
      <c r="G68" t="s">
        <v>525</v>
      </c>
    </row>
    <row r="69" spans="1:7" x14ac:dyDescent="0.3">
      <c r="A69">
        <v>0</v>
      </c>
      <c r="B69" t="s">
        <v>57</v>
      </c>
      <c r="C69" t="s">
        <v>116</v>
      </c>
      <c r="D69" t="s">
        <v>2</v>
      </c>
      <c r="E69" t="s">
        <v>116</v>
      </c>
      <c r="F69" t="s">
        <v>13</v>
      </c>
      <c r="G69" t="s">
        <v>525</v>
      </c>
    </row>
    <row r="70" spans="1:7" x14ac:dyDescent="0.3">
      <c r="A70">
        <v>0</v>
      </c>
      <c r="B70" t="s">
        <v>312</v>
      </c>
      <c r="C70" t="s">
        <v>352</v>
      </c>
      <c r="D70" t="s">
        <v>2</v>
      </c>
      <c r="E70" t="s">
        <v>352</v>
      </c>
      <c r="F70" t="s">
        <v>13</v>
      </c>
      <c r="G70" t="s">
        <v>525</v>
      </c>
    </row>
    <row r="71" spans="1:7" x14ac:dyDescent="0.3">
      <c r="A71">
        <v>0</v>
      </c>
      <c r="B71" t="s">
        <v>312</v>
      </c>
      <c r="C71" t="s">
        <v>417</v>
      </c>
      <c r="D71" t="s">
        <v>2</v>
      </c>
      <c r="E71" t="s">
        <v>417</v>
      </c>
      <c r="F71" t="s">
        <v>13</v>
      </c>
      <c r="G71" t="s">
        <v>525</v>
      </c>
    </row>
    <row r="72" spans="1:7" x14ac:dyDescent="0.3">
      <c r="A72">
        <v>0</v>
      </c>
      <c r="B72" t="s">
        <v>312</v>
      </c>
      <c r="C72" t="s">
        <v>447</v>
      </c>
      <c r="D72" t="s">
        <v>2</v>
      </c>
      <c r="E72" t="s">
        <v>447</v>
      </c>
      <c r="F72" t="s">
        <v>13</v>
      </c>
      <c r="G72" t="s">
        <v>525</v>
      </c>
    </row>
    <row r="73" spans="1:7" x14ac:dyDescent="0.3">
      <c r="A73">
        <v>0</v>
      </c>
      <c r="B73" t="s">
        <v>319</v>
      </c>
      <c r="C73" t="s">
        <v>329</v>
      </c>
      <c r="D73" t="s">
        <v>2</v>
      </c>
      <c r="E73" t="s">
        <v>329</v>
      </c>
      <c r="F73" t="s">
        <v>13</v>
      </c>
      <c r="G73" t="s">
        <v>525</v>
      </c>
    </row>
    <row r="74" spans="1:7" x14ac:dyDescent="0.3">
      <c r="A74">
        <v>0</v>
      </c>
      <c r="B74" t="s">
        <v>312</v>
      </c>
      <c r="C74" t="s">
        <v>252</v>
      </c>
      <c r="D74" t="s">
        <v>2</v>
      </c>
      <c r="E74" t="s">
        <v>252</v>
      </c>
      <c r="F74" t="s">
        <v>13</v>
      </c>
      <c r="G74" t="s">
        <v>525</v>
      </c>
    </row>
    <row r="75" spans="1:7" x14ac:dyDescent="0.3">
      <c r="A75">
        <v>0</v>
      </c>
      <c r="B75" t="s">
        <v>312</v>
      </c>
      <c r="C75" t="s">
        <v>317</v>
      </c>
      <c r="D75" t="s">
        <v>2</v>
      </c>
      <c r="E75" t="s">
        <v>317</v>
      </c>
      <c r="F75" t="s">
        <v>13</v>
      </c>
      <c r="G75" t="s">
        <v>525</v>
      </c>
    </row>
    <row r="76" spans="1:7" x14ac:dyDescent="0.3">
      <c r="A76">
        <v>0</v>
      </c>
      <c r="B76" t="s">
        <v>312</v>
      </c>
      <c r="C76" t="s">
        <v>436</v>
      </c>
      <c r="D76" t="s">
        <v>2</v>
      </c>
      <c r="E76" t="s">
        <v>436</v>
      </c>
      <c r="F76" t="s">
        <v>13</v>
      </c>
      <c r="G76" t="s">
        <v>525</v>
      </c>
    </row>
    <row r="77" spans="1:7" x14ac:dyDescent="0.3">
      <c r="A77">
        <v>0</v>
      </c>
      <c r="B77" t="s">
        <v>319</v>
      </c>
      <c r="C77" t="s">
        <v>490</v>
      </c>
      <c r="D77" t="s">
        <v>2</v>
      </c>
      <c r="E77" t="s">
        <v>490</v>
      </c>
      <c r="F77" t="s">
        <v>13</v>
      </c>
      <c r="G77" t="s">
        <v>525</v>
      </c>
    </row>
    <row r="78" spans="1:7" x14ac:dyDescent="0.3">
      <c r="A78">
        <v>0</v>
      </c>
      <c r="B78" t="s">
        <v>312</v>
      </c>
      <c r="C78" t="s">
        <v>391</v>
      </c>
      <c r="D78" t="s">
        <v>2</v>
      </c>
      <c r="E78" t="s">
        <v>391</v>
      </c>
      <c r="F78" t="s">
        <v>13</v>
      </c>
      <c r="G78" t="s">
        <v>525</v>
      </c>
    </row>
    <row r="79" spans="1:7" x14ac:dyDescent="0.3">
      <c r="A79">
        <v>0</v>
      </c>
      <c r="B79" t="s">
        <v>312</v>
      </c>
      <c r="C79" t="s">
        <v>235</v>
      </c>
      <c r="D79" t="s">
        <v>2</v>
      </c>
      <c r="E79" t="s">
        <v>235</v>
      </c>
      <c r="F79" t="s">
        <v>13</v>
      </c>
      <c r="G79" t="s">
        <v>525</v>
      </c>
    </row>
    <row r="80" spans="1:7" x14ac:dyDescent="0.3">
      <c r="A80">
        <v>0</v>
      </c>
      <c r="B80" t="s">
        <v>312</v>
      </c>
      <c r="C80" t="s">
        <v>493</v>
      </c>
      <c r="D80" t="s">
        <v>2</v>
      </c>
      <c r="E80" t="s">
        <v>493</v>
      </c>
      <c r="F80" t="s">
        <v>13</v>
      </c>
      <c r="G80" t="s">
        <v>525</v>
      </c>
    </row>
    <row r="81" spans="1:7" x14ac:dyDescent="0.3">
      <c r="A81">
        <v>0</v>
      </c>
      <c r="B81" t="s">
        <v>312</v>
      </c>
      <c r="C81" t="s">
        <v>335</v>
      </c>
      <c r="D81" t="s">
        <v>2</v>
      </c>
      <c r="E81" t="s">
        <v>335</v>
      </c>
      <c r="F81" t="s">
        <v>13</v>
      </c>
      <c r="G81" t="s">
        <v>525</v>
      </c>
    </row>
    <row r="82" spans="1:7" x14ac:dyDescent="0.3">
      <c r="A82">
        <v>0</v>
      </c>
      <c r="B82" t="s">
        <v>312</v>
      </c>
      <c r="C82" t="s">
        <v>354</v>
      </c>
      <c r="D82" t="s">
        <v>2</v>
      </c>
      <c r="E82" t="s">
        <v>354</v>
      </c>
      <c r="F82" t="s">
        <v>13</v>
      </c>
      <c r="G82" t="s">
        <v>525</v>
      </c>
    </row>
    <row r="83" spans="1:7" x14ac:dyDescent="0.3">
      <c r="A83">
        <v>0</v>
      </c>
      <c r="B83" t="s">
        <v>319</v>
      </c>
      <c r="C83" t="s">
        <v>360</v>
      </c>
      <c r="D83" t="s">
        <v>2</v>
      </c>
      <c r="E83" t="s">
        <v>360</v>
      </c>
      <c r="F83" t="s">
        <v>13</v>
      </c>
      <c r="G83" t="s">
        <v>525</v>
      </c>
    </row>
    <row r="84" spans="1:7" x14ac:dyDescent="0.3">
      <c r="A84">
        <v>0</v>
      </c>
      <c r="B84" t="s">
        <v>314</v>
      </c>
      <c r="C84" t="s">
        <v>356</v>
      </c>
      <c r="D84" t="s">
        <v>2</v>
      </c>
      <c r="E84" t="s">
        <v>356</v>
      </c>
      <c r="F84" t="s">
        <v>13</v>
      </c>
      <c r="G84" t="s">
        <v>525</v>
      </c>
    </row>
    <row r="85" spans="1:7" x14ac:dyDescent="0.3">
      <c r="A85">
        <v>0</v>
      </c>
      <c r="B85" t="s">
        <v>312</v>
      </c>
      <c r="C85" t="s">
        <v>405</v>
      </c>
      <c r="D85" t="s">
        <v>2</v>
      </c>
      <c r="E85" t="s">
        <v>405</v>
      </c>
      <c r="F85" t="s">
        <v>13</v>
      </c>
      <c r="G85" t="s">
        <v>525</v>
      </c>
    </row>
    <row r="86" spans="1:7" x14ac:dyDescent="0.3">
      <c r="A86">
        <v>0</v>
      </c>
      <c r="B86" t="s">
        <v>312</v>
      </c>
      <c r="C86" t="s">
        <v>471</v>
      </c>
      <c r="D86" t="s">
        <v>2</v>
      </c>
      <c r="E86" t="s">
        <v>471</v>
      </c>
      <c r="F86" t="s">
        <v>13</v>
      </c>
      <c r="G86" t="s">
        <v>525</v>
      </c>
    </row>
    <row r="87" spans="1:7" x14ac:dyDescent="0.3">
      <c r="A87">
        <v>0</v>
      </c>
      <c r="B87" t="s">
        <v>319</v>
      </c>
      <c r="C87" t="s">
        <v>421</v>
      </c>
      <c r="D87" t="s">
        <v>2</v>
      </c>
      <c r="E87" t="s">
        <v>421</v>
      </c>
      <c r="F87" t="s">
        <v>13</v>
      </c>
      <c r="G87" t="s">
        <v>525</v>
      </c>
    </row>
    <row r="88" spans="1:7" x14ac:dyDescent="0.3">
      <c r="A88">
        <v>0</v>
      </c>
      <c r="B88" t="s">
        <v>312</v>
      </c>
      <c r="C88" t="s">
        <v>321</v>
      </c>
      <c r="D88" t="s">
        <v>2</v>
      </c>
      <c r="E88" t="s">
        <v>321</v>
      </c>
      <c r="F88" t="s">
        <v>13</v>
      </c>
      <c r="G88" t="s">
        <v>525</v>
      </c>
    </row>
    <row r="89" spans="1:7" x14ac:dyDescent="0.3">
      <c r="A89">
        <v>0</v>
      </c>
      <c r="B89" t="s">
        <v>105</v>
      </c>
      <c r="C89" t="s">
        <v>113</v>
      </c>
      <c r="D89" t="s">
        <v>2</v>
      </c>
      <c r="E89" t="s">
        <v>113</v>
      </c>
      <c r="F89" t="s">
        <v>13</v>
      </c>
      <c r="G89" t="s">
        <v>525</v>
      </c>
    </row>
    <row r="90" spans="1:7" x14ac:dyDescent="0.3">
      <c r="A90">
        <v>0</v>
      </c>
      <c r="B90" t="s">
        <v>312</v>
      </c>
      <c r="C90" t="s">
        <v>348</v>
      </c>
      <c r="D90" t="s">
        <v>2</v>
      </c>
      <c r="E90" t="s">
        <v>348</v>
      </c>
      <c r="F90" t="s">
        <v>13</v>
      </c>
      <c r="G90" t="s">
        <v>525</v>
      </c>
    </row>
    <row r="91" spans="1:7" x14ac:dyDescent="0.3">
      <c r="A91">
        <v>0</v>
      </c>
      <c r="B91" t="s">
        <v>105</v>
      </c>
      <c r="C91" t="s">
        <v>469</v>
      </c>
      <c r="D91" t="s">
        <v>2</v>
      </c>
      <c r="E91" t="s">
        <v>469</v>
      </c>
      <c r="F91" t="s">
        <v>13</v>
      </c>
      <c r="G91" t="s">
        <v>525</v>
      </c>
    </row>
    <row r="92" spans="1:7" x14ac:dyDescent="0.3">
      <c r="A92">
        <v>0</v>
      </c>
      <c r="B92" t="s">
        <v>314</v>
      </c>
      <c r="C92" t="s">
        <v>481</v>
      </c>
      <c r="D92" t="s">
        <v>2</v>
      </c>
      <c r="E92" t="s">
        <v>481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398</v>
      </c>
      <c r="D93" t="s">
        <v>2</v>
      </c>
      <c r="E93" t="s">
        <v>398</v>
      </c>
      <c r="F93" t="s">
        <v>13</v>
      </c>
      <c r="G93" t="s">
        <v>525</v>
      </c>
    </row>
    <row r="94" spans="1:7" x14ac:dyDescent="0.3">
      <c r="A94">
        <v>0</v>
      </c>
      <c r="B94" t="s">
        <v>314</v>
      </c>
      <c r="C94" t="s">
        <v>342</v>
      </c>
      <c r="D94" t="s">
        <v>2</v>
      </c>
      <c r="E94" t="s">
        <v>342</v>
      </c>
      <c r="F94" t="s">
        <v>13</v>
      </c>
      <c r="G94" t="s">
        <v>525</v>
      </c>
    </row>
    <row r="95" spans="1:7" x14ac:dyDescent="0.3">
      <c r="A95">
        <v>0</v>
      </c>
      <c r="B95" t="s">
        <v>312</v>
      </c>
      <c r="C95" t="s">
        <v>322</v>
      </c>
      <c r="D95" t="s">
        <v>2</v>
      </c>
      <c r="E95" t="s">
        <v>322</v>
      </c>
      <c r="F95" t="s">
        <v>13</v>
      </c>
      <c r="G95" t="s">
        <v>525</v>
      </c>
    </row>
    <row r="96" spans="1:7" x14ac:dyDescent="0.3">
      <c r="A96">
        <v>0</v>
      </c>
      <c r="B96" t="s">
        <v>314</v>
      </c>
      <c r="C96" t="s">
        <v>409</v>
      </c>
      <c r="D96" t="s">
        <v>2</v>
      </c>
      <c r="E96" t="s">
        <v>409</v>
      </c>
      <c r="F96" t="s">
        <v>13</v>
      </c>
      <c r="G96" t="s">
        <v>525</v>
      </c>
    </row>
    <row r="97" spans="1:7" x14ac:dyDescent="0.3">
      <c r="A97">
        <v>0</v>
      </c>
      <c r="B97" t="s">
        <v>314</v>
      </c>
      <c r="C97" t="s">
        <v>480</v>
      </c>
      <c r="D97" t="s">
        <v>2</v>
      </c>
      <c r="E97" t="s">
        <v>480</v>
      </c>
      <c r="F97" t="s">
        <v>13</v>
      </c>
      <c r="G97" t="s">
        <v>525</v>
      </c>
    </row>
    <row r="98" spans="1:7" x14ac:dyDescent="0.3">
      <c r="A98">
        <v>0</v>
      </c>
      <c r="B98" t="s">
        <v>105</v>
      </c>
      <c r="C98" t="s">
        <v>121</v>
      </c>
      <c r="D98" t="s">
        <v>2</v>
      </c>
      <c r="E98" t="s">
        <v>121</v>
      </c>
      <c r="F98" t="s">
        <v>13</v>
      </c>
      <c r="G98" t="s">
        <v>525</v>
      </c>
    </row>
    <row r="99" spans="1:7" x14ac:dyDescent="0.3">
      <c r="A99">
        <v>0</v>
      </c>
      <c r="B99" t="s">
        <v>312</v>
      </c>
      <c r="C99" t="s">
        <v>359</v>
      </c>
      <c r="D99" t="s">
        <v>2</v>
      </c>
      <c r="E99" t="s">
        <v>359</v>
      </c>
      <c r="F99" t="s">
        <v>13</v>
      </c>
      <c r="G99" t="s">
        <v>525</v>
      </c>
    </row>
    <row r="100" spans="1:7" x14ac:dyDescent="0.3">
      <c r="A100">
        <v>0</v>
      </c>
      <c r="B100" t="s">
        <v>319</v>
      </c>
      <c r="C100" t="s">
        <v>468</v>
      </c>
      <c r="D100" t="s">
        <v>2</v>
      </c>
      <c r="E100" t="s">
        <v>468</v>
      </c>
      <c r="F100" t="s">
        <v>13</v>
      </c>
      <c r="G100" t="s">
        <v>525</v>
      </c>
    </row>
    <row r="101" spans="1:7" x14ac:dyDescent="0.3">
      <c r="A101">
        <v>0</v>
      </c>
      <c r="B101" t="s">
        <v>319</v>
      </c>
      <c r="C101" t="s">
        <v>458</v>
      </c>
      <c r="D101" t="s">
        <v>2</v>
      </c>
      <c r="E101" t="s">
        <v>458</v>
      </c>
      <c r="F101" t="s">
        <v>13</v>
      </c>
      <c r="G101" t="s">
        <v>525</v>
      </c>
    </row>
    <row r="102" spans="1:7" x14ac:dyDescent="0.3">
      <c r="A102">
        <v>0</v>
      </c>
      <c r="B102" t="s">
        <v>312</v>
      </c>
      <c r="C102" t="s">
        <v>370</v>
      </c>
      <c r="D102" t="s">
        <v>2</v>
      </c>
      <c r="E102" t="s">
        <v>370</v>
      </c>
      <c r="F102" t="s">
        <v>13</v>
      </c>
      <c r="G102" t="s">
        <v>525</v>
      </c>
    </row>
    <row r="103" spans="1:7" x14ac:dyDescent="0.3">
      <c r="A103">
        <v>0</v>
      </c>
      <c r="B103" t="s">
        <v>57</v>
      </c>
      <c r="C103" t="s">
        <v>114</v>
      </c>
      <c r="D103" t="s">
        <v>2</v>
      </c>
      <c r="E103" t="s">
        <v>114</v>
      </c>
      <c r="F103" t="s">
        <v>13</v>
      </c>
      <c r="G103" t="s">
        <v>525</v>
      </c>
    </row>
    <row r="104" spans="1:7" x14ac:dyDescent="0.3">
      <c r="A104">
        <v>0</v>
      </c>
      <c r="B104" t="s">
        <v>319</v>
      </c>
      <c r="C104" t="s">
        <v>404</v>
      </c>
      <c r="D104" t="s">
        <v>2</v>
      </c>
      <c r="E104" t="s">
        <v>404</v>
      </c>
      <c r="F104" t="s">
        <v>13</v>
      </c>
      <c r="G104" t="s">
        <v>525</v>
      </c>
    </row>
    <row r="105" spans="1:7" x14ac:dyDescent="0.3">
      <c r="A105">
        <v>0</v>
      </c>
      <c r="B105" t="s">
        <v>312</v>
      </c>
      <c r="C105" t="s">
        <v>369</v>
      </c>
      <c r="D105" t="s">
        <v>2</v>
      </c>
      <c r="E105" t="s">
        <v>369</v>
      </c>
      <c r="F105" t="s">
        <v>13</v>
      </c>
      <c r="G105" t="s">
        <v>525</v>
      </c>
    </row>
    <row r="106" spans="1:7" x14ac:dyDescent="0.3">
      <c r="A106">
        <v>0</v>
      </c>
      <c r="B106" t="s">
        <v>57</v>
      </c>
      <c r="C106" t="s">
        <v>122</v>
      </c>
      <c r="D106" t="s">
        <v>2</v>
      </c>
      <c r="E106" t="s">
        <v>122</v>
      </c>
      <c r="F106" t="s">
        <v>13</v>
      </c>
      <c r="G106" t="s">
        <v>525</v>
      </c>
    </row>
    <row r="107" spans="1:7" x14ac:dyDescent="0.3">
      <c r="A107">
        <v>0</v>
      </c>
      <c r="B107" t="s">
        <v>319</v>
      </c>
      <c r="C107" t="s">
        <v>390</v>
      </c>
      <c r="D107" t="s">
        <v>2</v>
      </c>
      <c r="E107" t="s">
        <v>390</v>
      </c>
      <c r="F107" t="s">
        <v>13</v>
      </c>
      <c r="G107" t="s">
        <v>525</v>
      </c>
    </row>
    <row r="108" spans="1:7" x14ac:dyDescent="0.3">
      <c r="A108">
        <v>0</v>
      </c>
      <c r="B108" t="s">
        <v>312</v>
      </c>
      <c r="C108" t="s">
        <v>492</v>
      </c>
      <c r="D108" t="s">
        <v>2</v>
      </c>
      <c r="E108" t="s">
        <v>492</v>
      </c>
      <c r="F108" t="s">
        <v>13</v>
      </c>
      <c r="G108" t="s">
        <v>525</v>
      </c>
    </row>
    <row r="109" spans="1:7" x14ac:dyDescent="0.3">
      <c r="A109">
        <v>0</v>
      </c>
      <c r="B109" t="s">
        <v>312</v>
      </c>
      <c r="C109" t="s">
        <v>345</v>
      </c>
      <c r="D109" t="s">
        <v>2</v>
      </c>
      <c r="E109" t="s">
        <v>345</v>
      </c>
      <c r="F109" t="s">
        <v>13</v>
      </c>
      <c r="G109" t="s">
        <v>525</v>
      </c>
    </row>
    <row r="110" spans="1:7" x14ac:dyDescent="0.3">
      <c r="A110">
        <v>0</v>
      </c>
      <c r="B110" t="s">
        <v>314</v>
      </c>
      <c r="C110" t="s">
        <v>374</v>
      </c>
      <c r="D110" t="s">
        <v>2</v>
      </c>
      <c r="E110" t="s">
        <v>374</v>
      </c>
      <c r="F110" t="s">
        <v>13</v>
      </c>
      <c r="G110" t="s">
        <v>525</v>
      </c>
    </row>
    <row r="111" spans="1:7" x14ac:dyDescent="0.3">
      <c r="A111">
        <v>0</v>
      </c>
      <c r="B111" t="s">
        <v>105</v>
      </c>
      <c r="C111" t="s">
        <v>124</v>
      </c>
      <c r="D111" t="s">
        <v>2</v>
      </c>
      <c r="E111" t="s">
        <v>124</v>
      </c>
      <c r="F111" t="s">
        <v>13</v>
      </c>
      <c r="G111" t="s">
        <v>525</v>
      </c>
    </row>
    <row r="112" spans="1:7" x14ac:dyDescent="0.3">
      <c r="A112">
        <v>0</v>
      </c>
      <c r="B112" t="s">
        <v>312</v>
      </c>
      <c r="C112" t="s">
        <v>440</v>
      </c>
      <c r="D112" t="s">
        <v>2</v>
      </c>
      <c r="E112" t="s">
        <v>440</v>
      </c>
      <c r="F112" t="s">
        <v>13</v>
      </c>
      <c r="G112" t="s">
        <v>525</v>
      </c>
    </row>
    <row r="113" spans="1:7" x14ac:dyDescent="0.3">
      <c r="A113">
        <v>0</v>
      </c>
      <c r="B113" t="s">
        <v>312</v>
      </c>
      <c r="C113" t="s">
        <v>316</v>
      </c>
      <c r="D113" t="s">
        <v>2</v>
      </c>
      <c r="E113" t="s">
        <v>316</v>
      </c>
      <c r="F113" t="s">
        <v>13</v>
      </c>
      <c r="G113" t="s">
        <v>525</v>
      </c>
    </row>
    <row r="114" spans="1:7" x14ac:dyDescent="0.3">
      <c r="A114">
        <v>0</v>
      </c>
      <c r="B114" t="s">
        <v>312</v>
      </c>
      <c r="C114" t="s">
        <v>427</v>
      </c>
      <c r="D114" t="s">
        <v>2</v>
      </c>
      <c r="E114" t="s">
        <v>427</v>
      </c>
      <c r="F114" t="s">
        <v>13</v>
      </c>
      <c r="G114" t="s">
        <v>525</v>
      </c>
    </row>
    <row r="115" spans="1:7" x14ac:dyDescent="0.3">
      <c r="A115">
        <v>0</v>
      </c>
      <c r="B115" t="s">
        <v>312</v>
      </c>
      <c r="C115" t="s">
        <v>332</v>
      </c>
      <c r="D115" t="s">
        <v>2</v>
      </c>
      <c r="E115" t="s">
        <v>332</v>
      </c>
      <c r="F115" t="s">
        <v>13</v>
      </c>
      <c r="G115" t="s">
        <v>525</v>
      </c>
    </row>
    <row r="116" spans="1:7" x14ac:dyDescent="0.3">
      <c r="A116">
        <v>0</v>
      </c>
      <c r="B116" t="s">
        <v>312</v>
      </c>
      <c r="C116" t="s">
        <v>336</v>
      </c>
      <c r="D116" t="s">
        <v>2</v>
      </c>
      <c r="E116" t="s">
        <v>336</v>
      </c>
      <c r="F116" t="s">
        <v>13</v>
      </c>
      <c r="G116" t="s">
        <v>525</v>
      </c>
    </row>
    <row r="117" spans="1:7" x14ac:dyDescent="0.3">
      <c r="A117">
        <v>0</v>
      </c>
      <c r="B117" t="s">
        <v>314</v>
      </c>
      <c r="C117" t="s">
        <v>393</v>
      </c>
      <c r="D117" t="s">
        <v>2</v>
      </c>
      <c r="E117" t="s">
        <v>393</v>
      </c>
      <c r="F117" t="s">
        <v>13</v>
      </c>
      <c r="G117" t="s">
        <v>525</v>
      </c>
    </row>
    <row r="118" spans="1:7" x14ac:dyDescent="0.3">
      <c r="A118">
        <v>0</v>
      </c>
      <c r="B118" t="s">
        <v>312</v>
      </c>
      <c r="C118" t="s">
        <v>339</v>
      </c>
      <c r="D118" t="s">
        <v>2</v>
      </c>
      <c r="E118" t="s">
        <v>339</v>
      </c>
      <c r="F118" t="s">
        <v>13</v>
      </c>
      <c r="G118" t="s">
        <v>525</v>
      </c>
    </row>
    <row r="119" spans="1:7" x14ac:dyDescent="0.3">
      <c r="A119">
        <v>0</v>
      </c>
      <c r="B119" t="s">
        <v>312</v>
      </c>
      <c r="C119" t="s">
        <v>400</v>
      </c>
      <c r="D119" t="s">
        <v>2</v>
      </c>
      <c r="E119" t="s">
        <v>400</v>
      </c>
      <c r="F119" t="s">
        <v>13</v>
      </c>
      <c r="G119" t="s">
        <v>525</v>
      </c>
    </row>
    <row r="120" spans="1:7" x14ac:dyDescent="0.3">
      <c r="A120">
        <v>0</v>
      </c>
      <c r="B120" t="s">
        <v>312</v>
      </c>
      <c r="C120" t="s">
        <v>380</v>
      </c>
      <c r="D120" t="s">
        <v>2</v>
      </c>
      <c r="E120" t="s">
        <v>380</v>
      </c>
      <c r="F120" t="s">
        <v>13</v>
      </c>
      <c r="G120" t="s">
        <v>525</v>
      </c>
    </row>
    <row r="121" spans="1:7" x14ac:dyDescent="0.3">
      <c r="A121">
        <v>0</v>
      </c>
      <c r="B121" t="s">
        <v>312</v>
      </c>
      <c r="C121" t="s">
        <v>442</v>
      </c>
      <c r="D121" t="s">
        <v>2</v>
      </c>
      <c r="E121" t="s">
        <v>442</v>
      </c>
      <c r="F121" t="s">
        <v>13</v>
      </c>
      <c r="G121" t="s">
        <v>525</v>
      </c>
    </row>
    <row r="122" spans="1:7" x14ac:dyDescent="0.3">
      <c r="A122">
        <v>0</v>
      </c>
      <c r="B122" t="s">
        <v>314</v>
      </c>
      <c r="C122" t="s">
        <v>349</v>
      </c>
      <c r="D122" t="s">
        <v>2</v>
      </c>
      <c r="E122" t="s">
        <v>349</v>
      </c>
      <c r="F122" t="s">
        <v>13</v>
      </c>
      <c r="G122" t="s">
        <v>525</v>
      </c>
    </row>
    <row r="123" spans="1:7" x14ac:dyDescent="0.3">
      <c r="A123">
        <v>0</v>
      </c>
      <c r="B123" t="s">
        <v>57</v>
      </c>
      <c r="C123" t="s">
        <v>470</v>
      </c>
      <c r="D123" t="s">
        <v>2</v>
      </c>
      <c r="E123" t="s">
        <v>470</v>
      </c>
      <c r="F123" t="s">
        <v>13</v>
      </c>
      <c r="G123" t="s">
        <v>525</v>
      </c>
    </row>
    <row r="124" spans="1:7" x14ac:dyDescent="0.3">
      <c r="A124">
        <v>0</v>
      </c>
      <c r="B124" t="s">
        <v>319</v>
      </c>
      <c r="C124" t="s">
        <v>463</v>
      </c>
      <c r="D124" t="s">
        <v>2</v>
      </c>
      <c r="E124" t="s">
        <v>463</v>
      </c>
      <c r="F124" t="s">
        <v>13</v>
      </c>
      <c r="G124" t="s">
        <v>525</v>
      </c>
    </row>
    <row r="125" spans="1:7" x14ac:dyDescent="0.3">
      <c r="A125">
        <v>0</v>
      </c>
      <c r="B125" t="s">
        <v>314</v>
      </c>
      <c r="C125" t="s">
        <v>343</v>
      </c>
      <c r="D125" t="s">
        <v>2</v>
      </c>
      <c r="E125" t="s">
        <v>343</v>
      </c>
      <c r="F125" t="s">
        <v>13</v>
      </c>
      <c r="G125" t="s">
        <v>525</v>
      </c>
    </row>
    <row r="126" spans="1:7" x14ac:dyDescent="0.3">
      <c r="A126">
        <v>0</v>
      </c>
      <c r="B126" t="s">
        <v>312</v>
      </c>
      <c r="C126" t="s">
        <v>371</v>
      </c>
      <c r="D126" t="s">
        <v>2</v>
      </c>
      <c r="E126" t="s">
        <v>371</v>
      </c>
      <c r="F126" t="s">
        <v>13</v>
      </c>
      <c r="G126" t="s">
        <v>525</v>
      </c>
    </row>
    <row r="127" spans="1:7" x14ac:dyDescent="0.3">
      <c r="A127">
        <v>0</v>
      </c>
      <c r="B127" t="s">
        <v>312</v>
      </c>
      <c r="C127" t="s">
        <v>366</v>
      </c>
      <c r="D127" t="s">
        <v>2</v>
      </c>
      <c r="E127" t="s">
        <v>366</v>
      </c>
      <c r="F127" t="s">
        <v>13</v>
      </c>
      <c r="G127" t="s">
        <v>525</v>
      </c>
    </row>
    <row r="128" spans="1:7" x14ac:dyDescent="0.3">
      <c r="A128">
        <v>0</v>
      </c>
      <c r="B128" t="s">
        <v>312</v>
      </c>
      <c r="C128" t="s">
        <v>384</v>
      </c>
      <c r="D128" t="s">
        <v>2</v>
      </c>
      <c r="E128" t="s">
        <v>384</v>
      </c>
      <c r="F128" t="s">
        <v>13</v>
      </c>
      <c r="G128" t="s">
        <v>525</v>
      </c>
    </row>
    <row r="129" spans="1:7" x14ac:dyDescent="0.3">
      <c r="A129">
        <v>0</v>
      </c>
      <c r="B129" t="s">
        <v>319</v>
      </c>
      <c r="C129" t="s">
        <v>464</v>
      </c>
      <c r="D129" t="s">
        <v>2</v>
      </c>
      <c r="E129" t="s">
        <v>464</v>
      </c>
      <c r="F129" t="s">
        <v>13</v>
      </c>
      <c r="G129" t="s">
        <v>525</v>
      </c>
    </row>
    <row r="130" spans="1:7" x14ac:dyDescent="0.3">
      <c r="A130">
        <v>0</v>
      </c>
      <c r="B130" t="s">
        <v>312</v>
      </c>
      <c r="C130" t="s">
        <v>323</v>
      </c>
      <c r="D130" t="s">
        <v>2</v>
      </c>
      <c r="E130" t="s">
        <v>323</v>
      </c>
      <c r="F130" t="s">
        <v>13</v>
      </c>
      <c r="G130" t="s">
        <v>525</v>
      </c>
    </row>
    <row r="131" spans="1:7" x14ac:dyDescent="0.3">
      <c r="A131">
        <v>0</v>
      </c>
      <c r="B131" t="s">
        <v>314</v>
      </c>
      <c r="C131" t="s">
        <v>414</v>
      </c>
      <c r="D131" t="s">
        <v>2</v>
      </c>
      <c r="E131" t="s">
        <v>414</v>
      </c>
      <c r="F131" t="s">
        <v>13</v>
      </c>
      <c r="G131" t="s">
        <v>525</v>
      </c>
    </row>
    <row r="132" spans="1:7" x14ac:dyDescent="0.3">
      <c r="A132">
        <v>0</v>
      </c>
      <c r="B132" t="s">
        <v>312</v>
      </c>
      <c r="C132" t="s">
        <v>261</v>
      </c>
      <c r="D132" t="s">
        <v>2</v>
      </c>
      <c r="E132" t="s">
        <v>261</v>
      </c>
      <c r="F132" t="s">
        <v>13</v>
      </c>
      <c r="G132" t="s">
        <v>525</v>
      </c>
    </row>
    <row r="133" spans="1:7" x14ac:dyDescent="0.3">
      <c r="A133">
        <v>0</v>
      </c>
      <c r="B133" t="s">
        <v>319</v>
      </c>
      <c r="C133" t="s">
        <v>364</v>
      </c>
      <c r="D133" t="s">
        <v>2</v>
      </c>
      <c r="E133" t="s">
        <v>364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373</v>
      </c>
      <c r="D134" t="s">
        <v>2</v>
      </c>
      <c r="E134" t="s">
        <v>373</v>
      </c>
      <c r="F134" t="s">
        <v>13</v>
      </c>
      <c r="G134" t="s">
        <v>525</v>
      </c>
    </row>
    <row r="135" spans="1:7" x14ac:dyDescent="0.3">
      <c r="A135">
        <v>0</v>
      </c>
      <c r="B135" t="s">
        <v>312</v>
      </c>
      <c r="C135" t="s">
        <v>482</v>
      </c>
      <c r="D135" t="s">
        <v>2</v>
      </c>
      <c r="E135" t="s">
        <v>482</v>
      </c>
      <c r="F135" t="s">
        <v>13</v>
      </c>
      <c r="G135" t="s">
        <v>525</v>
      </c>
    </row>
    <row r="136" spans="1:7" x14ac:dyDescent="0.3">
      <c r="A136">
        <v>0</v>
      </c>
      <c r="B136" t="s">
        <v>312</v>
      </c>
      <c r="C136" t="s">
        <v>412</v>
      </c>
      <c r="D136" t="s">
        <v>2</v>
      </c>
      <c r="E136" t="s">
        <v>412</v>
      </c>
      <c r="F136" t="s">
        <v>13</v>
      </c>
      <c r="G136" t="s">
        <v>525</v>
      </c>
    </row>
    <row r="137" spans="1:7" x14ac:dyDescent="0.3">
      <c r="A137">
        <v>0</v>
      </c>
      <c r="B137" t="s">
        <v>312</v>
      </c>
      <c r="C137" t="s">
        <v>434</v>
      </c>
      <c r="D137" t="s">
        <v>2</v>
      </c>
      <c r="E137" t="s">
        <v>434</v>
      </c>
      <c r="F137" t="s">
        <v>13</v>
      </c>
      <c r="G137" t="s">
        <v>525</v>
      </c>
    </row>
    <row r="138" spans="1:7" x14ac:dyDescent="0.3">
      <c r="A138">
        <v>0</v>
      </c>
      <c r="B138" t="s">
        <v>314</v>
      </c>
      <c r="C138" t="s">
        <v>443</v>
      </c>
      <c r="D138" t="s">
        <v>2</v>
      </c>
      <c r="E138" t="s">
        <v>443</v>
      </c>
      <c r="F138" t="s">
        <v>13</v>
      </c>
      <c r="G138" t="s">
        <v>525</v>
      </c>
    </row>
    <row r="139" spans="1:7" x14ac:dyDescent="0.3">
      <c r="A139">
        <v>0</v>
      </c>
      <c r="B139" t="s">
        <v>319</v>
      </c>
      <c r="C139" t="s">
        <v>430</v>
      </c>
      <c r="D139" t="s">
        <v>2</v>
      </c>
      <c r="E139" t="s">
        <v>430</v>
      </c>
      <c r="F139" t="s">
        <v>13</v>
      </c>
      <c r="G139" t="s">
        <v>525</v>
      </c>
    </row>
    <row r="140" spans="1:7" x14ac:dyDescent="0.3">
      <c r="A140">
        <v>0</v>
      </c>
      <c r="B140" t="s">
        <v>314</v>
      </c>
      <c r="C140" t="s">
        <v>408</v>
      </c>
      <c r="D140" t="s">
        <v>2</v>
      </c>
      <c r="E140" t="s">
        <v>408</v>
      </c>
      <c r="F140" t="s">
        <v>13</v>
      </c>
      <c r="G140" t="s">
        <v>525</v>
      </c>
    </row>
    <row r="141" spans="1:7" x14ac:dyDescent="0.3">
      <c r="A141">
        <v>0</v>
      </c>
      <c r="B141" t="s">
        <v>312</v>
      </c>
      <c r="C141" t="s">
        <v>138</v>
      </c>
      <c r="D141" t="s">
        <v>2</v>
      </c>
      <c r="E141" t="s">
        <v>138</v>
      </c>
      <c r="F141" t="s">
        <v>13</v>
      </c>
      <c r="G141" t="s">
        <v>525</v>
      </c>
    </row>
    <row r="142" spans="1:7" x14ac:dyDescent="0.3">
      <c r="A142">
        <v>0</v>
      </c>
      <c r="B142" t="s">
        <v>312</v>
      </c>
      <c r="C142" t="s">
        <v>275</v>
      </c>
      <c r="D142" t="s">
        <v>2</v>
      </c>
      <c r="E142" t="s">
        <v>275</v>
      </c>
      <c r="F142" t="s">
        <v>13</v>
      </c>
      <c r="G142" t="s">
        <v>525</v>
      </c>
    </row>
    <row r="143" spans="1:7" x14ac:dyDescent="0.3">
      <c r="A143">
        <v>0</v>
      </c>
      <c r="B143" t="s">
        <v>312</v>
      </c>
      <c r="C143" t="s">
        <v>337</v>
      </c>
      <c r="D143" t="s">
        <v>2</v>
      </c>
      <c r="E143" t="s">
        <v>337</v>
      </c>
      <c r="F143" t="s">
        <v>13</v>
      </c>
      <c r="G143" t="s">
        <v>525</v>
      </c>
    </row>
    <row r="144" spans="1:7" x14ac:dyDescent="0.3">
      <c r="A144">
        <v>0</v>
      </c>
      <c r="B144" t="s">
        <v>312</v>
      </c>
      <c r="C144" t="s">
        <v>331</v>
      </c>
      <c r="D144" t="s">
        <v>2</v>
      </c>
      <c r="E144" t="s">
        <v>331</v>
      </c>
      <c r="F144" t="s">
        <v>13</v>
      </c>
      <c r="G144" t="s">
        <v>525</v>
      </c>
    </row>
    <row r="145" spans="1:7" x14ac:dyDescent="0.3">
      <c r="A145">
        <v>0</v>
      </c>
      <c r="B145" t="s">
        <v>312</v>
      </c>
      <c r="C145" t="s">
        <v>452</v>
      </c>
      <c r="D145" t="s">
        <v>2</v>
      </c>
      <c r="E145" t="s">
        <v>452</v>
      </c>
      <c r="F145" t="s">
        <v>13</v>
      </c>
      <c r="G145" t="s">
        <v>525</v>
      </c>
    </row>
    <row r="146" spans="1:7" x14ac:dyDescent="0.3">
      <c r="A146">
        <v>0</v>
      </c>
      <c r="B146" t="s">
        <v>319</v>
      </c>
      <c r="C146" t="s">
        <v>477</v>
      </c>
      <c r="D146" t="s">
        <v>2</v>
      </c>
      <c r="E146" t="s">
        <v>477</v>
      </c>
      <c r="F146" t="s">
        <v>13</v>
      </c>
      <c r="G146" t="s">
        <v>525</v>
      </c>
    </row>
    <row r="147" spans="1:7" x14ac:dyDescent="0.3">
      <c r="A147">
        <v>0</v>
      </c>
      <c r="B147" t="s">
        <v>312</v>
      </c>
      <c r="C147" t="s">
        <v>446</v>
      </c>
      <c r="D147" t="s">
        <v>2</v>
      </c>
      <c r="E147" t="s">
        <v>446</v>
      </c>
      <c r="F147" t="s">
        <v>13</v>
      </c>
      <c r="G147" t="s">
        <v>525</v>
      </c>
    </row>
    <row r="148" spans="1:7" x14ac:dyDescent="0.3">
      <c r="A148">
        <v>0</v>
      </c>
      <c r="B148" t="s">
        <v>319</v>
      </c>
      <c r="C148" t="s">
        <v>491</v>
      </c>
      <c r="D148" t="s">
        <v>2</v>
      </c>
      <c r="E148" t="s">
        <v>491</v>
      </c>
      <c r="F148" t="s">
        <v>13</v>
      </c>
      <c r="G148" t="s">
        <v>525</v>
      </c>
    </row>
    <row r="149" spans="1:7" x14ac:dyDescent="0.3">
      <c r="A149">
        <v>0</v>
      </c>
      <c r="B149" t="s">
        <v>312</v>
      </c>
      <c r="C149" t="s">
        <v>326</v>
      </c>
      <c r="D149" t="s">
        <v>2</v>
      </c>
      <c r="E149" t="s">
        <v>326</v>
      </c>
      <c r="F149" t="s">
        <v>13</v>
      </c>
      <c r="G149" t="s">
        <v>525</v>
      </c>
    </row>
    <row r="150" spans="1:7" x14ac:dyDescent="0.3">
      <c r="A150">
        <v>0</v>
      </c>
      <c r="B150" t="s">
        <v>319</v>
      </c>
      <c r="C150" t="s">
        <v>415</v>
      </c>
      <c r="D150" t="s">
        <v>2</v>
      </c>
      <c r="E150" t="s">
        <v>415</v>
      </c>
      <c r="F150" t="s">
        <v>13</v>
      </c>
      <c r="G150" t="s">
        <v>525</v>
      </c>
    </row>
    <row r="151" spans="1:7" x14ac:dyDescent="0.3">
      <c r="A151">
        <v>0</v>
      </c>
      <c r="B151" t="s">
        <v>314</v>
      </c>
      <c r="C151" t="s">
        <v>451</v>
      </c>
      <c r="D151" t="s">
        <v>2</v>
      </c>
      <c r="E151" t="s">
        <v>451</v>
      </c>
      <c r="F151" t="s">
        <v>13</v>
      </c>
      <c r="G151" t="s">
        <v>525</v>
      </c>
    </row>
    <row r="152" spans="1:7" x14ac:dyDescent="0.3">
      <c r="A152">
        <v>0</v>
      </c>
      <c r="B152" t="s">
        <v>314</v>
      </c>
      <c r="C152" t="s">
        <v>448</v>
      </c>
      <c r="D152" t="s">
        <v>2</v>
      </c>
      <c r="E152" t="s">
        <v>448</v>
      </c>
      <c r="F152" t="s">
        <v>13</v>
      </c>
      <c r="G152" t="s">
        <v>525</v>
      </c>
    </row>
    <row r="153" spans="1:7" x14ac:dyDescent="0.3">
      <c r="A153">
        <v>0</v>
      </c>
      <c r="B153" t="s">
        <v>312</v>
      </c>
      <c r="C153" t="s">
        <v>423</v>
      </c>
      <c r="D153" t="s">
        <v>2</v>
      </c>
      <c r="E153" t="s">
        <v>423</v>
      </c>
      <c r="F153" t="s">
        <v>13</v>
      </c>
      <c r="G153" t="s">
        <v>525</v>
      </c>
    </row>
    <row r="154" spans="1:7" x14ac:dyDescent="0.3">
      <c r="A154">
        <v>0</v>
      </c>
      <c r="B154" t="s">
        <v>319</v>
      </c>
      <c r="C154" t="s">
        <v>361</v>
      </c>
      <c r="D154" t="s">
        <v>2</v>
      </c>
      <c r="E154" t="s">
        <v>361</v>
      </c>
      <c r="F154" t="s">
        <v>13</v>
      </c>
      <c r="G154" t="s">
        <v>525</v>
      </c>
    </row>
    <row r="155" spans="1:7" x14ac:dyDescent="0.3">
      <c r="A155">
        <v>0</v>
      </c>
      <c r="B155" t="s">
        <v>314</v>
      </c>
      <c r="C155" t="s">
        <v>467</v>
      </c>
      <c r="D155" t="s">
        <v>2</v>
      </c>
      <c r="E155" t="s">
        <v>467</v>
      </c>
      <c r="F155" t="s">
        <v>13</v>
      </c>
      <c r="G155" t="s">
        <v>525</v>
      </c>
    </row>
    <row r="156" spans="1:7" x14ac:dyDescent="0.3">
      <c r="A156">
        <v>0</v>
      </c>
      <c r="B156" t="s">
        <v>319</v>
      </c>
      <c r="C156" t="s">
        <v>420</v>
      </c>
      <c r="D156" t="s">
        <v>2</v>
      </c>
      <c r="E156" t="s">
        <v>420</v>
      </c>
      <c r="F156" t="s">
        <v>13</v>
      </c>
      <c r="G156" t="s">
        <v>525</v>
      </c>
    </row>
    <row r="157" spans="1:7" x14ac:dyDescent="0.3">
      <c r="A157">
        <v>0</v>
      </c>
      <c r="B157" t="s">
        <v>314</v>
      </c>
      <c r="C157" t="s">
        <v>487</v>
      </c>
      <c r="D157" t="s">
        <v>2</v>
      </c>
      <c r="E157" t="s">
        <v>487</v>
      </c>
      <c r="F157" t="s">
        <v>13</v>
      </c>
      <c r="G157" t="s">
        <v>525</v>
      </c>
    </row>
    <row r="158" spans="1:7" x14ac:dyDescent="0.3">
      <c r="A158">
        <v>0</v>
      </c>
      <c r="B158" t="s">
        <v>312</v>
      </c>
      <c r="C158" t="s">
        <v>149</v>
      </c>
      <c r="D158" t="s">
        <v>2</v>
      </c>
      <c r="E158" t="s">
        <v>149</v>
      </c>
      <c r="F158" t="s">
        <v>13</v>
      </c>
      <c r="G158" t="s">
        <v>525</v>
      </c>
    </row>
    <row r="159" spans="1:7" x14ac:dyDescent="0.3">
      <c r="A159">
        <v>0</v>
      </c>
      <c r="B159" t="s">
        <v>314</v>
      </c>
      <c r="C159" t="s">
        <v>377</v>
      </c>
      <c r="D159" t="s">
        <v>2</v>
      </c>
      <c r="E159" t="s">
        <v>377</v>
      </c>
      <c r="F159" t="s">
        <v>13</v>
      </c>
      <c r="G159" t="s">
        <v>525</v>
      </c>
    </row>
    <row r="160" spans="1:7" x14ac:dyDescent="0.3">
      <c r="A160">
        <v>0</v>
      </c>
      <c r="B160" t="s">
        <v>312</v>
      </c>
      <c r="C160" t="s">
        <v>403</v>
      </c>
      <c r="D160" t="s">
        <v>2</v>
      </c>
      <c r="E160" t="s">
        <v>403</v>
      </c>
      <c r="F160" t="s">
        <v>13</v>
      </c>
      <c r="G160" t="s">
        <v>525</v>
      </c>
    </row>
    <row r="161" spans="1:7" x14ac:dyDescent="0.3">
      <c r="A161">
        <v>0</v>
      </c>
      <c r="B161" t="s">
        <v>312</v>
      </c>
      <c r="C161" t="s">
        <v>387</v>
      </c>
      <c r="D161" t="s">
        <v>2</v>
      </c>
      <c r="E161" t="s">
        <v>387</v>
      </c>
      <c r="F161" t="s">
        <v>13</v>
      </c>
      <c r="G161" t="s">
        <v>525</v>
      </c>
    </row>
    <row r="162" spans="1:7" x14ac:dyDescent="0.3">
      <c r="A162">
        <v>0</v>
      </c>
      <c r="B162" t="s">
        <v>312</v>
      </c>
      <c r="C162" t="s">
        <v>431</v>
      </c>
      <c r="D162" t="s">
        <v>2</v>
      </c>
      <c r="E162" t="s">
        <v>431</v>
      </c>
      <c r="F162" t="s">
        <v>13</v>
      </c>
      <c r="G162" t="s">
        <v>525</v>
      </c>
    </row>
    <row r="163" spans="1:7" x14ac:dyDescent="0.3">
      <c r="A163">
        <v>0</v>
      </c>
      <c r="B163" t="s">
        <v>319</v>
      </c>
      <c r="C163" t="s">
        <v>459</v>
      </c>
      <c r="D163" t="s">
        <v>2</v>
      </c>
      <c r="E163" t="s">
        <v>459</v>
      </c>
      <c r="F163" t="s">
        <v>13</v>
      </c>
      <c r="G163" t="s">
        <v>525</v>
      </c>
    </row>
    <row r="164" spans="1:7" x14ac:dyDescent="0.3">
      <c r="A164">
        <v>0</v>
      </c>
      <c r="B164" t="s">
        <v>314</v>
      </c>
      <c r="C164" t="s">
        <v>376</v>
      </c>
      <c r="D164" t="s">
        <v>2</v>
      </c>
      <c r="E164" t="s">
        <v>376</v>
      </c>
      <c r="F164" t="s">
        <v>13</v>
      </c>
      <c r="G164" t="s">
        <v>525</v>
      </c>
    </row>
    <row r="165" spans="1:7" x14ac:dyDescent="0.3">
      <c r="A165">
        <v>0</v>
      </c>
      <c r="B165" t="s">
        <v>312</v>
      </c>
      <c r="C165" t="s">
        <v>379</v>
      </c>
      <c r="D165" t="s">
        <v>2</v>
      </c>
      <c r="E165" t="s">
        <v>379</v>
      </c>
      <c r="F165" t="s">
        <v>13</v>
      </c>
      <c r="G165" t="s">
        <v>525</v>
      </c>
    </row>
    <row r="166" spans="1:7" x14ac:dyDescent="0.3">
      <c r="A166">
        <v>0</v>
      </c>
      <c r="B166" t="s">
        <v>314</v>
      </c>
      <c r="C166" t="s">
        <v>445</v>
      </c>
      <c r="D166" t="s">
        <v>2</v>
      </c>
      <c r="E166" t="s">
        <v>445</v>
      </c>
      <c r="F166" t="s">
        <v>13</v>
      </c>
      <c r="G166" t="s">
        <v>525</v>
      </c>
    </row>
    <row r="167" spans="1:7" x14ac:dyDescent="0.3">
      <c r="A167">
        <v>0</v>
      </c>
      <c r="B167" t="s">
        <v>319</v>
      </c>
      <c r="C167" t="s">
        <v>460</v>
      </c>
      <c r="D167" t="s">
        <v>2</v>
      </c>
      <c r="E167" t="s">
        <v>460</v>
      </c>
      <c r="F167" t="s">
        <v>13</v>
      </c>
      <c r="G167" t="s">
        <v>525</v>
      </c>
    </row>
    <row r="168" spans="1:7" x14ac:dyDescent="0.3">
      <c r="A168">
        <v>0</v>
      </c>
      <c r="B168" t="s">
        <v>314</v>
      </c>
      <c r="C168" t="s">
        <v>450</v>
      </c>
      <c r="D168" t="s">
        <v>2</v>
      </c>
      <c r="E168" t="s">
        <v>450</v>
      </c>
      <c r="F168" t="s">
        <v>13</v>
      </c>
      <c r="G168" t="s">
        <v>525</v>
      </c>
    </row>
    <row r="169" spans="1:7" x14ac:dyDescent="0.3">
      <c r="A169">
        <v>0</v>
      </c>
      <c r="B169" t="s">
        <v>312</v>
      </c>
      <c r="C169" t="s">
        <v>473</v>
      </c>
      <c r="D169" t="s">
        <v>2</v>
      </c>
      <c r="E169" t="s">
        <v>473</v>
      </c>
      <c r="F169" t="s">
        <v>13</v>
      </c>
      <c r="G169" t="s">
        <v>525</v>
      </c>
    </row>
    <row r="170" spans="1:7" x14ac:dyDescent="0.3">
      <c r="A170">
        <v>0</v>
      </c>
      <c r="B170" t="s">
        <v>314</v>
      </c>
      <c r="C170" t="s">
        <v>313</v>
      </c>
      <c r="D170" t="s">
        <v>2</v>
      </c>
      <c r="E170" t="s">
        <v>313</v>
      </c>
      <c r="F170" t="s">
        <v>13</v>
      </c>
      <c r="G170" t="s">
        <v>525</v>
      </c>
    </row>
    <row r="171" spans="1:7" x14ac:dyDescent="0.3">
      <c r="A171">
        <v>0</v>
      </c>
      <c r="B171" t="s">
        <v>312</v>
      </c>
      <c r="C171" t="s">
        <v>472</v>
      </c>
      <c r="D171" t="s">
        <v>2</v>
      </c>
      <c r="E171" t="s">
        <v>472</v>
      </c>
      <c r="F171" t="s">
        <v>13</v>
      </c>
      <c r="G171" t="s">
        <v>525</v>
      </c>
    </row>
    <row r="172" spans="1:7" x14ac:dyDescent="0.3">
      <c r="A172">
        <v>0</v>
      </c>
      <c r="B172" t="s">
        <v>312</v>
      </c>
      <c r="C172" t="s">
        <v>402</v>
      </c>
      <c r="D172" t="s">
        <v>2</v>
      </c>
      <c r="E172" t="s">
        <v>402</v>
      </c>
      <c r="F172" t="s">
        <v>13</v>
      </c>
      <c r="G172" t="s">
        <v>525</v>
      </c>
    </row>
    <row r="173" spans="1:7" x14ac:dyDescent="0.3">
      <c r="A173">
        <v>0</v>
      </c>
      <c r="B173" t="s">
        <v>314</v>
      </c>
      <c r="C173" t="s">
        <v>455</v>
      </c>
      <c r="D173" t="s">
        <v>2</v>
      </c>
      <c r="E173" t="s">
        <v>455</v>
      </c>
      <c r="F173" t="s">
        <v>13</v>
      </c>
      <c r="G173" t="s">
        <v>525</v>
      </c>
    </row>
    <row r="174" spans="1:7" x14ac:dyDescent="0.3">
      <c r="A174">
        <v>0</v>
      </c>
      <c r="B174" t="s">
        <v>312</v>
      </c>
      <c r="C174" t="s">
        <v>411</v>
      </c>
      <c r="D174" t="s">
        <v>2</v>
      </c>
      <c r="E174" t="s">
        <v>411</v>
      </c>
      <c r="F174" t="s">
        <v>13</v>
      </c>
      <c r="G174" t="s">
        <v>525</v>
      </c>
    </row>
    <row r="175" spans="1:7" x14ac:dyDescent="0.3">
      <c r="A175">
        <v>0</v>
      </c>
      <c r="B175" t="s">
        <v>312</v>
      </c>
      <c r="C175" t="s">
        <v>488</v>
      </c>
      <c r="D175" t="s">
        <v>2</v>
      </c>
      <c r="E175" t="s">
        <v>488</v>
      </c>
      <c r="F175" t="s">
        <v>13</v>
      </c>
      <c r="G175" t="s">
        <v>525</v>
      </c>
    </row>
    <row r="176" spans="1:7" x14ac:dyDescent="0.3">
      <c r="A176">
        <v>0</v>
      </c>
      <c r="B176" t="s">
        <v>319</v>
      </c>
      <c r="C176" t="s">
        <v>462</v>
      </c>
      <c r="D176" t="s">
        <v>2</v>
      </c>
      <c r="E176" t="s">
        <v>462</v>
      </c>
      <c r="F176" t="s">
        <v>13</v>
      </c>
      <c r="G176" t="s">
        <v>525</v>
      </c>
    </row>
    <row r="177" spans="1:7" x14ac:dyDescent="0.3">
      <c r="A177">
        <v>0</v>
      </c>
      <c r="B177" t="s">
        <v>312</v>
      </c>
      <c r="C177" t="s">
        <v>246</v>
      </c>
      <c r="D177" t="s">
        <v>2</v>
      </c>
      <c r="E177" t="s">
        <v>246</v>
      </c>
      <c r="F177" t="s">
        <v>13</v>
      </c>
      <c r="G177" t="s">
        <v>525</v>
      </c>
    </row>
    <row r="178" spans="1:7" x14ac:dyDescent="0.3">
      <c r="A178">
        <v>0</v>
      </c>
      <c r="B178" t="s">
        <v>312</v>
      </c>
      <c r="C178" t="s">
        <v>357</v>
      </c>
      <c r="D178" t="s">
        <v>2</v>
      </c>
      <c r="E178" t="s">
        <v>357</v>
      </c>
      <c r="F178" t="s">
        <v>13</v>
      </c>
      <c r="G178" t="s">
        <v>525</v>
      </c>
    </row>
    <row r="179" spans="1:7" x14ac:dyDescent="0.3">
      <c r="A179">
        <v>0</v>
      </c>
      <c r="B179" t="s">
        <v>314</v>
      </c>
      <c r="C179" t="s">
        <v>341</v>
      </c>
      <c r="D179" t="s">
        <v>2</v>
      </c>
      <c r="E179" t="s">
        <v>341</v>
      </c>
      <c r="F179" t="s">
        <v>13</v>
      </c>
      <c r="G179" t="s">
        <v>525</v>
      </c>
    </row>
    <row r="180" spans="1:7" x14ac:dyDescent="0.3">
      <c r="A180">
        <v>0</v>
      </c>
      <c r="B180" t="s">
        <v>319</v>
      </c>
      <c r="C180" t="s">
        <v>466</v>
      </c>
      <c r="D180" t="s">
        <v>2</v>
      </c>
      <c r="E180" t="s">
        <v>466</v>
      </c>
      <c r="F180" t="s">
        <v>13</v>
      </c>
      <c r="G180" t="s">
        <v>525</v>
      </c>
    </row>
    <row r="181" spans="1:7" x14ac:dyDescent="0.3">
      <c r="A181">
        <v>0</v>
      </c>
      <c r="B181" t="s">
        <v>319</v>
      </c>
      <c r="C181" t="s">
        <v>362</v>
      </c>
      <c r="D181" t="s">
        <v>2</v>
      </c>
      <c r="E181" t="s">
        <v>362</v>
      </c>
      <c r="F181" t="s">
        <v>13</v>
      </c>
      <c r="G181" t="s">
        <v>525</v>
      </c>
    </row>
    <row r="182" spans="1:7" x14ac:dyDescent="0.3">
      <c r="A182">
        <v>0</v>
      </c>
      <c r="B182" t="s">
        <v>312</v>
      </c>
      <c r="C182" t="s">
        <v>433</v>
      </c>
      <c r="D182" t="s">
        <v>2</v>
      </c>
      <c r="E182" t="s">
        <v>433</v>
      </c>
      <c r="F182" t="s">
        <v>13</v>
      </c>
      <c r="G182" t="s">
        <v>525</v>
      </c>
    </row>
    <row r="183" spans="1:7" x14ac:dyDescent="0.3">
      <c r="A183">
        <v>0</v>
      </c>
      <c r="B183" t="s">
        <v>312</v>
      </c>
      <c r="C183" t="s">
        <v>397</v>
      </c>
      <c r="D183" t="s">
        <v>2</v>
      </c>
      <c r="E183" t="s">
        <v>397</v>
      </c>
      <c r="F183" t="s">
        <v>13</v>
      </c>
      <c r="G183" t="s">
        <v>525</v>
      </c>
    </row>
    <row r="184" spans="1:7" x14ac:dyDescent="0.3">
      <c r="A184">
        <v>0</v>
      </c>
      <c r="B184" t="s">
        <v>319</v>
      </c>
      <c r="C184" t="s">
        <v>378</v>
      </c>
      <c r="D184" t="s">
        <v>2</v>
      </c>
      <c r="E184" t="s">
        <v>378</v>
      </c>
      <c r="F184" t="s">
        <v>13</v>
      </c>
      <c r="G184" t="s">
        <v>525</v>
      </c>
    </row>
    <row r="185" spans="1:7" x14ac:dyDescent="0.3">
      <c r="A185">
        <v>0</v>
      </c>
      <c r="B185" t="s">
        <v>105</v>
      </c>
      <c r="C185" t="s">
        <v>117</v>
      </c>
      <c r="D185" t="s">
        <v>2</v>
      </c>
      <c r="E185" t="s">
        <v>117</v>
      </c>
      <c r="F185" t="s">
        <v>13</v>
      </c>
      <c r="G185" t="s">
        <v>525</v>
      </c>
    </row>
    <row r="186" spans="1:7" x14ac:dyDescent="0.3">
      <c r="A186">
        <v>0</v>
      </c>
      <c r="B186" t="s">
        <v>312</v>
      </c>
      <c r="C186" t="s">
        <v>476</v>
      </c>
      <c r="D186" t="s">
        <v>2</v>
      </c>
      <c r="E186" t="s">
        <v>476</v>
      </c>
      <c r="F186" t="s">
        <v>13</v>
      </c>
      <c r="G186" t="s">
        <v>525</v>
      </c>
    </row>
    <row r="187" spans="1:7" x14ac:dyDescent="0.3">
      <c r="A187">
        <v>0</v>
      </c>
      <c r="B187" t="s">
        <v>319</v>
      </c>
      <c r="C187" t="s">
        <v>478</v>
      </c>
      <c r="D187" t="s">
        <v>2</v>
      </c>
      <c r="E187" t="s">
        <v>478</v>
      </c>
      <c r="F187" t="s">
        <v>13</v>
      </c>
      <c r="G187" t="s">
        <v>525</v>
      </c>
    </row>
    <row r="188" spans="1:7" x14ac:dyDescent="0.3">
      <c r="A188">
        <v>0</v>
      </c>
      <c r="B188" t="s">
        <v>312</v>
      </c>
      <c r="C188" t="s">
        <v>367</v>
      </c>
      <c r="D188" t="s">
        <v>2</v>
      </c>
      <c r="E188" t="s">
        <v>367</v>
      </c>
      <c r="F188" t="s">
        <v>13</v>
      </c>
      <c r="G188" t="s">
        <v>525</v>
      </c>
    </row>
    <row r="189" spans="1:7" x14ac:dyDescent="0.3">
      <c r="A189">
        <v>0</v>
      </c>
      <c r="B189" t="s">
        <v>312</v>
      </c>
      <c r="C189" t="s">
        <v>346</v>
      </c>
      <c r="D189" t="s">
        <v>2</v>
      </c>
      <c r="E189" t="s">
        <v>346</v>
      </c>
      <c r="F189" t="s">
        <v>13</v>
      </c>
      <c r="G189" t="s">
        <v>525</v>
      </c>
    </row>
    <row r="190" spans="1:7" x14ac:dyDescent="0.3">
      <c r="A190">
        <v>0</v>
      </c>
      <c r="B190" t="s">
        <v>105</v>
      </c>
      <c r="C190" t="s">
        <v>119</v>
      </c>
      <c r="D190" t="s">
        <v>2</v>
      </c>
      <c r="E190" t="s">
        <v>119</v>
      </c>
      <c r="F190" t="s">
        <v>13</v>
      </c>
      <c r="G190" t="s">
        <v>525</v>
      </c>
    </row>
    <row r="191" spans="1:7" x14ac:dyDescent="0.3">
      <c r="A191">
        <v>0</v>
      </c>
      <c r="B191" t="s">
        <v>312</v>
      </c>
      <c r="C191" t="s">
        <v>385</v>
      </c>
      <c r="D191" t="s">
        <v>2</v>
      </c>
      <c r="E191" t="s">
        <v>385</v>
      </c>
      <c r="F191" t="s">
        <v>13</v>
      </c>
      <c r="G191" t="s">
        <v>525</v>
      </c>
    </row>
    <row r="192" spans="1:7" x14ac:dyDescent="0.3">
      <c r="A192">
        <v>0</v>
      </c>
      <c r="B192" t="s">
        <v>57</v>
      </c>
      <c r="C192" t="s">
        <v>120</v>
      </c>
      <c r="D192" t="s">
        <v>2</v>
      </c>
      <c r="E192" t="s">
        <v>120</v>
      </c>
      <c r="F192" t="s">
        <v>13</v>
      </c>
      <c r="G192" t="s">
        <v>525</v>
      </c>
    </row>
    <row r="193" spans="1:7" x14ac:dyDescent="0.3">
      <c r="A193">
        <v>0</v>
      </c>
      <c r="B193" t="s">
        <v>312</v>
      </c>
      <c r="C193" t="s">
        <v>324</v>
      </c>
      <c r="D193" t="s">
        <v>2</v>
      </c>
      <c r="E193" t="s">
        <v>324</v>
      </c>
      <c r="F193" t="s">
        <v>13</v>
      </c>
      <c r="G193" t="s">
        <v>525</v>
      </c>
    </row>
    <row r="194" spans="1:7" x14ac:dyDescent="0.3">
      <c r="A194">
        <v>0</v>
      </c>
      <c r="B194" t="s">
        <v>312</v>
      </c>
      <c r="C194" t="s">
        <v>327</v>
      </c>
      <c r="D194" t="s">
        <v>2</v>
      </c>
      <c r="E194" t="s">
        <v>327</v>
      </c>
      <c r="F194" t="s">
        <v>13</v>
      </c>
      <c r="G194" t="s">
        <v>525</v>
      </c>
    </row>
    <row r="195" spans="1:7" x14ac:dyDescent="0.3">
      <c r="A195">
        <v>0</v>
      </c>
      <c r="B195" t="s">
        <v>314</v>
      </c>
      <c r="C195" t="s">
        <v>441</v>
      </c>
      <c r="D195" t="s">
        <v>2</v>
      </c>
      <c r="E195" t="s">
        <v>441</v>
      </c>
      <c r="F195" t="s">
        <v>13</v>
      </c>
      <c r="G195" t="s">
        <v>525</v>
      </c>
    </row>
    <row r="196" spans="1:7" x14ac:dyDescent="0.3">
      <c r="A196">
        <v>0</v>
      </c>
      <c r="B196" t="s">
        <v>105</v>
      </c>
      <c r="C196" t="s">
        <v>115</v>
      </c>
      <c r="D196" t="s">
        <v>2</v>
      </c>
      <c r="E196" t="s">
        <v>115</v>
      </c>
      <c r="F196" t="s">
        <v>13</v>
      </c>
      <c r="G196" t="s">
        <v>525</v>
      </c>
    </row>
    <row r="197" spans="1:7" x14ac:dyDescent="0.3">
      <c r="A197">
        <v>0</v>
      </c>
      <c r="B197" t="s">
        <v>312</v>
      </c>
      <c r="C197" t="s">
        <v>484</v>
      </c>
      <c r="D197" t="s">
        <v>2</v>
      </c>
      <c r="E197" t="s">
        <v>484</v>
      </c>
      <c r="F197" t="s">
        <v>13</v>
      </c>
      <c r="G197" t="s">
        <v>525</v>
      </c>
    </row>
    <row r="198" spans="1:7" x14ac:dyDescent="0.3">
      <c r="A198">
        <v>0</v>
      </c>
      <c r="B198" t="s">
        <v>312</v>
      </c>
      <c r="C198" t="s">
        <v>311</v>
      </c>
      <c r="D198" t="s">
        <v>2</v>
      </c>
      <c r="E198" t="s">
        <v>311</v>
      </c>
      <c r="F198" t="s">
        <v>13</v>
      </c>
      <c r="G198" t="s">
        <v>525</v>
      </c>
    </row>
    <row r="199" spans="1:7" x14ac:dyDescent="0.3">
      <c r="A199">
        <v>0</v>
      </c>
      <c r="B199" t="s">
        <v>312</v>
      </c>
      <c r="C199" t="s">
        <v>365</v>
      </c>
      <c r="D199" t="s">
        <v>2</v>
      </c>
      <c r="E199" t="s">
        <v>365</v>
      </c>
      <c r="F199" t="s">
        <v>13</v>
      </c>
      <c r="G199" t="s">
        <v>525</v>
      </c>
    </row>
    <row r="200" spans="1:7" x14ac:dyDescent="0.3">
      <c r="A200">
        <v>0</v>
      </c>
      <c r="B200" t="s">
        <v>314</v>
      </c>
      <c r="C200" t="s">
        <v>350</v>
      </c>
      <c r="D200" t="s">
        <v>2</v>
      </c>
      <c r="E200" t="s">
        <v>350</v>
      </c>
      <c r="F200" t="s">
        <v>13</v>
      </c>
      <c r="G200" t="s">
        <v>525</v>
      </c>
    </row>
    <row r="201" spans="1:7" x14ac:dyDescent="0.3">
      <c r="A201">
        <v>0</v>
      </c>
      <c r="B201" t="s">
        <v>105</v>
      </c>
      <c r="C201" t="s">
        <v>123</v>
      </c>
      <c r="D201" t="s">
        <v>2</v>
      </c>
      <c r="E201" t="s">
        <v>123</v>
      </c>
      <c r="F201" t="s">
        <v>13</v>
      </c>
      <c r="G201" t="s">
        <v>525</v>
      </c>
    </row>
    <row r="202" spans="1:7" x14ac:dyDescent="0.3">
      <c r="A202">
        <v>0</v>
      </c>
      <c r="B202" t="s">
        <v>312</v>
      </c>
      <c r="C202" t="s">
        <v>396</v>
      </c>
      <c r="D202" t="s">
        <v>2</v>
      </c>
      <c r="E202" t="s">
        <v>396</v>
      </c>
      <c r="F202" t="s">
        <v>13</v>
      </c>
      <c r="G202" t="s">
        <v>525</v>
      </c>
    </row>
    <row r="203" spans="1:7" x14ac:dyDescent="0.3">
      <c r="A203">
        <v>0</v>
      </c>
      <c r="B203" t="s">
        <v>312</v>
      </c>
      <c r="C203" t="s">
        <v>428</v>
      </c>
      <c r="D203" t="s">
        <v>2</v>
      </c>
      <c r="E203" t="s">
        <v>428</v>
      </c>
      <c r="F203" t="s">
        <v>13</v>
      </c>
      <c r="G203" t="s">
        <v>525</v>
      </c>
    </row>
    <row r="204" spans="1:7" x14ac:dyDescent="0.3">
      <c r="A204">
        <v>0</v>
      </c>
      <c r="B204" t="s">
        <v>312</v>
      </c>
      <c r="C204" t="s">
        <v>383</v>
      </c>
      <c r="D204" t="s">
        <v>2</v>
      </c>
      <c r="E204" t="s">
        <v>383</v>
      </c>
      <c r="F204" t="s">
        <v>13</v>
      </c>
      <c r="G204" t="s">
        <v>525</v>
      </c>
    </row>
    <row r="205" spans="1:7" x14ac:dyDescent="0.3">
      <c r="A205">
        <v>0</v>
      </c>
      <c r="B205" t="s">
        <v>312</v>
      </c>
      <c r="C205" t="s">
        <v>426</v>
      </c>
      <c r="D205" t="s">
        <v>2</v>
      </c>
      <c r="E205" t="s">
        <v>426</v>
      </c>
      <c r="F205" t="s">
        <v>13</v>
      </c>
      <c r="G205" t="s">
        <v>525</v>
      </c>
    </row>
    <row r="206" spans="1:7" x14ac:dyDescent="0.3">
      <c r="A206">
        <v>0</v>
      </c>
      <c r="B206" t="s">
        <v>312</v>
      </c>
      <c r="C206" t="s">
        <v>437</v>
      </c>
      <c r="D206" t="s">
        <v>2</v>
      </c>
      <c r="E206" t="s">
        <v>437</v>
      </c>
      <c r="F206" t="s">
        <v>13</v>
      </c>
      <c r="G206" t="s">
        <v>525</v>
      </c>
    </row>
    <row r="207" spans="1:7" x14ac:dyDescent="0.3">
      <c r="A207">
        <v>0</v>
      </c>
      <c r="B207" t="s">
        <v>312</v>
      </c>
      <c r="C207" t="s">
        <v>454</v>
      </c>
      <c r="D207" t="s">
        <v>2</v>
      </c>
      <c r="E207" t="s">
        <v>454</v>
      </c>
      <c r="F207" t="s">
        <v>13</v>
      </c>
      <c r="G207" t="s">
        <v>525</v>
      </c>
    </row>
    <row r="208" spans="1:7" x14ac:dyDescent="0.3">
      <c r="A208">
        <v>0</v>
      </c>
      <c r="B208" t="s">
        <v>312</v>
      </c>
      <c r="C208" t="s">
        <v>425</v>
      </c>
      <c r="D208" t="s">
        <v>2</v>
      </c>
      <c r="E208" t="s">
        <v>425</v>
      </c>
      <c r="F208" t="s">
        <v>13</v>
      </c>
      <c r="G208" t="s">
        <v>525</v>
      </c>
    </row>
    <row r="209" spans="1:7" x14ac:dyDescent="0.3">
      <c r="A209">
        <v>0</v>
      </c>
      <c r="B209" t="s">
        <v>312</v>
      </c>
      <c r="C209" t="s">
        <v>344</v>
      </c>
      <c r="D209" t="s">
        <v>2</v>
      </c>
      <c r="E209" t="s">
        <v>344</v>
      </c>
      <c r="F209" t="s">
        <v>13</v>
      </c>
      <c r="G209" t="s">
        <v>525</v>
      </c>
    </row>
    <row r="210" spans="1:7" x14ac:dyDescent="0.3">
      <c r="A210">
        <v>0</v>
      </c>
      <c r="B210" t="s">
        <v>312</v>
      </c>
      <c r="C210" t="s">
        <v>407</v>
      </c>
      <c r="D210" t="s">
        <v>2</v>
      </c>
      <c r="E210" t="s">
        <v>407</v>
      </c>
      <c r="F210" t="s">
        <v>13</v>
      </c>
      <c r="G210" t="s">
        <v>525</v>
      </c>
    </row>
    <row r="211" spans="1:7" x14ac:dyDescent="0.3">
      <c r="A211">
        <v>0</v>
      </c>
      <c r="B211" t="s">
        <v>314</v>
      </c>
      <c r="C211" t="s">
        <v>413</v>
      </c>
      <c r="D211" t="s">
        <v>2</v>
      </c>
      <c r="E211" t="s">
        <v>413</v>
      </c>
      <c r="F211" t="s">
        <v>13</v>
      </c>
      <c r="G211" t="s">
        <v>525</v>
      </c>
    </row>
    <row r="212" spans="1:7" x14ac:dyDescent="0.3">
      <c r="A212">
        <v>0</v>
      </c>
      <c r="B212" t="s">
        <v>312</v>
      </c>
      <c r="C212" t="s">
        <v>392</v>
      </c>
      <c r="D212" t="s">
        <v>2</v>
      </c>
      <c r="E212" t="s">
        <v>392</v>
      </c>
      <c r="F212" t="s">
        <v>13</v>
      </c>
      <c r="G212" t="s">
        <v>525</v>
      </c>
    </row>
    <row r="213" spans="1:7" x14ac:dyDescent="0.3">
      <c r="A213">
        <v>0</v>
      </c>
      <c r="B213" t="s">
        <v>319</v>
      </c>
      <c r="C213" t="s">
        <v>422</v>
      </c>
      <c r="D213" t="s">
        <v>2</v>
      </c>
      <c r="E213" t="s">
        <v>422</v>
      </c>
      <c r="F213" t="s">
        <v>13</v>
      </c>
      <c r="G213" t="s">
        <v>525</v>
      </c>
    </row>
    <row r="214" spans="1:7" x14ac:dyDescent="0.3">
      <c r="A214">
        <v>0</v>
      </c>
      <c r="B214" t="s">
        <v>314</v>
      </c>
      <c r="C214" t="s">
        <v>495</v>
      </c>
      <c r="D214" t="s">
        <v>494</v>
      </c>
      <c r="E214" t="s">
        <v>495</v>
      </c>
      <c r="F214" t="s">
        <v>13</v>
      </c>
      <c r="G214" t="s">
        <v>525</v>
      </c>
    </row>
    <row r="215" spans="1:7" x14ac:dyDescent="0.3">
      <c r="A215">
        <v>0</v>
      </c>
      <c r="B215" t="s">
        <v>314</v>
      </c>
      <c r="C215" t="s">
        <v>497</v>
      </c>
      <c r="D215" t="s">
        <v>494</v>
      </c>
      <c r="E215" t="s">
        <v>497</v>
      </c>
      <c r="F215" t="s">
        <v>13</v>
      </c>
      <c r="G215" t="s">
        <v>525</v>
      </c>
    </row>
    <row r="216" spans="1:7" x14ac:dyDescent="0.3">
      <c r="A216">
        <v>0</v>
      </c>
      <c r="B216" t="s">
        <v>314</v>
      </c>
      <c r="C216" t="s">
        <v>496</v>
      </c>
      <c r="D216" t="s">
        <v>494</v>
      </c>
      <c r="E216" t="s">
        <v>496</v>
      </c>
      <c r="F216" t="s">
        <v>13</v>
      </c>
      <c r="G216" t="s">
        <v>525</v>
      </c>
    </row>
    <row r="217" spans="1:7" x14ac:dyDescent="0.3">
      <c r="A217">
        <v>0</v>
      </c>
      <c r="B217" t="s">
        <v>312</v>
      </c>
      <c r="C217" t="s">
        <v>513</v>
      </c>
      <c r="D217" t="s">
        <v>498</v>
      </c>
      <c r="E217" t="s">
        <v>513</v>
      </c>
      <c r="F217" t="s">
        <v>13</v>
      </c>
      <c r="G217" t="s">
        <v>525</v>
      </c>
    </row>
    <row r="218" spans="1:7" x14ac:dyDescent="0.3">
      <c r="A218">
        <v>0</v>
      </c>
      <c r="B218" t="s">
        <v>312</v>
      </c>
      <c r="C218" t="s">
        <v>515</v>
      </c>
      <c r="D218" t="s">
        <v>498</v>
      </c>
      <c r="E218" t="s">
        <v>515</v>
      </c>
      <c r="F218" t="s">
        <v>13</v>
      </c>
      <c r="G218" t="s">
        <v>525</v>
      </c>
    </row>
    <row r="219" spans="1:7" x14ac:dyDescent="0.3">
      <c r="A219">
        <v>0</v>
      </c>
      <c r="B219" t="s">
        <v>312</v>
      </c>
      <c r="C219" t="s">
        <v>509</v>
      </c>
      <c r="D219" t="s">
        <v>498</v>
      </c>
      <c r="E219" t="s">
        <v>509</v>
      </c>
      <c r="F219" t="s">
        <v>13</v>
      </c>
      <c r="G219" t="s">
        <v>525</v>
      </c>
    </row>
    <row r="220" spans="1:7" x14ac:dyDescent="0.3">
      <c r="A220">
        <v>0</v>
      </c>
      <c r="B220" t="s">
        <v>312</v>
      </c>
      <c r="C220" t="s">
        <v>502</v>
      </c>
      <c r="D220" t="s">
        <v>498</v>
      </c>
      <c r="E220" t="s">
        <v>502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500</v>
      </c>
      <c r="D221" t="s">
        <v>498</v>
      </c>
      <c r="E221" t="s">
        <v>500</v>
      </c>
      <c r="F221" t="s">
        <v>13</v>
      </c>
      <c r="G221" t="s">
        <v>525</v>
      </c>
    </row>
    <row r="222" spans="1:7" x14ac:dyDescent="0.3">
      <c r="A222">
        <v>0</v>
      </c>
      <c r="B222" t="s">
        <v>507</v>
      </c>
      <c r="C222" t="s">
        <v>506</v>
      </c>
      <c r="D222" t="s">
        <v>498</v>
      </c>
      <c r="E222" t="s">
        <v>506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514</v>
      </c>
      <c r="D223" t="s">
        <v>498</v>
      </c>
      <c r="E223" t="s">
        <v>514</v>
      </c>
      <c r="F223" t="s">
        <v>13</v>
      </c>
      <c r="G223" t="s">
        <v>525</v>
      </c>
    </row>
    <row r="224" spans="1:7" x14ac:dyDescent="0.3">
      <c r="A224">
        <v>0</v>
      </c>
      <c r="B224" t="s">
        <v>312</v>
      </c>
      <c r="C224" t="s">
        <v>499</v>
      </c>
      <c r="D224" t="s">
        <v>498</v>
      </c>
      <c r="E224" t="s">
        <v>499</v>
      </c>
      <c r="F224" t="s">
        <v>13</v>
      </c>
      <c r="G224" t="s">
        <v>525</v>
      </c>
    </row>
    <row r="225" spans="1:7" x14ac:dyDescent="0.3">
      <c r="A225">
        <v>0</v>
      </c>
      <c r="B225" t="s">
        <v>312</v>
      </c>
      <c r="C225" t="s">
        <v>508</v>
      </c>
      <c r="D225" t="s">
        <v>498</v>
      </c>
      <c r="E225" t="s">
        <v>508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519</v>
      </c>
      <c r="D226" t="s">
        <v>498</v>
      </c>
      <c r="E226" t="s">
        <v>519</v>
      </c>
      <c r="F226" t="s">
        <v>13</v>
      </c>
      <c r="G226" t="s">
        <v>525</v>
      </c>
    </row>
    <row r="227" spans="1:7" x14ac:dyDescent="0.3">
      <c r="A227">
        <v>0</v>
      </c>
      <c r="B227" t="s">
        <v>312</v>
      </c>
      <c r="C227" t="s">
        <v>510</v>
      </c>
      <c r="D227" t="s">
        <v>498</v>
      </c>
      <c r="E227" t="s">
        <v>510</v>
      </c>
      <c r="F227" t="s">
        <v>13</v>
      </c>
      <c r="G227" t="s">
        <v>525</v>
      </c>
    </row>
    <row r="228" spans="1:7" x14ac:dyDescent="0.3">
      <c r="A228">
        <v>0</v>
      </c>
      <c r="B228" t="s">
        <v>312</v>
      </c>
      <c r="C228" t="s">
        <v>521</v>
      </c>
      <c r="D228" t="s">
        <v>498</v>
      </c>
      <c r="E228" t="s">
        <v>521</v>
      </c>
      <c r="F228" t="s">
        <v>13</v>
      </c>
      <c r="G228" t="s">
        <v>525</v>
      </c>
    </row>
    <row r="229" spans="1:7" x14ac:dyDescent="0.3">
      <c r="A229">
        <v>0</v>
      </c>
      <c r="B229" t="s">
        <v>312</v>
      </c>
      <c r="C229" t="s">
        <v>501</v>
      </c>
      <c r="D229" t="s">
        <v>498</v>
      </c>
      <c r="E229" t="s">
        <v>501</v>
      </c>
      <c r="F229" t="s">
        <v>13</v>
      </c>
      <c r="G229" t="s">
        <v>525</v>
      </c>
    </row>
    <row r="230" spans="1:7" x14ac:dyDescent="0.3">
      <c r="A230">
        <v>0</v>
      </c>
      <c r="B230" t="s">
        <v>312</v>
      </c>
      <c r="C230" t="s">
        <v>504</v>
      </c>
      <c r="D230" t="s">
        <v>498</v>
      </c>
      <c r="E230" t="s">
        <v>504</v>
      </c>
      <c r="F230" t="s">
        <v>13</v>
      </c>
      <c r="G230" t="s">
        <v>525</v>
      </c>
    </row>
    <row r="231" spans="1:7" x14ac:dyDescent="0.3">
      <c r="A231">
        <v>0</v>
      </c>
      <c r="B231" t="s">
        <v>312</v>
      </c>
      <c r="C231" t="s">
        <v>520</v>
      </c>
      <c r="D231" t="s">
        <v>498</v>
      </c>
      <c r="E231" t="s">
        <v>520</v>
      </c>
      <c r="F231" t="s">
        <v>13</v>
      </c>
      <c r="G231" t="s">
        <v>525</v>
      </c>
    </row>
    <row r="232" spans="1:7" x14ac:dyDescent="0.3">
      <c r="A232">
        <v>0</v>
      </c>
      <c r="B232" t="s">
        <v>312</v>
      </c>
      <c r="C232" t="s">
        <v>523</v>
      </c>
      <c r="D232" t="s">
        <v>498</v>
      </c>
      <c r="E232" t="s">
        <v>523</v>
      </c>
      <c r="F232" t="s">
        <v>13</v>
      </c>
      <c r="G232" t="s">
        <v>525</v>
      </c>
    </row>
    <row r="233" spans="1:7" x14ac:dyDescent="0.3">
      <c r="A233">
        <v>0</v>
      </c>
      <c r="B233" t="s">
        <v>312</v>
      </c>
      <c r="C233" t="s">
        <v>503</v>
      </c>
      <c r="D233" t="s">
        <v>498</v>
      </c>
      <c r="E233" t="s">
        <v>503</v>
      </c>
      <c r="F233" t="s">
        <v>13</v>
      </c>
      <c r="G233" t="s">
        <v>525</v>
      </c>
    </row>
    <row r="234" spans="1:7" x14ac:dyDescent="0.3">
      <c r="A234">
        <v>0</v>
      </c>
      <c r="B234" t="s">
        <v>312</v>
      </c>
      <c r="C234" t="s">
        <v>512</v>
      </c>
      <c r="D234" t="s">
        <v>498</v>
      </c>
      <c r="E234" t="s">
        <v>512</v>
      </c>
      <c r="F234" t="s">
        <v>13</v>
      </c>
      <c r="G234" t="s">
        <v>525</v>
      </c>
    </row>
    <row r="235" spans="1:7" x14ac:dyDescent="0.3">
      <c r="A235">
        <v>0</v>
      </c>
      <c r="B235" t="s">
        <v>312</v>
      </c>
      <c r="C235" t="s">
        <v>505</v>
      </c>
      <c r="D235" t="s">
        <v>498</v>
      </c>
      <c r="E235" t="s">
        <v>505</v>
      </c>
      <c r="F235" t="s">
        <v>13</v>
      </c>
      <c r="G235" t="s">
        <v>525</v>
      </c>
    </row>
    <row r="236" spans="1:7" x14ac:dyDescent="0.3">
      <c r="A236">
        <v>0</v>
      </c>
      <c r="B236" t="s">
        <v>312</v>
      </c>
      <c r="C236" t="s">
        <v>518</v>
      </c>
      <c r="D236" t="s">
        <v>498</v>
      </c>
      <c r="E236" t="s">
        <v>518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522</v>
      </c>
      <c r="D237" t="s">
        <v>498</v>
      </c>
      <c r="E237" t="s">
        <v>522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516</v>
      </c>
      <c r="D238" t="s">
        <v>498</v>
      </c>
      <c r="E238" t="s">
        <v>516</v>
      </c>
      <c r="F238" t="s">
        <v>13</v>
      </c>
      <c r="G238" t="s">
        <v>525</v>
      </c>
    </row>
    <row r="239" spans="1:7" x14ac:dyDescent="0.3">
      <c r="A239">
        <v>0</v>
      </c>
      <c r="B239" t="s">
        <v>312</v>
      </c>
      <c r="C239" t="s">
        <v>517</v>
      </c>
      <c r="D239" t="s">
        <v>498</v>
      </c>
      <c r="E239" t="s">
        <v>517</v>
      </c>
      <c r="F239" t="s">
        <v>13</v>
      </c>
      <c r="G239" t="s">
        <v>525</v>
      </c>
    </row>
    <row r="240" spans="1:7" x14ac:dyDescent="0.3">
      <c r="A240">
        <v>0</v>
      </c>
      <c r="B240" t="s">
        <v>16</v>
      </c>
      <c r="C240" s="2" t="s">
        <v>22</v>
      </c>
      <c r="D240" t="s">
        <v>2</v>
      </c>
      <c r="E240" s="2" t="s">
        <v>22</v>
      </c>
      <c r="F240" t="s">
        <v>13</v>
      </c>
      <c r="G240" t="s">
        <v>525</v>
      </c>
    </row>
    <row r="241" spans="1:7" x14ac:dyDescent="0.3">
      <c r="A241">
        <v>0</v>
      </c>
      <c r="B241" t="s">
        <v>16</v>
      </c>
      <c r="C241" s="2" t="s">
        <v>49</v>
      </c>
      <c r="D241" t="s">
        <v>2</v>
      </c>
      <c r="E241" s="2" t="s">
        <v>49</v>
      </c>
      <c r="F241" t="s">
        <v>13</v>
      </c>
      <c r="G241" t="s">
        <v>525</v>
      </c>
    </row>
    <row r="242" spans="1:7" x14ac:dyDescent="0.3">
      <c r="A242">
        <v>0</v>
      </c>
      <c r="B242" t="s">
        <v>312</v>
      </c>
      <c r="C242" s="2" t="s">
        <v>55</v>
      </c>
      <c r="D242" t="s">
        <v>2</v>
      </c>
      <c r="E242" s="2" t="s">
        <v>55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59</v>
      </c>
      <c r="D243" t="s">
        <v>2</v>
      </c>
      <c r="E243" t="s">
        <v>59</v>
      </c>
      <c r="F243" t="s">
        <v>13</v>
      </c>
      <c r="G243" t="s">
        <v>525</v>
      </c>
    </row>
    <row r="244" spans="1:7" x14ac:dyDescent="0.3">
      <c r="A244">
        <v>0</v>
      </c>
      <c r="B244" t="s">
        <v>16</v>
      </c>
      <c r="C244" s="2" t="s">
        <v>61</v>
      </c>
      <c r="D244" t="s">
        <v>2</v>
      </c>
      <c r="E244" s="2" t="s">
        <v>61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s="2" t="s">
        <v>67</v>
      </c>
      <c r="D245" t="s">
        <v>2</v>
      </c>
      <c r="E245" s="2" t="s">
        <v>67</v>
      </c>
      <c r="F245" t="s">
        <v>13</v>
      </c>
      <c r="G245" t="s">
        <v>525</v>
      </c>
    </row>
    <row r="246" spans="1:7" x14ac:dyDescent="0.3">
      <c r="A246">
        <v>0</v>
      </c>
      <c r="B246" t="s">
        <v>312</v>
      </c>
      <c r="C246" t="s">
        <v>73</v>
      </c>
      <c r="D246" t="s">
        <v>2</v>
      </c>
      <c r="E246" t="s">
        <v>73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79</v>
      </c>
      <c r="D247" t="s">
        <v>2</v>
      </c>
      <c r="E247" t="s">
        <v>79</v>
      </c>
      <c r="F247" t="s">
        <v>13</v>
      </c>
      <c r="G247" t="s">
        <v>525</v>
      </c>
    </row>
    <row r="248" spans="1:7" x14ac:dyDescent="0.3">
      <c r="A248">
        <v>0</v>
      </c>
      <c r="B248" t="s">
        <v>312</v>
      </c>
      <c r="C248" t="s">
        <v>82</v>
      </c>
      <c r="D248" t="s">
        <v>2</v>
      </c>
      <c r="E248" t="s">
        <v>82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85</v>
      </c>
      <c r="D249" t="s">
        <v>2</v>
      </c>
      <c r="E249" t="s">
        <v>85</v>
      </c>
      <c r="F249" t="s">
        <v>13</v>
      </c>
      <c r="G249" t="s">
        <v>525</v>
      </c>
    </row>
    <row r="250" spans="1:7" x14ac:dyDescent="0.3">
      <c r="A250">
        <v>0</v>
      </c>
      <c r="B250" t="s">
        <v>312</v>
      </c>
      <c r="C250" t="s">
        <v>88</v>
      </c>
      <c r="D250" t="s">
        <v>2</v>
      </c>
      <c r="E250" t="s">
        <v>88</v>
      </c>
      <c r="F250" t="s">
        <v>13</v>
      </c>
      <c r="G250" t="s">
        <v>525</v>
      </c>
    </row>
    <row r="251" spans="1:7" x14ac:dyDescent="0.3">
      <c r="A251">
        <v>0</v>
      </c>
      <c r="B251" t="s">
        <v>312</v>
      </c>
      <c r="C251" t="s">
        <v>91</v>
      </c>
      <c r="D251" t="s">
        <v>2</v>
      </c>
      <c r="E251" t="s">
        <v>91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94</v>
      </c>
      <c r="D252" t="s">
        <v>2</v>
      </c>
      <c r="E252" t="s">
        <v>94</v>
      </c>
      <c r="F252" t="s">
        <v>13</v>
      </c>
      <c r="G252" t="s">
        <v>525</v>
      </c>
    </row>
    <row r="253" spans="1:7" x14ac:dyDescent="0.3">
      <c r="A253">
        <v>0</v>
      </c>
      <c r="B253" t="s">
        <v>312</v>
      </c>
      <c r="C253" t="s">
        <v>97</v>
      </c>
      <c r="D253" t="s">
        <v>2</v>
      </c>
      <c r="E253" t="s">
        <v>97</v>
      </c>
      <c r="F253" t="s">
        <v>13</v>
      </c>
      <c r="G253" t="s">
        <v>525</v>
      </c>
    </row>
    <row r="254" spans="1:7" x14ac:dyDescent="0.3">
      <c r="A254">
        <v>0</v>
      </c>
      <c r="B254" t="s">
        <v>312</v>
      </c>
      <c r="C254" t="s">
        <v>100</v>
      </c>
      <c r="D254" t="s">
        <v>2</v>
      </c>
      <c r="E254" t="s">
        <v>100</v>
      </c>
      <c r="F254" t="s">
        <v>13</v>
      </c>
      <c r="G254" t="s">
        <v>525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256"/>
  <sheetViews>
    <sheetView workbookViewId="0">
      <selection activeCell="E11" sqref="E11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1.088888888888889</v>
      </c>
      <c r="B2" t="s">
        <v>542</v>
      </c>
      <c r="C2" t="s">
        <v>648</v>
      </c>
      <c r="D2" t="s">
        <v>2</v>
      </c>
      <c r="E2" t="s">
        <v>111</v>
      </c>
      <c r="F2" t="s">
        <v>13</v>
      </c>
      <c r="G2" t="s">
        <v>525</v>
      </c>
      <c r="H2" t="s">
        <v>626</v>
      </c>
    </row>
    <row r="3" spans="1:9" x14ac:dyDescent="0.3">
      <c r="A3">
        <f>0.98/48</f>
        <v>2.0416666666666666E-2</v>
      </c>
      <c r="B3" t="s">
        <v>57</v>
      </c>
      <c r="C3" t="s">
        <v>752</v>
      </c>
      <c r="D3" t="s">
        <v>2</v>
      </c>
      <c r="E3" t="s">
        <v>398</v>
      </c>
      <c r="F3" t="s">
        <v>13</v>
      </c>
      <c r="G3" t="s">
        <v>525</v>
      </c>
      <c r="H3" t="s">
        <v>626</v>
      </c>
    </row>
    <row r="4" spans="1:9" x14ac:dyDescent="0.3">
      <c r="A4">
        <v>0.63699339119356635</v>
      </c>
      <c r="B4" t="s">
        <v>57</v>
      </c>
      <c r="C4" t="s">
        <v>641</v>
      </c>
      <c r="D4" t="s">
        <v>2</v>
      </c>
      <c r="E4" t="s">
        <v>85</v>
      </c>
      <c r="F4" s="4" t="s">
        <v>13</v>
      </c>
      <c r="G4" t="s">
        <v>525</v>
      </c>
      <c r="H4" t="s">
        <v>626</v>
      </c>
    </row>
    <row r="5" spans="1:9" x14ac:dyDescent="0.3">
      <c r="A5">
        <v>0.42733363459535928</v>
      </c>
      <c r="B5" t="s">
        <v>57</v>
      </c>
      <c r="C5" t="s">
        <v>757</v>
      </c>
      <c r="D5" t="s">
        <v>2</v>
      </c>
      <c r="E5" t="s">
        <v>149</v>
      </c>
      <c r="F5" t="s">
        <v>13</v>
      </c>
      <c r="G5" t="s">
        <v>525</v>
      </c>
      <c r="H5" t="s">
        <v>626</v>
      </c>
    </row>
    <row r="6" spans="1:9" x14ac:dyDescent="0.3">
      <c r="A6">
        <v>2.1386806596701651E-2</v>
      </c>
      <c r="B6" t="s">
        <v>57</v>
      </c>
      <c r="C6" t="s">
        <v>667</v>
      </c>
      <c r="D6" t="s">
        <v>2</v>
      </c>
      <c r="E6" s="2" t="s">
        <v>332</v>
      </c>
      <c r="F6" t="s">
        <v>13</v>
      </c>
      <c r="G6" t="s">
        <v>525</v>
      </c>
      <c r="H6" t="s">
        <v>626</v>
      </c>
    </row>
    <row r="7" spans="1:9" x14ac:dyDescent="0.3">
      <c r="A7">
        <v>1.9675862068965519E-3</v>
      </c>
      <c r="B7" t="s">
        <v>57</v>
      </c>
      <c r="C7" t="s">
        <v>758</v>
      </c>
      <c r="D7" t="s">
        <v>2</v>
      </c>
      <c r="E7" s="2" t="s">
        <v>382</v>
      </c>
      <c r="F7" t="s">
        <v>13</v>
      </c>
      <c r="G7" t="s">
        <v>525</v>
      </c>
      <c r="H7" t="s">
        <v>626</v>
      </c>
    </row>
    <row r="8" spans="1:9" x14ac:dyDescent="0.3">
      <c r="A8">
        <v>1.35826416293878E-2</v>
      </c>
      <c r="B8" t="s">
        <v>57</v>
      </c>
      <c r="C8" t="s">
        <v>759</v>
      </c>
      <c r="D8" t="s">
        <v>498</v>
      </c>
      <c r="E8" t="s">
        <v>508</v>
      </c>
      <c r="F8" t="s">
        <v>13</v>
      </c>
      <c r="G8" t="s">
        <v>525</v>
      </c>
      <c r="H8" t="s">
        <v>626</v>
      </c>
    </row>
    <row r="9" spans="1:9" x14ac:dyDescent="0.3">
      <c r="A9">
        <v>5.4978000000000006E-2</v>
      </c>
      <c r="B9" t="s">
        <v>57</v>
      </c>
      <c r="C9" t="s">
        <v>535</v>
      </c>
      <c r="D9" t="s">
        <v>498</v>
      </c>
      <c r="E9" t="s">
        <v>502</v>
      </c>
      <c r="F9" t="s">
        <v>13</v>
      </c>
      <c r="G9" t="s">
        <v>525</v>
      </c>
      <c r="H9" t="s">
        <v>658</v>
      </c>
    </row>
    <row r="10" spans="1:9" x14ac:dyDescent="0.3">
      <c r="A10">
        <v>4.9000000000000005E-6</v>
      </c>
      <c r="B10" t="s">
        <v>57</v>
      </c>
      <c r="C10" t="s">
        <v>500</v>
      </c>
      <c r="D10" t="s">
        <v>498</v>
      </c>
      <c r="E10" t="s">
        <v>500</v>
      </c>
      <c r="F10" t="s">
        <v>13</v>
      </c>
      <c r="G10" t="s">
        <v>525</v>
      </c>
      <c r="H10" t="s">
        <v>658</v>
      </c>
    </row>
    <row r="11" spans="1:9" x14ac:dyDescent="0.3">
      <c r="A11">
        <v>9.8000000000000017E-8</v>
      </c>
      <c r="B11" t="s">
        <v>57</v>
      </c>
      <c r="C11" t="s">
        <v>511</v>
      </c>
      <c r="D11" t="s">
        <v>498</v>
      </c>
      <c r="E11" t="s">
        <v>511</v>
      </c>
      <c r="F11" t="s">
        <v>13</v>
      </c>
      <c r="G11" t="s">
        <v>525</v>
      </c>
      <c r="H11" t="s">
        <v>658</v>
      </c>
    </row>
    <row r="12" spans="1:9" x14ac:dyDescent="0.3">
      <c r="A12">
        <v>0</v>
      </c>
      <c r="B12" t="s">
        <v>312</v>
      </c>
      <c r="C12" t="s">
        <v>483</v>
      </c>
      <c r="D12" t="s">
        <v>2</v>
      </c>
      <c r="E12" t="s">
        <v>483</v>
      </c>
      <c r="F12" t="s">
        <v>13</v>
      </c>
      <c r="G12" t="s">
        <v>525</v>
      </c>
    </row>
    <row r="13" spans="1:9" x14ac:dyDescent="0.3">
      <c r="A13">
        <v>0</v>
      </c>
      <c r="B13" t="s">
        <v>105</v>
      </c>
      <c r="C13" t="s">
        <v>125</v>
      </c>
      <c r="D13" t="s">
        <v>2</v>
      </c>
      <c r="E13" t="s">
        <v>125</v>
      </c>
      <c r="F13" t="s">
        <v>13</v>
      </c>
      <c r="G13" t="s">
        <v>525</v>
      </c>
    </row>
    <row r="14" spans="1:9" x14ac:dyDescent="0.3">
      <c r="A14">
        <v>0</v>
      </c>
      <c r="B14" t="s">
        <v>319</v>
      </c>
      <c r="C14" t="s">
        <v>461</v>
      </c>
      <c r="D14" t="s">
        <v>2</v>
      </c>
      <c r="E14" t="s">
        <v>461</v>
      </c>
      <c r="F14" t="s">
        <v>13</v>
      </c>
      <c r="G14" t="s">
        <v>525</v>
      </c>
    </row>
    <row r="15" spans="1:9" x14ac:dyDescent="0.3">
      <c r="A15">
        <v>0</v>
      </c>
      <c r="B15" t="s">
        <v>314</v>
      </c>
      <c r="C15" t="s">
        <v>395</v>
      </c>
      <c r="D15" t="s">
        <v>2</v>
      </c>
      <c r="E15" t="s">
        <v>395</v>
      </c>
      <c r="F15" t="s">
        <v>13</v>
      </c>
      <c r="G15" t="s">
        <v>525</v>
      </c>
    </row>
    <row r="16" spans="1:9" x14ac:dyDescent="0.3">
      <c r="A16">
        <v>0</v>
      </c>
      <c r="B16" t="s">
        <v>312</v>
      </c>
      <c r="C16" t="s">
        <v>399</v>
      </c>
      <c r="D16" t="s">
        <v>2</v>
      </c>
      <c r="E16" t="s">
        <v>399</v>
      </c>
      <c r="F16" t="s">
        <v>13</v>
      </c>
      <c r="G16" t="s">
        <v>525</v>
      </c>
    </row>
    <row r="17" spans="1:7" x14ac:dyDescent="0.3">
      <c r="A17">
        <v>0</v>
      </c>
      <c r="B17" t="s">
        <v>314</v>
      </c>
      <c r="C17" t="s">
        <v>432</v>
      </c>
      <c r="D17" t="s">
        <v>2</v>
      </c>
      <c r="E17" t="s">
        <v>432</v>
      </c>
      <c r="F17" t="s">
        <v>13</v>
      </c>
      <c r="G17" t="s">
        <v>525</v>
      </c>
    </row>
    <row r="18" spans="1:7" x14ac:dyDescent="0.3">
      <c r="A18">
        <v>0</v>
      </c>
      <c r="B18" t="s">
        <v>312</v>
      </c>
      <c r="C18" t="s">
        <v>325</v>
      </c>
      <c r="D18" t="s">
        <v>2</v>
      </c>
      <c r="E18" t="s">
        <v>325</v>
      </c>
      <c r="F18" t="s">
        <v>13</v>
      </c>
      <c r="G18" t="s">
        <v>525</v>
      </c>
    </row>
    <row r="19" spans="1:7" x14ac:dyDescent="0.3">
      <c r="A19">
        <v>0</v>
      </c>
      <c r="B19" t="s">
        <v>314</v>
      </c>
      <c r="C19" t="s">
        <v>372</v>
      </c>
      <c r="D19" t="s">
        <v>2</v>
      </c>
      <c r="E19" t="s">
        <v>372</v>
      </c>
      <c r="F19" t="s">
        <v>13</v>
      </c>
      <c r="G19" t="s">
        <v>525</v>
      </c>
    </row>
    <row r="20" spans="1:7" x14ac:dyDescent="0.3">
      <c r="A20">
        <v>0</v>
      </c>
      <c r="B20" t="s">
        <v>314</v>
      </c>
      <c r="C20" t="s">
        <v>260</v>
      </c>
      <c r="D20" t="s">
        <v>2</v>
      </c>
      <c r="E20" t="s">
        <v>260</v>
      </c>
      <c r="F20" t="s">
        <v>13</v>
      </c>
      <c r="G20" t="s">
        <v>525</v>
      </c>
    </row>
    <row r="21" spans="1:7" x14ac:dyDescent="0.3">
      <c r="A21">
        <v>0</v>
      </c>
      <c r="B21" t="s">
        <v>312</v>
      </c>
      <c r="C21" t="s">
        <v>330</v>
      </c>
      <c r="D21" t="s">
        <v>2</v>
      </c>
      <c r="E21" t="s">
        <v>330</v>
      </c>
      <c r="F21" t="s">
        <v>13</v>
      </c>
      <c r="G21" t="s">
        <v>525</v>
      </c>
    </row>
    <row r="22" spans="1:7" x14ac:dyDescent="0.3">
      <c r="A22">
        <v>0</v>
      </c>
      <c r="B22" t="s">
        <v>105</v>
      </c>
      <c r="C22" t="s">
        <v>401</v>
      </c>
      <c r="D22" t="s">
        <v>2</v>
      </c>
      <c r="E22" t="s">
        <v>401</v>
      </c>
      <c r="F22" t="s">
        <v>13</v>
      </c>
      <c r="G22" t="s">
        <v>525</v>
      </c>
    </row>
    <row r="23" spans="1:7" x14ac:dyDescent="0.3">
      <c r="A23">
        <v>0</v>
      </c>
      <c r="B23" t="s">
        <v>312</v>
      </c>
      <c r="C23" t="s">
        <v>416</v>
      </c>
      <c r="D23" t="s">
        <v>2</v>
      </c>
      <c r="E23" t="s">
        <v>416</v>
      </c>
      <c r="F23" t="s">
        <v>13</v>
      </c>
      <c r="G23" t="s">
        <v>525</v>
      </c>
    </row>
    <row r="24" spans="1:7" x14ac:dyDescent="0.3">
      <c r="A24">
        <v>0</v>
      </c>
      <c r="B24" t="s">
        <v>319</v>
      </c>
      <c r="C24" t="s">
        <v>375</v>
      </c>
      <c r="D24" t="s">
        <v>2</v>
      </c>
      <c r="E24" t="s">
        <v>375</v>
      </c>
      <c r="F24" t="s">
        <v>13</v>
      </c>
      <c r="G24" t="s">
        <v>525</v>
      </c>
    </row>
    <row r="25" spans="1:7" x14ac:dyDescent="0.3">
      <c r="A25">
        <v>0</v>
      </c>
      <c r="B25" t="s">
        <v>312</v>
      </c>
      <c r="C25" t="s">
        <v>333</v>
      </c>
      <c r="D25" t="s">
        <v>2</v>
      </c>
      <c r="E25" t="s">
        <v>333</v>
      </c>
      <c r="F25" t="s">
        <v>13</v>
      </c>
      <c r="G25" t="s">
        <v>525</v>
      </c>
    </row>
    <row r="26" spans="1:7" x14ac:dyDescent="0.3">
      <c r="A26">
        <v>0</v>
      </c>
      <c r="B26" t="s">
        <v>57</v>
      </c>
      <c r="C26" t="s">
        <v>118</v>
      </c>
      <c r="D26" t="s">
        <v>2</v>
      </c>
      <c r="E26" t="s">
        <v>118</v>
      </c>
      <c r="F26" t="s">
        <v>13</v>
      </c>
      <c r="G26" t="s">
        <v>525</v>
      </c>
    </row>
    <row r="27" spans="1:7" x14ac:dyDescent="0.3">
      <c r="A27">
        <v>0</v>
      </c>
      <c r="B27" t="s">
        <v>312</v>
      </c>
      <c r="C27" t="s">
        <v>406</v>
      </c>
      <c r="D27" t="s">
        <v>2</v>
      </c>
      <c r="E27" t="s">
        <v>406</v>
      </c>
      <c r="F27" t="s">
        <v>13</v>
      </c>
      <c r="G27" t="s">
        <v>525</v>
      </c>
    </row>
    <row r="28" spans="1:7" x14ac:dyDescent="0.3">
      <c r="A28">
        <v>0</v>
      </c>
      <c r="B28" t="s">
        <v>312</v>
      </c>
      <c r="C28" t="s">
        <v>315</v>
      </c>
      <c r="D28" t="s">
        <v>2</v>
      </c>
      <c r="E28" t="s">
        <v>315</v>
      </c>
      <c r="F28" t="s">
        <v>13</v>
      </c>
      <c r="G28" t="s">
        <v>525</v>
      </c>
    </row>
    <row r="29" spans="1:7" x14ac:dyDescent="0.3">
      <c r="A29">
        <v>0</v>
      </c>
      <c r="B29" t="s">
        <v>312</v>
      </c>
      <c r="C29" t="s">
        <v>358</v>
      </c>
      <c r="D29" t="s">
        <v>2</v>
      </c>
      <c r="E29" t="s">
        <v>358</v>
      </c>
      <c r="F29" t="s">
        <v>13</v>
      </c>
      <c r="G29" t="s">
        <v>525</v>
      </c>
    </row>
    <row r="30" spans="1:7" x14ac:dyDescent="0.3">
      <c r="A30">
        <v>0</v>
      </c>
      <c r="B30" t="s">
        <v>314</v>
      </c>
      <c r="C30" t="s">
        <v>444</v>
      </c>
      <c r="D30" t="s">
        <v>2</v>
      </c>
      <c r="E30" t="s">
        <v>444</v>
      </c>
      <c r="F30" t="s">
        <v>13</v>
      </c>
      <c r="G30" t="s">
        <v>525</v>
      </c>
    </row>
    <row r="31" spans="1:7" x14ac:dyDescent="0.3">
      <c r="A31">
        <v>0</v>
      </c>
      <c r="B31" t="s">
        <v>312</v>
      </c>
      <c r="C31" t="s">
        <v>439</v>
      </c>
      <c r="D31" t="s">
        <v>2</v>
      </c>
      <c r="E31" t="s">
        <v>439</v>
      </c>
      <c r="F31" t="s">
        <v>13</v>
      </c>
      <c r="G31" t="s">
        <v>525</v>
      </c>
    </row>
    <row r="32" spans="1:7" x14ac:dyDescent="0.3">
      <c r="A32">
        <v>0</v>
      </c>
      <c r="B32" t="s">
        <v>312</v>
      </c>
      <c r="C32" t="s">
        <v>381</v>
      </c>
      <c r="D32" t="s">
        <v>2</v>
      </c>
      <c r="E32" t="s">
        <v>381</v>
      </c>
      <c r="F32" t="s">
        <v>13</v>
      </c>
      <c r="G32" t="s">
        <v>525</v>
      </c>
    </row>
    <row r="33" spans="1:7" x14ac:dyDescent="0.3">
      <c r="A33">
        <v>0</v>
      </c>
      <c r="B33" t="s">
        <v>312</v>
      </c>
      <c r="C33" t="s">
        <v>418</v>
      </c>
      <c r="D33" t="s">
        <v>2</v>
      </c>
      <c r="E33" t="s">
        <v>418</v>
      </c>
      <c r="F33" t="s">
        <v>13</v>
      </c>
      <c r="G33" t="s">
        <v>525</v>
      </c>
    </row>
    <row r="34" spans="1:7" x14ac:dyDescent="0.3">
      <c r="A34">
        <v>0</v>
      </c>
      <c r="B34" t="s">
        <v>314</v>
      </c>
      <c r="C34" t="s">
        <v>465</v>
      </c>
      <c r="D34" t="s">
        <v>2</v>
      </c>
      <c r="E34" t="s">
        <v>465</v>
      </c>
      <c r="F34" t="s">
        <v>13</v>
      </c>
      <c r="G34" t="s">
        <v>525</v>
      </c>
    </row>
    <row r="35" spans="1:7" x14ac:dyDescent="0.3">
      <c r="A35">
        <v>0</v>
      </c>
      <c r="B35" t="s">
        <v>105</v>
      </c>
      <c r="C35" t="s">
        <v>103</v>
      </c>
      <c r="D35" t="s">
        <v>2</v>
      </c>
      <c r="E35" t="s">
        <v>103</v>
      </c>
      <c r="F35" t="s">
        <v>13</v>
      </c>
      <c r="G35" t="s">
        <v>525</v>
      </c>
    </row>
    <row r="36" spans="1:7" x14ac:dyDescent="0.3">
      <c r="A36">
        <v>0</v>
      </c>
      <c r="B36" t="s">
        <v>312</v>
      </c>
      <c r="C36" t="s">
        <v>320</v>
      </c>
      <c r="D36" t="s">
        <v>2</v>
      </c>
      <c r="E36" t="s">
        <v>320</v>
      </c>
      <c r="F36" t="s">
        <v>13</v>
      </c>
      <c r="G36" t="s">
        <v>525</v>
      </c>
    </row>
    <row r="37" spans="1:7" x14ac:dyDescent="0.3">
      <c r="A37">
        <v>0</v>
      </c>
      <c r="B37" t="s">
        <v>312</v>
      </c>
      <c r="C37" t="s">
        <v>334</v>
      </c>
      <c r="D37" t="s">
        <v>2</v>
      </c>
      <c r="E37" t="s">
        <v>334</v>
      </c>
      <c r="F37" t="s">
        <v>13</v>
      </c>
      <c r="G37" t="s">
        <v>525</v>
      </c>
    </row>
    <row r="38" spans="1:7" x14ac:dyDescent="0.3">
      <c r="A38">
        <v>0</v>
      </c>
      <c r="B38" t="s">
        <v>312</v>
      </c>
      <c r="C38" t="s">
        <v>435</v>
      </c>
      <c r="D38" t="s">
        <v>2</v>
      </c>
      <c r="E38" t="s">
        <v>435</v>
      </c>
      <c r="F38" t="s">
        <v>13</v>
      </c>
      <c r="G38" t="s">
        <v>525</v>
      </c>
    </row>
    <row r="39" spans="1:7" x14ac:dyDescent="0.3">
      <c r="A39">
        <v>0</v>
      </c>
      <c r="B39" t="s">
        <v>319</v>
      </c>
      <c r="C39" t="s">
        <v>456</v>
      </c>
      <c r="D39" t="s">
        <v>2</v>
      </c>
      <c r="E39" t="s">
        <v>456</v>
      </c>
      <c r="F39" t="s">
        <v>13</v>
      </c>
      <c r="G39" t="s">
        <v>525</v>
      </c>
    </row>
    <row r="40" spans="1:7" x14ac:dyDescent="0.3">
      <c r="A40">
        <v>0</v>
      </c>
      <c r="B40" t="s">
        <v>312</v>
      </c>
      <c r="C40" t="s">
        <v>474</v>
      </c>
      <c r="D40" t="s">
        <v>2</v>
      </c>
      <c r="E40" t="s">
        <v>474</v>
      </c>
      <c r="F40" t="s">
        <v>13</v>
      </c>
      <c r="G40" t="s">
        <v>525</v>
      </c>
    </row>
    <row r="41" spans="1:7" x14ac:dyDescent="0.3">
      <c r="A41">
        <v>0</v>
      </c>
      <c r="B41" t="s">
        <v>319</v>
      </c>
      <c r="C41" t="s">
        <v>318</v>
      </c>
      <c r="D41" t="s">
        <v>2</v>
      </c>
      <c r="E41" t="s">
        <v>318</v>
      </c>
      <c r="F41" t="s">
        <v>13</v>
      </c>
      <c r="G41" t="s">
        <v>525</v>
      </c>
    </row>
    <row r="42" spans="1:7" x14ac:dyDescent="0.3">
      <c r="A42">
        <v>0</v>
      </c>
      <c r="B42" t="s">
        <v>314</v>
      </c>
      <c r="C42" t="s">
        <v>475</v>
      </c>
      <c r="D42" t="s">
        <v>2</v>
      </c>
      <c r="E42" t="s">
        <v>475</v>
      </c>
      <c r="F42" t="s">
        <v>13</v>
      </c>
      <c r="G42" t="s">
        <v>525</v>
      </c>
    </row>
    <row r="43" spans="1:7" x14ac:dyDescent="0.3">
      <c r="A43">
        <v>0</v>
      </c>
      <c r="B43" t="s">
        <v>314</v>
      </c>
      <c r="C43" t="s">
        <v>449</v>
      </c>
      <c r="D43" t="s">
        <v>2</v>
      </c>
      <c r="E43" t="s">
        <v>449</v>
      </c>
      <c r="F43" t="s">
        <v>13</v>
      </c>
      <c r="G43" t="s">
        <v>525</v>
      </c>
    </row>
    <row r="44" spans="1:7" x14ac:dyDescent="0.3">
      <c r="A44">
        <v>0</v>
      </c>
      <c r="B44" t="s">
        <v>314</v>
      </c>
      <c r="C44" t="s">
        <v>176</v>
      </c>
      <c r="D44" t="s">
        <v>2</v>
      </c>
      <c r="E44" t="s">
        <v>176</v>
      </c>
      <c r="F44" t="s">
        <v>13</v>
      </c>
      <c r="G44" t="s">
        <v>525</v>
      </c>
    </row>
    <row r="45" spans="1:7" x14ac:dyDescent="0.3">
      <c r="A45">
        <v>0</v>
      </c>
      <c r="B45" t="s">
        <v>312</v>
      </c>
      <c r="C45" t="s">
        <v>388</v>
      </c>
      <c r="D45" t="s">
        <v>2</v>
      </c>
      <c r="E45" t="s">
        <v>388</v>
      </c>
      <c r="F45" t="s">
        <v>13</v>
      </c>
      <c r="G45" t="s">
        <v>525</v>
      </c>
    </row>
    <row r="46" spans="1:7" x14ac:dyDescent="0.3">
      <c r="A46">
        <v>0</v>
      </c>
      <c r="B46" t="s">
        <v>319</v>
      </c>
      <c r="C46" t="s">
        <v>429</v>
      </c>
      <c r="D46" t="s">
        <v>2</v>
      </c>
      <c r="E46" t="s">
        <v>429</v>
      </c>
      <c r="F46" t="s">
        <v>13</v>
      </c>
      <c r="G46" t="s">
        <v>525</v>
      </c>
    </row>
    <row r="47" spans="1:7" x14ac:dyDescent="0.3">
      <c r="A47">
        <v>0</v>
      </c>
      <c r="B47" t="s">
        <v>312</v>
      </c>
      <c r="C47" t="s">
        <v>272</v>
      </c>
      <c r="D47" t="s">
        <v>2</v>
      </c>
      <c r="E47" t="s">
        <v>272</v>
      </c>
      <c r="F47" t="s">
        <v>13</v>
      </c>
      <c r="G47" t="s">
        <v>525</v>
      </c>
    </row>
    <row r="48" spans="1:7" x14ac:dyDescent="0.3">
      <c r="A48">
        <v>0</v>
      </c>
      <c r="B48" t="s">
        <v>312</v>
      </c>
      <c r="C48" t="s">
        <v>410</v>
      </c>
      <c r="D48" t="s">
        <v>2</v>
      </c>
      <c r="E48" t="s">
        <v>410</v>
      </c>
      <c r="F48" t="s">
        <v>13</v>
      </c>
      <c r="G48" t="s">
        <v>525</v>
      </c>
    </row>
    <row r="49" spans="1:7" x14ac:dyDescent="0.3">
      <c r="A49">
        <v>0</v>
      </c>
      <c r="B49" t="s">
        <v>319</v>
      </c>
      <c r="C49" t="s">
        <v>363</v>
      </c>
      <c r="D49" t="s">
        <v>2</v>
      </c>
      <c r="E49" t="s">
        <v>363</v>
      </c>
      <c r="F49" t="s">
        <v>13</v>
      </c>
      <c r="G49" t="s">
        <v>525</v>
      </c>
    </row>
    <row r="50" spans="1:7" x14ac:dyDescent="0.3">
      <c r="A50">
        <v>0</v>
      </c>
      <c r="B50" t="s">
        <v>312</v>
      </c>
      <c r="C50" t="s">
        <v>382</v>
      </c>
      <c r="D50" t="s">
        <v>2</v>
      </c>
      <c r="E50" t="s">
        <v>382</v>
      </c>
      <c r="F50" t="s">
        <v>13</v>
      </c>
      <c r="G50" t="s">
        <v>525</v>
      </c>
    </row>
    <row r="51" spans="1:7" x14ac:dyDescent="0.3">
      <c r="A51">
        <v>0</v>
      </c>
      <c r="B51" t="s">
        <v>312</v>
      </c>
      <c r="C51" t="s">
        <v>424</v>
      </c>
      <c r="D51" t="s">
        <v>2</v>
      </c>
      <c r="E51" t="s">
        <v>424</v>
      </c>
      <c r="F51" t="s">
        <v>13</v>
      </c>
      <c r="G51" t="s">
        <v>525</v>
      </c>
    </row>
    <row r="52" spans="1:7" x14ac:dyDescent="0.3">
      <c r="A52">
        <v>0</v>
      </c>
      <c r="B52" t="s">
        <v>314</v>
      </c>
      <c r="C52" t="s">
        <v>351</v>
      </c>
      <c r="D52" t="s">
        <v>2</v>
      </c>
      <c r="E52" t="s">
        <v>351</v>
      </c>
      <c r="F52" t="s">
        <v>13</v>
      </c>
      <c r="G52" t="s">
        <v>525</v>
      </c>
    </row>
    <row r="53" spans="1:7" x14ac:dyDescent="0.3">
      <c r="A53">
        <v>0</v>
      </c>
      <c r="B53" t="s">
        <v>312</v>
      </c>
      <c r="C53" t="s">
        <v>347</v>
      </c>
      <c r="D53" t="s">
        <v>2</v>
      </c>
      <c r="E53" t="s">
        <v>347</v>
      </c>
      <c r="F53" t="s">
        <v>13</v>
      </c>
      <c r="G53" t="s">
        <v>525</v>
      </c>
    </row>
    <row r="54" spans="1:7" x14ac:dyDescent="0.3">
      <c r="A54">
        <v>0</v>
      </c>
      <c r="B54" t="s">
        <v>314</v>
      </c>
      <c r="C54" t="s">
        <v>453</v>
      </c>
      <c r="D54" t="s">
        <v>2</v>
      </c>
      <c r="E54" t="s">
        <v>453</v>
      </c>
      <c r="F54" t="s">
        <v>13</v>
      </c>
      <c r="G54" t="s">
        <v>525</v>
      </c>
    </row>
    <row r="55" spans="1:7" x14ac:dyDescent="0.3">
      <c r="A55">
        <v>0</v>
      </c>
      <c r="B55" t="s">
        <v>319</v>
      </c>
      <c r="C55" t="s">
        <v>457</v>
      </c>
      <c r="D55" t="s">
        <v>2</v>
      </c>
      <c r="E55" t="s">
        <v>457</v>
      </c>
      <c r="F55" t="s">
        <v>13</v>
      </c>
      <c r="G55" t="s">
        <v>525</v>
      </c>
    </row>
    <row r="56" spans="1:7" x14ac:dyDescent="0.3">
      <c r="A56">
        <v>0</v>
      </c>
      <c r="B56" t="s">
        <v>312</v>
      </c>
      <c r="C56" t="s">
        <v>485</v>
      </c>
      <c r="D56" t="s">
        <v>2</v>
      </c>
      <c r="E56" t="s">
        <v>485</v>
      </c>
      <c r="F56" t="s">
        <v>13</v>
      </c>
      <c r="G56" t="s">
        <v>525</v>
      </c>
    </row>
    <row r="57" spans="1:7" x14ac:dyDescent="0.3">
      <c r="A57">
        <v>0</v>
      </c>
      <c r="B57" t="s">
        <v>312</v>
      </c>
      <c r="C57" t="s">
        <v>355</v>
      </c>
      <c r="D57" t="s">
        <v>2</v>
      </c>
      <c r="E57" t="s">
        <v>355</v>
      </c>
      <c r="F57" t="s">
        <v>13</v>
      </c>
      <c r="G57" t="s">
        <v>525</v>
      </c>
    </row>
    <row r="58" spans="1:7" x14ac:dyDescent="0.3">
      <c r="A58">
        <v>0</v>
      </c>
      <c r="B58" t="s">
        <v>312</v>
      </c>
      <c r="C58" t="s">
        <v>338</v>
      </c>
      <c r="D58" t="s">
        <v>2</v>
      </c>
      <c r="E58" t="s">
        <v>338</v>
      </c>
      <c r="F58" t="s">
        <v>13</v>
      </c>
      <c r="G58" t="s">
        <v>525</v>
      </c>
    </row>
    <row r="59" spans="1:7" x14ac:dyDescent="0.3">
      <c r="A59">
        <v>0</v>
      </c>
      <c r="B59" t="s">
        <v>312</v>
      </c>
      <c r="C59" t="s">
        <v>394</v>
      </c>
      <c r="D59" t="s">
        <v>2</v>
      </c>
      <c r="E59" t="s">
        <v>394</v>
      </c>
      <c r="F59" t="s">
        <v>13</v>
      </c>
      <c r="G59" t="s">
        <v>525</v>
      </c>
    </row>
    <row r="60" spans="1:7" x14ac:dyDescent="0.3">
      <c r="A60">
        <v>0</v>
      </c>
      <c r="B60" t="s">
        <v>312</v>
      </c>
      <c r="C60" t="s">
        <v>438</v>
      </c>
      <c r="D60" t="s">
        <v>2</v>
      </c>
      <c r="E60" t="s">
        <v>438</v>
      </c>
      <c r="F60" t="s">
        <v>13</v>
      </c>
      <c r="G60" t="s">
        <v>525</v>
      </c>
    </row>
    <row r="61" spans="1:7" x14ac:dyDescent="0.3">
      <c r="A61">
        <v>0</v>
      </c>
      <c r="B61" t="s">
        <v>312</v>
      </c>
      <c r="C61" t="s">
        <v>486</v>
      </c>
      <c r="D61" t="s">
        <v>2</v>
      </c>
      <c r="E61" t="s">
        <v>486</v>
      </c>
      <c r="F61" t="s">
        <v>13</v>
      </c>
      <c r="G61" t="s">
        <v>525</v>
      </c>
    </row>
    <row r="62" spans="1:7" x14ac:dyDescent="0.3">
      <c r="A62">
        <v>0</v>
      </c>
      <c r="B62" t="s">
        <v>319</v>
      </c>
      <c r="C62" t="s">
        <v>419</v>
      </c>
      <c r="D62" t="s">
        <v>2</v>
      </c>
      <c r="E62" t="s">
        <v>419</v>
      </c>
      <c r="F62" t="s">
        <v>13</v>
      </c>
      <c r="G62" t="s">
        <v>525</v>
      </c>
    </row>
    <row r="63" spans="1:7" x14ac:dyDescent="0.3">
      <c r="A63">
        <v>0</v>
      </c>
      <c r="B63" t="s">
        <v>57</v>
      </c>
      <c r="C63" t="s">
        <v>353</v>
      </c>
      <c r="D63" t="s">
        <v>2</v>
      </c>
      <c r="E63" t="s">
        <v>353</v>
      </c>
      <c r="F63" t="s">
        <v>13</v>
      </c>
      <c r="G63" t="s">
        <v>525</v>
      </c>
    </row>
    <row r="64" spans="1:7" x14ac:dyDescent="0.3">
      <c r="A64">
        <v>0</v>
      </c>
      <c r="B64" t="s">
        <v>319</v>
      </c>
      <c r="C64" t="s">
        <v>489</v>
      </c>
      <c r="D64" t="s">
        <v>2</v>
      </c>
      <c r="E64" t="s">
        <v>489</v>
      </c>
      <c r="F64" t="s">
        <v>13</v>
      </c>
      <c r="G64" t="s">
        <v>525</v>
      </c>
    </row>
    <row r="65" spans="1:7" x14ac:dyDescent="0.3">
      <c r="A65">
        <v>0</v>
      </c>
      <c r="B65" t="s">
        <v>312</v>
      </c>
      <c r="C65" t="s">
        <v>386</v>
      </c>
      <c r="D65" t="s">
        <v>2</v>
      </c>
      <c r="E65" t="s">
        <v>386</v>
      </c>
      <c r="F65" t="s">
        <v>13</v>
      </c>
      <c r="G65" t="s">
        <v>525</v>
      </c>
    </row>
    <row r="66" spans="1:7" x14ac:dyDescent="0.3">
      <c r="A66">
        <v>0</v>
      </c>
      <c r="B66" t="s">
        <v>319</v>
      </c>
      <c r="C66" t="s">
        <v>389</v>
      </c>
      <c r="D66" t="s">
        <v>2</v>
      </c>
      <c r="E66" t="s">
        <v>389</v>
      </c>
      <c r="F66" t="s">
        <v>13</v>
      </c>
      <c r="G66" t="s">
        <v>525</v>
      </c>
    </row>
    <row r="67" spans="1:7" x14ac:dyDescent="0.3">
      <c r="A67">
        <v>0</v>
      </c>
      <c r="B67" t="s">
        <v>312</v>
      </c>
      <c r="C67" t="s">
        <v>340</v>
      </c>
      <c r="D67" t="s">
        <v>2</v>
      </c>
      <c r="E67" t="s">
        <v>340</v>
      </c>
      <c r="F67" t="s">
        <v>13</v>
      </c>
      <c r="G67" t="s">
        <v>525</v>
      </c>
    </row>
    <row r="68" spans="1:7" x14ac:dyDescent="0.3">
      <c r="A68">
        <v>0</v>
      </c>
      <c r="B68" t="s">
        <v>312</v>
      </c>
      <c r="C68" t="s">
        <v>368</v>
      </c>
      <c r="D68" t="s">
        <v>2</v>
      </c>
      <c r="E68" t="s">
        <v>368</v>
      </c>
      <c r="F68" t="s">
        <v>13</v>
      </c>
      <c r="G68" t="s">
        <v>525</v>
      </c>
    </row>
    <row r="69" spans="1:7" x14ac:dyDescent="0.3">
      <c r="A69">
        <v>0</v>
      </c>
      <c r="B69" t="s">
        <v>312</v>
      </c>
      <c r="C69" t="s">
        <v>328</v>
      </c>
      <c r="D69" t="s">
        <v>2</v>
      </c>
      <c r="E69" t="s">
        <v>328</v>
      </c>
      <c r="F69" t="s">
        <v>13</v>
      </c>
      <c r="G69" t="s">
        <v>525</v>
      </c>
    </row>
    <row r="70" spans="1:7" x14ac:dyDescent="0.3">
      <c r="A70">
        <v>0</v>
      </c>
      <c r="B70" t="s">
        <v>312</v>
      </c>
      <c r="C70" t="s">
        <v>479</v>
      </c>
      <c r="D70" t="s">
        <v>2</v>
      </c>
      <c r="E70" t="s">
        <v>479</v>
      </c>
      <c r="F70" t="s">
        <v>13</v>
      </c>
      <c r="G70" t="s">
        <v>525</v>
      </c>
    </row>
    <row r="71" spans="1:7" x14ac:dyDescent="0.3">
      <c r="A71">
        <v>0</v>
      </c>
      <c r="B71" t="s">
        <v>57</v>
      </c>
      <c r="C71" t="s">
        <v>116</v>
      </c>
      <c r="D71" t="s">
        <v>2</v>
      </c>
      <c r="E71" t="s">
        <v>116</v>
      </c>
      <c r="F71" t="s">
        <v>13</v>
      </c>
      <c r="G71" t="s">
        <v>525</v>
      </c>
    </row>
    <row r="72" spans="1:7" x14ac:dyDescent="0.3">
      <c r="A72">
        <v>0</v>
      </c>
      <c r="B72" t="s">
        <v>312</v>
      </c>
      <c r="C72" t="s">
        <v>352</v>
      </c>
      <c r="D72" t="s">
        <v>2</v>
      </c>
      <c r="E72" t="s">
        <v>352</v>
      </c>
      <c r="F72" t="s">
        <v>13</v>
      </c>
      <c r="G72" t="s">
        <v>525</v>
      </c>
    </row>
    <row r="73" spans="1:7" x14ac:dyDescent="0.3">
      <c r="A73">
        <v>0</v>
      </c>
      <c r="B73" t="s">
        <v>312</v>
      </c>
      <c r="C73" t="s">
        <v>417</v>
      </c>
      <c r="D73" t="s">
        <v>2</v>
      </c>
      <c r="E73" t="s">
        <v>417</v>
      </c>
      <c r="F73" t="s">
        <v>13</v>
      </c>
      <c r="G73" t="s">
        <v>525</v>
      </c>
    </row>
    <row r="74" spans="1:7" x14ac:dyDescent="0.3">
      <c r="A74">
        <v>0</v>
      </c>
      <c r="B74" t="s">
        <v>312</v>
      </c>
      <c r="C74" t="s">
        <v>447</v>
      </c>
      <c r="D74" t="s">
        <v>2</v>
      </c>
      <c r="E74" t="s">
        <v>447</v>
      </c>
      <c r="F74" t="s">
        <v>13</v>
      </c>
      <c r="G74" t="s">
        <v>525</v>
      </c>
    </row>
    <row r="75" spans="1:7" x14ac:dyDescent="0.3">
      <c r="A75">
        <v>0</v>
      </c>
      <c r="B75" t="s">
        <v>319</v>
      </c>
      <c r="C75" t="s">
        <v>329</v>
      </c>
      <c r="D75" t="s">
        <v>2</v>
      </c>
      <c r="E75" t="s">
        <v>329</v>
      </c>
      <c r="F75" t="s">
        <v>13</v>
      </c>
      <c r="G75" t="s">
        <v>525</v>
      </c>
    </row>
    <row r="76" spans="1:7" x14ac:dyDescent="0.3">
      <c r="A76">
        <v>0</v>
      </c>
      <c r="B76" t="s">
        <v>312</v>
      </c>
      <c r="C76" t="s">
        <v>252</v>
      </c>
      <c r="D76" t="s">
        <v>2</v>
      </c>
      <c r="E76" t="s">
        <v>252</v>
      </c>
      <c r="F76" t="s">
        <v>13</v>
      </c>
      <c r="G76" t="s">
        <v>525</v>
      </c>
    </row>
    <row r="77" spans="1:7" x14ac:dyDescent="0.3">
      <c r="A77">
        <v>0</v>
      </c>
      <c r="B77" t="s">
        <v>312</v>
      </c>
      <c r="C77" t="s">
        <v>317</v>
      </c>
      <c r="D77" t="s">
        <v>2</v>
      </c>
      <c r="E77" t="s">
        <v>317</v>
      </c>
      <c r="F77" t="s">
        <v>13</v>
      </c>
      <c r="G77" t="s">
        <v>525</v>
      </c>
    </row>
    <row r="78" spans="1:7" x14ac:dyDescent="0.3">
      <c r="A78">
        <v>0</v>
      </c>
      <c r="B78" t="s">
        <v>312</v>
      </c>
      <c r="C78" t="s">
        <v>436</v>
      </c>
      <c r="D78" t="s">
        <v>2</v>
      </c>
      <c r="E78" t="s">
        <v>436</v>
      </c>
      <c r="F78" t="s">
        <v>13</v>
      </c>
      <c r="G78" t="s">
        <v>525</v>
      </c>
    </row>
    <row r="79" spans="1:7" x14ac:dyDescent="0.3">
      <c r="A79">
        <v>0</v>
      </c>
      <c r="B79" t="s">
        <v>319</v>
      </c>
      <c r="C79" t="s">
        <v>490</v>
      </c>
      <c r="D79" t="s">
        <v>2</v>
      </c>
      <c r="E79" t="s">
        <v>490</v>
      </c>
      <c r="F79" t="s">
        <v>13</v>
      </c>
      <c r="G79" t="s">
        <v>525</v>
      </c>
    </row>
    <row r="80" spans="1:7" x14ac:dyDescent="0.3">
      <c r="A80">
        <v>0</v>
      </c>
      <c r="B80" t="s">
        <v>312</v>
      </c>
      <c r="C80" t="s">
        <v>391</v>
      </c>
      <c r="D80" t="s">
        <v>2</v>
      </c>
      <c r="E80" t="s">
        <v>391</v>
      </c>
      <c r="F80" t="s">
        <v>13</v>
      </c>
      <c r="G80" t="s">
        <v>525</v>
      </c>
    </row>
    <row r="81" spans="1:7" x14ac:dyDescent="0.3">
      <c r="A81">
        <v>0</v>
      </c>
      <c r="B81" t="s">
        <v>312</v>
      </c>
      <c r="C81" t="s">
        <v>235</v>
      </c>
      <c r="D81" t="s">
        <v>2</v>
      </c>
      <c r="E81" t="s">
        <v>235</v>
      </c>
      <c r="F81" t="s">
        <v>13</v>
      </c>
      <c r="G81" t="s">
        <v>525</v>
      </c>
    </row>
    <row r="82" spans="1:7" x14ac:dyDescent="0.3">
      <c r="A82">
        <v>0</v>
      </c>
      <c r="B82" t="s">
        <v>312</v>
      </c>
      <c r="C82" t="s">
        <v>493</v>
      </c>
      <c r="D82" t="s">
        <v>2</v>
      </c>
      <c r="E82" t="s">
        <v>493</v>
      </c>
      <c r="F82" t="s">
        <v>13</v>
      </c>
      <c r="G82" t="s">
        <v>525</v>
      </c>
    </row>
    <row r="83" spans="1:7" x14ac:dyDescent="0.3">
      <c r="A83">
        <v>0</v>
      </c>
      <c r="B83" t="s">
        <v>312</v>
      </c>
      <c r="C83" t="s">
        <v>335</v>
      </c>
      <c r="D83" t="s">
        <v>2</v>
      </c>
      <c r="E83" t="s">
        <v>335</v>
      </c>
      <c r="F83" t="s">
        <v>13</v>
      </c>
      <c r="G83" t="s">
        <v>525</v>
      </c>
    </row>
    <row r="84" spans="1:7" x14ac:dyDescent="0.3">
      <c r="A84">
        <v>0</v>
      </c>
      <c r="B84" t="s">
        <v>312</v>
      </c>
      <c r="C84" t="s">
        <v>354</v>
      </c>
      <c r="D84" t="s">
        <v>2</v>
      </c>
      <c r="E84" t="s">
        <v>354</v>
      </c>
      <c r="F84" t="s">
        <v>13</v>
      </c>
      <c r="G84" t="s">
        <v>525</v>
      </c>
    </row>
    <row r="85" spans="1:7" x14ac:dyDescent="0.3">
      <c r="A85">
        <v>0</v>
      </c>
      <c r="B85" t="s">
        <v>319</v>
      </c>
      <c r="C85" t="s">
        <v>360</v>
      </c>
      <c r="D85" t="s">
        <v>2</v>
      </c>
      <c r="E85" t="s">
        <v>360</v>
      </c>
      <c r="F85" t="s">
        <v>13</v>
      </c>
      <c r="G85" t="s">
        <v>525</v>
      </c>
    </row>
    <row r="86" spans="1:7" x14ac:dyDescent="0.3">
      <c r="A86">
        <v>0</v>
      </c>
      <c r="B86" t="s">
        <v>314</v>
      </c>
      <c r="C86" t="s">
        <v>356</v>
      </c>
      <c r="D86" t="s">
        <v>2</v>
      </c>
      <c r="E86" t="s">
        <v>356</v>
      </c>
      <c r="F86" t="s">
        <v>13</v>
      </c>
      <c r="G86" t="s">
        <v>525</v>
      </c>
    </row>
    <row r="87" spans="1:7" x14ac:dyDescent="0.3">
      <c r="A87">
        <v>0</v>
      </c>
      <c r="B87" t="s">
        <v>312</v>
      </c>
      <c r="C87" t="s">
        <v>405</v>
      </c>
      <c r="D87" t="s">
        <v>2</v>
      </c>
      <c r="E87" t="s">
        <v>405</v>
      </c>
      <c r="F87" t="s">
        <v>13</v>
      </c>
      <c r="G87" t="s">
        <v>525</v>
      </c>
    </row>
    <row r="88" spans="1:7" x14ac:dyDescent="0.3">
      <c r="A88">
        <v>0</v>
      </c>
      <c r="B88" t="s">
        <v>312</v>
      </c>
      <c r="C88" t="s">
        <v>471</v>
      </c>
      <c r="D88" t="s">
        <v>2</v>
      </c>
      <c r="E88" t="s">
        <v>471</v>
      </c>
      <c r="F88" t="s">
        <v>13</v>
      </c>
      <c r="G88" t="s">
        <v>525</v>
      </c>
    </row>
    <row r="89" spans="1:7" x14ac:dyDescent="0.3">
      <c r="A89">
        <v>0</v>
      </c>
      <c r="B89" t="s">
        <v>319</v>
      </c>
      <c r="C89" t="s">
        <v>421</v>
      </c>
      <c r="D89" t="s">
        <v>2</v>
      </c>
      <c r="E89" t="s">
        <v>421</v>
      </c>
      <c r="F89" t="s">
        <v>13</v>
      </c>
      <c r="G89" t="s">
        <v>525</v>
      </c>
    </row>
    <row r="90" spans="1:7" x14ac:dyDescent="0.3">
      <c r="A90">
        <v>0</v>
      </c>
      <c r="B90" t="s">
        <v>312</v>
      </c>
      <c r="C90" t="s">
        <v>321</v>
      </c>
      <c r="D90" t="s">
        <v>2</v>
      </c>
      <c r="E90" t="s">
        <v>321</v>
      </c>
      <c r="F90" t="s">
        <v>13</v>
      </c>
      <c r="G90" t="s">
        <v>525</v>
      </c>
    </row>
    <row r="91" spans="1:7" x14ac:dyDescent="0.3">
      <c r="A91">
        <v>0</v>
      </c>
      <c r="B91" t="s">
        <v>105</v>
      </c>
      <c r="C91" t="s">
        <v>113</v>
      </c>
      <c r="D91" t="s">
        <v>2</v>
      </c>
      <c r="E91" t="s">
        <v>113</v>
      </c>
      <c r="F91" t="s">
        <v>13</v>
      </c>
      <c r="G91" t="s">
        <v>525</v>
      </c>
    </row>
    <row r="92" spans="1:7" x14ac:dyDescent="0.3">
      <c r="A92">
        <v>0</v>
      </c>
      <c r="B92" t="s">
        <v>312</v>
      </c>
      <c r="C92" t="s">
        <v>348</v>
      </c>
      <c r="D92" t="s">
        <v>2</v>
      </c>
      <c r="E92" t="s">
        <v>348</v>
      </c>
      <c r="F92" t="s">
        <v>13</v>
      </c>
      <c r="G92" t="s">
        <v>525</v>
      </c>
    </row>
    <row r="93" spans="1:7" x14ac:dyDescent="0.3">
      <c r="A93">
        <v>0</v>
      </c>
      <c r="B93" t="s">
        <v>105</v>
      </c>
      <c r="C93" t="s">
        <v>469</v>
      </c>
      <c r="D93" t="s">
        <v>2</v>
      </c>
      <c r="E93" t="s">
        <v>469</v>
      </c>
      <c r="F93" t="s">
        <v>13</v>
      </c>
      <c r="G93" t="s">
        <v>525</v>
      </c>
    </row>
    <row r="94" spans="1:7" x14ac:dyDescent="0.3">
      <c r="A94">
        <v>0</v>
      </c>
      <c r="B94" t="s">
        <v>314</v>
      </c>
      <c r="C94" t="s">
        <v>481</v>
      </c>
      <c r="D94" t="s">
        <v>2</v>
      </c>
      <c r="E94" t="s">
        <v>481</v>
      </c>
      <c r="F94" t="s">
        <v>13</v>
      </c>
      <c r="G94" t="s">
        <v>525</v>
      </c>
    </row>
    <row r="95" spans="1:7" x14ac:dyDescent="0.3">
      <c r="A95">
        <v>0</v>
      </c>
      <c r="B95" t="s">
        <v>312</v>
      </c>
      <c r="C95" t="s">
        <v>398</v>
      </c>
      <c r="D95" t="s">
        <v>2</v>
      </c>
      <c r="E95" t="s">
        <v>398</v>
      </c>
      <c r="F95" t="s">
        <v>13</v>
      </c>
      <c r="G95" t="s">
        <v>525</v>
      </c>
    </row>
    <row r="96" spans="1:7" x14ac:dyDescent="0.3">
      <c r="A96">
        <v>0</v>
      </c>
      <c r="B96" t="s">
        <v>314</v>
      </c>
      <c r="C96" t="s">
        <v>342</v>
      </c>
      <c r="D96" t="s">
        <v>2</v>
      </c>
      <c r="E96" t="s">
        <v>342</v>
      </c>
      <c r="F96" t="s">
        <v>13</v>
      </c>
      <c r="G96" t="s">
        <v>525</v>
      </c>
    </row>
    <row r="97" spans="1:7" x14ac:dyDescent="0.3">
      <c r="A97">
        <v>0</v>
      </c>
      <c r="B97" t="s">
        <v>312</v>
      </c>
      <c r="C97" t="s">
        <v>322</v>
      </c>
      <c r="D97" t="s">
        <v>2</v>
      </c>
      <c r="E97" t="s">
        <v>322</v>
      </c>
      <c r="F97" t="s">
        <v>13</v>
      </c>
      <c r="G97" t="s">
        <v>525</v>
      </c>
    </row>
    <row r="98" spans="1:7" x14ac:dyDescent="0.3">
      <c r="A98">
        <v>0</v>
      </c>
      <c r="B98" t="s">
        <v>314</v>
      </c>
      <c r="C98" t="s">
        <v>409</v>
      </c>
      <c r="D98" t="s">
        <v>2</v>
      </c>
      <c r="E98" t="s">
        <v>409</v>
      </c>
      <c r="F98" t="s">
        <v>13</v>
      </c>
      <c r="G98" t="s">
        <v>525</v>
      </c>
    </row>
    <row r="99" spans="1:7" x14ac:dyDescent="0.3">
      <c r="A99">
        <v>0</v>
      </c>
      <c r="B99" t="s">
        <v>314</v>
      </c>
      <c r="C99" t="s">
        <v>480</v>
      </c>
      <c r="D99" t="s">
        <v>2</v>
      </c>
      <c r="E99" t="s">
        <v>480</v>
      </c>
      <c r="F99" t="s">
        <v>13</v>
      </c>
      <c r="G99" t="s">
        <v>525</v>
      </c>
    </row>
    <row r="100" spans="1:7" x14ac:dyDescent="0.3">
      <c r="A100">
        <v>0</v>
      </c>
      <c r="B100" t="s">
        <v>105</v>
      </c>
      <c r="C100" t="s">
        <v>121</v>
      </c>
      <c r="D100" t="s">
        <v>2</v>
      </c>
      <c r="E100" t="s">
        <v>121</v>
      </c>
      <c r="F100" t="s">
        <v>13</v>
      </c>
      <c r="G100" t="s">
        <v>525</v>
      </c>
    </row>
    <row r="101" spans="1:7" x14ac:dyDescent="0.3">
      <c r="A101">
        <v>0</v>
      </c>
      <c r="B101" t="s">
        <v>312</v>
      </c>
      <c r="C101" t="s">
        <v>359</v>
      </c>
      <c r="D101" t="s">
        <v>2</v>
      </c>
      <c r="E101" t="s">
        <v>359</v>
      </c>
      <c r="F101" t="s">
        <v>13</v>
      </c>
      <c r="G101" t="s">
        <v>525</v>
      </c>
    </row>
    <row r="102" spans="1:7" x14ac:dyDescent="0.3">
      <c r="A102">
        <v>0</v>
      </c>
      <c r="B102" t="s">
        <v>319</v>
      </c>
      <c r="C102" t="s">
        <v>468</v>
      </c>
      <c r="D102" t="s">
        <v>2</v>
      </c>
      <c r="E102" t="s">
        <v>468</v>
      </c>
      <c r="F102" t="s">
        <v>13</v>
      </c>
      <c r="G102" t="s">
        <v>525</v>
      </c>
    </row>
    <row r="103" spans="1:7" x14ac:dyDescent="0.3">
      <c r="A103">
        <v>0</v>
      </c>
      <c r="B103" t="s">
        <v>319</v>
      </c>
      <c r="C103" t="s">
        <v>458</v>
      </c>
      <c r="D103" t="s">
        <v>2</v>
      </c>
      <c r="E103" t="s">
        <v>458</v>
      </c>
      <c r="F103" t="s">
        <v>13</v>
      </c>
      <c r="G103" t="s">
        <v>525</v>
      </c>
    </row>
    <row r="104" spans="1:7" x14ac:dyDescent="0.3">
      <c r="A104">
        <v>0</v>
      </c>
      <c r="B104" t="s">
        <v>312</v>
      </c>
      <c r="C104" t="s">
        <v>370</v>
      </c>
      <c r="D104" t="s">
        <v>2</v>
      </c>
      <c r="E104" t="s">
        <v>370</v>
      </c>
      <c r="F104" t="s">
        <v>13</v>
      </c>
      <c r="G104" t="s">
        <v>525</v>
      </c>
    </row>
    <row r="105" spans="1:7" x14ac:dyDescent="0.3">
      <c r="A105">
        <v>0</v>
      </c>
      <c r="B105" t="s">
        <v>57</v>
      </c>
      <c r="C105" t="s">
        <v>114</v>
      </c>
      <c r="D105" t="s">
        <v>2</v>
      </c>
      <c r="E105" t="s">
        <v>114</v>
      </c>
      <c r="F105" t="s">
        <v>13</v>
      </c>
      <c r="G105" t="s">
        <v>525</v>
      </c>
    </row>
    <row r="106" spans="1:7" x14ac:dyDescent="0.3">
      <c r="A106">
        <v>0</v>
      </c>
      <c r="B106" t="s">
        <v>319</v>
      </c>
      <c r="C106" t="s">
        <v>404</v>
      </c>
      <c r="D106" t="s">
        <v>2</v>
      </c>
      <c r="E106" t="s">
        <v>404</v>
      </c>
      <c r="F106" t="s">
        <v>13</v>
      </c>
      <c r="G106" t="s">
        <v>525</v>
      </c>
    </row>
    <row r="107" spans="1:7" x14ac:dyDescent="0.3">
      <c r="A107">
        <v>0</v>
      </c>
      <c r="B107" t="s">
        <v>312</v>
      </c>
      <c r="C107" t="s">
        <v>369</v>
      </c>
      <c r="D107" t="s">
        <v>2</v>
      </c>
      <c r="E107" t="s">
        <v>369</v>
      </c>
      <c r="F107" t="s">
        <v>13</v>
      </c>
      <c r="G107" t="s">
        <v>525</v>
      </c>
    </row>
    <row r="108" spans="1:7" x14ac:dyDescent="0.3">
      <c r="A108">
        <v>0</v>
      </c>
      <c r="B108" t="s">
        <v>57</v>
      </c>
      <c r="C108" t="s">
        <v>122</v>
      </c>
      <c r="D108" t="s">
        <v>2</v>
      </c>
      <c r="E108" t="s">
        <v>122</v>
      </c>
      <c r="F108" t="s">
        <v>13</v>
      </c>
      <c r="G108" t="s">
        <v>525</v>
      </c>
    </row>
    <row r="109" spans="1:7" x14ac:dyDescent="0.3">
      <c r="A109">
        <v>0</v>
      </c>
      <c r="B109" t="s">
        <v>319</v>
      </c>
      <c r="C109" t="s">
        <v>390</v>
      </c>
      <c r="D109" t="s">
        <v>2</v>
      </c>
      <c r="E109" t="s">
        <v>390</v>
      </c>
      <c r="F109" t="s">
        <v>13</v>
      </c>
      <c r="G109" t="s">
        <v>525</v>
      </c>
    </row>
    <row r="110" spans="1:7" x14ac:dyDescent="0.3">
      <c r="A110">
        <v>0</v>
      </c>
      <c r="B110" t="s">
        <v>312</v>
      </c>
      <c r="C110" t="s">
        <v>492</v>
      </c>
      <c r="D110" t="s">
        <v>2</v>
      </c>
      <c r="E110" t="s">
        <v>492</v>
      </c>
      <c r="F110" t="s">
        <v>13</v>
      </c>
      <c r="G110" t="s">
        <v>525</v>
      </c>
    </row>
    <row r="111" spans="1:7" x14ac:dyDescent="0.3">
      <c r="A111">
        <v>0</v>
      </c>
      <c r="B111" t="s">
        <v>312</v>
      </c>
      <c r="C111" t="s">
        <v>345</v>
      </c>
      <c r="D111" t="s">
        <v>2</v>
      </c>
      <c r="E111" t="s">
        <v>345</v>
      </c>
      <c r="F111" t="s">
        <v>13</v>
      </c>
      <c r="G111" t="s">
        <v>525</v>
      </c>
    </row>
    <row r="112" spans="1:7" x14ac:dyDescent="0.3">
      <c r="A112">
        <v>0</v>
      </c>
      <c r="B112" t="s">
        <v>314</v>
      </c>
      <c r="C112" t="s">
        <v>374</v>
      </c>
      <c r="D112" t="s">
        <v>2</v>
      </c>
      <c r="E112" t="s">
        <v>374</v>
      </c>
      <c r="F112" t="s">
        <v>13</v>
      </c>
      <c r="G112" t="s">
        <v>525</v>
      </c>
    </row>
    <row r="113" spans="1:7" x14ac:dyDescent="0.3">
      <c r="A113">
        <v>0</v>
      </c>
      <c r="B113" t="s">
        <v>105</v>
      </c>
      <c r="C113" t="s">
        <v>124</v>
      </c>
      <c r="D113" t="s">
        <v>2</v>
      </c>
      <c r="E113" t="s">
        <v>124</v>
      </c>
      <c r="F113" t="s">
        <v>13</v>
      </c>
      <c r="G113" t="s">
        <v>525</v>
      </c>
    </row>
    <row r="114" spans="1:7" x14ac:dyDescent="0.3">
      <c r="A114">
        <v>0</v>
      </c>
      <c r="B114" t="s">
        <v>312</v>
      </c>
      <c r="C114" t="s">
        <v>440</v>
      </c>
      <c r="D114" t="s">
        <v>2</v>
      </c>
      <c r="E114" t="s">
        <v>440</v>
      </c>
      <c r="F114" t="s">
        <v>13</v>
      </c>
      <c r="G114" t="s">
        <v>525</v>
      </c>
    </row>
    <row r="115" spans="1:7" x14ac:dyDescent="0.3">
      <c r="A115">
        <v>0</v>
      </c>
      <c r="B115" t="s">
        <v>312</v>
      </c>
      <c r="C115" t="s">
        <v>316</v>
      </c>
      <c r="D115" t="s">
        <v>2</v>
      </c>
      <c r="E115" t="s">
        <v>316</v>
      </c>
      <c r="F115" t="s">
        <v>13</v>
      </c>
      <c r="G115" t="s">
        <v>525</v>
      </c>
    </row>
    <row r="116" spans="1:7" x14ac:dyDescent="0.3">
      <c r="A116">
        <v>0</v>
      </c>
      <c r="B116" t="s">
        <v>312</v>
      </c>
      <c r="C116" t="s">
        <v>427</v>
      </c>
      <c r="D116" t="s">
        <v>2</v>
      </c>
      <c r="E116" t="s">
        <v>427</v>
      </c>
      <c r="F116" t="s">
        <v>13</v>
      </c>
      <c r="G116" t="s">
        <v>525</v>
      </c>
    </row>
    <row r="117" spans="1:7" x14ac:dyDescent="0.3">
      <c r="A117">
        <v>0</v>
      </c>
      <c r="B117" t="s">
        <v>312</v>
      </c>
      <c r="C117" t="s">
        <v>332</v>
      </c>
      <c r="D117" t="s">
        <v>2</v>
      </c>
      <c r="E117" t="s">
        <v>332</v>
      </c>
      <c r="F117" t="s">
        <v>13</v>
      </c>
      <c r="G117" t="s">
        <v>525</v>
      </c>
    </row>
    <row r="118" spans="1:7" x14ac:dyDescent="0.3">
      <c r="A118">
        <v>0</v>
      </c>
      <c r="B118" t="s">
        <v>312</v>
      </c>
      <c r="C118" t="s">
        <v>336</v>
      </c>
      <c r="D118" t="s">
        <v>2</v>
      </c>
      <c r="E118" t="s">
        <v>336</v>
      </c>
      <c r="F118" t="s">
        <v>13</v>
      </c>
      <c r="G118" t="s">
        <v>525</v>
      </c>
    </row>
    <row r="119" spans="1:7" x14ac:dyDescent="0.3">
      <c r="A119">
        <v>0</v>
      </c>
      <c r="B119" t="s">
        <v>314</v>
      </c>
      <c r="C119" t="s">
        <v>393</v>
      </c>
      <c r="D119" t="s">
        <v>2</v>
      </c>
      <c r="E119" t="s">
        <v>393</v>
      </c>
      <c r="F119" t="s">
        <v>13</v>
      </c>
      <c r="G119" t="s">
        <v>525</v>
      </c>
    </row>
    <row r="120" spans="1:7" x14ac:dyDescent="0.3">
      <c r="A120">
        <v>0</v>
      </c>
      <c r="B120" t="s">
        <v>312</v>
      </c>
      <c r="C120" t="s">
        <v>339</v>
      </c>
      <c r="D120" t="s">
        <v>2</v>
      </c>
      <c r="E120" t="s">
        <v>339</v>
      </c>
      <c r="F120" t="s">
        <v>13</v>
      </c>
      <c r="G120" t="s">
        <v>525</v>
      </c>
    </row>
    <row r="121" spans="1:7" x14ac:dyDescent="0.3">
      <c r="A121">
        <v>0</v>
      </c>
      <c r="B121" t="s">
        <v>312</v>
      </c>
      <c r="C121" t="s">
        <v>400</v>
      </c>
      <c r="D121" t="s">
        <v>2</v>
      </c>
      <c r="E121" t="s">
        <v>400</v>
      </c>
      <c r="F121" t="s">
        <v>13</v>
      </c>
      <c r="G121" t="s">
        <v>525</v>
      </c>
    </row>
    <row r="122" spans="1:7" x14ac:dyDescent="0.3">
      <c r="A122">
        <v>0</v>
      </c>
      <c r="B122" t="s">
        <v>312</v>
      </c>
      <c r="C122" t="s">
        <v>380</v>
      </c>
      <c r="D122" t="s">
        <v>2</v>
      </c>
      <c r="E122" t="s">
        <v>380</v>
      </c>
      <c r="F122" t="s">
        <v>13</v>
      </c>
      <c r="G122" t="s">
        <v>525</v>
      </c>
    </row>
    <row r="123" spans="1:7" x14ac:dyDescent="0.3">
      <c r="A123">
        <v>0</v>
      </c>
      <c r="B123" t="s">
        <v>312</v>
      </c>
      <c r="C123" t="s">
        <v>442</v>
      </c>
      <c r="D123" t="s">
        <v>2</v>
      </c>
      <c r="E123" t="s">
        <v>442</v>
      </c>
      <c r="F123" t="s">
        <v>13</v>
      </c>
      <c r="G123" t="s">
        <v>525</v>
      </c>
    </row>
    <row r="124" spans="1:7" x14ac:dyDescent="0.3">
      <c r="A124">
        <v>0</v>
      </c>
      <c r="B124" t="s">
        <v>314</v>
      </c>
      <c r="C124" t="s">
        <v>349</v>
      </c>
      <c r="D124" t="s">
        <v>2</v>
      </c>
      <c r="E124" t="s">
        <v>349</v>
      </c>
      <c r="F124" t="s">
        <v>13</v>
      </c>
      <c r="G124" t="s">
        <v>525</v>
      </c>
    </row>
    <row r="125" spans="1:7" x14ac:dyDescent="0.3">
      <c r="A125">
        <v>0</v>
      </c>
      <c r="B125" t="s">
        <v>57</v>
      </c>
      <c r="C125" t="s">
        <v>470</v>
      </c>
      <c r="D125" t="s">
        <v>2</v>
      </c>
      <c r="E125" t="s">
        <v>470</v>
      </c>
      <c r="F125" t="s">
        <v>13</v>
      </c>
      <c r="G125" t="s">
        <v>525</v>
      </c>
    </row>
    <row r="126" spans="1:7" x14ac:dyDescent="0.3">
      <c r="A126">
        <v>0</v>
      </c>
      <c r="B126" t="s">
        <v>319</v>
      </c>
      <c r="C126" t="s">
        <v>463</v>
      </c>
      <c r="D126" t="s">
        <v>2</v>
      </c>
      <c r="E126" t="s">
        <v>463</v>
      </c>
      <c r="F126" t="s">
        <v>13</v>
      </c>
      <c r="G126" t="s">
        <v>525</v>
      </c>
    </row>
    <row r="127" spans="1:7" x14ac:dyDescent="0.3">
      <c r="A127">
        <v>0</v>
      </c>
      <c r="B127" t="s">
        <v>314</v>
      </c>
      <c r="C127" t="s">
        <v>343</v>
      </c>
      <c r="D127" t="s">
        <v>2</v>
      </c>
      <c r="E127" t="s">
        <v>343</v>
      </c>
      <c r="F127" t="s">
        <v>13</v>
      </c>
      <c r="G127" t="s">
        <v>525</v>
      </c>
    </row>
    <row r="128" spans="1:7" x14ac:dyDescent="0.3">
      <c r="A128">
        <v>0</v>
      </c>
      <c r="B128" t="s">
        <v>312</v>
      </c>
      <c r="C128" t="s">
        <v>371</v>
      </c>
      <c r="D128" t="s">
        <v>2</v>
      </c>
      <c r="E128" t="s">
        <v>371</v>
      </c>
      <c r="F128" t="s">
        <v>13</v>
      </c>
      <c r="G128" t="s">
        <v>525</v>
      </c>
    </row>
    <row r="129" spans="1:7" x14ac:dyDescent="0.3">
      <c r="A129">
        <v>0</v>
      </c>
      <c r="B129" t="s">
        <v>312</v>
      </c>
      <c r="C129" t="s">
        <v>366</v>
      </c>
      <c r="D129" t="s">
        <v>2</v>
      </c>
      <c r="E129" t="s">
        <v>366</v>
      </c>
      <c r="F129" t="s">
        <v>13</v>
      </c>
      <c r="G129" t="s">
        <v>525</v>
      </c>
    </row>
    <row r="130" spans="1:7" x14ac:dyDescent="0.3">
      <c r="A130">
        <v>0</v>
      </c>
      <c r="B130" t="s">
        <v>312</v>
      </c>
      <c r="C130" t="s">
        <v>384</v>
      </c>
      <c r="D130" t="s">
        <v>2</v>
      </c>
      <c r="E130" t="s">
        <v>384</v>
      </c>
      <c r="F130" t="s">
        <v>13</v>
      </c>
      <c r="G130" t="s">
        <v>525</v>
      </c>
    </row>
    <row r="131" spans="1:7" x14ac:dyDescent="0.3">
      <c r="A131">
        <v>0</v>
      </c>
      <c r="B131" t="s">
        <v>319</v>
      </c>
      <c r="C131" t="s">
        <v>464</v>
      </c>
      <c r="D131" t="s">
        <v>2</v>
      </c>
      <c r="E131" t="s">
        <v>464</v>
      </c>
      <c r="F131" t="s">
        <v>13</v>
      </c>
      <c r="G131" t="s">
        <v>525</v>
      </c>
    </row>
    <row r="132" spans="1:7" x14ac:dyDescent="0.3">
      <c r="A132">
        <v>0</v>
      </c>
      <c r="B132" t="s">
        <v>312</v>
      </c>
      <c r="C132" t="s">
        <v>323</v>
      </c>
      <c r="D132" t="s">
        <v>2</v>
      </c>
      <c r="E132" t="s">
        <v>323</v>
      </c>
      <c r="F132" t="s">
        <v>13</v>
      </c>
      <c r="G132" t="s">
        <v>525</v>
      </c>
    </row>
    <row r="133" spans="1:7" x14ac:dyDescent="0.3">
      <c r="A133">
        <v>0</v>
      </c>
      <c r="B133" t="s">
        <v>314</v>
      </c>
      <c r="C133" t="s">
        <v>414</v>
      </c>
      <c r="D133" t="s">
        <v>2</v>
      </c>
      <c r="E133" t="s">
        <v>414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261</v>
      </c>
      <c r="D134" t="s">
        <v>2</v>
      </c>
      <c r="E134" t="s">
        <v>261</v>
      </c>
      <c r="F134" t="s">
        <v>13</v>
      </c>
      <c r="G134" t="s">
        <v>525</v>
      </c>
    </row>
    <row r="135" spans="1:7" x14ac:dyDescent="0.3">
      <c r="A135">
        <v>0</v>
      </c>
      <c r="B135" t="s">
        <v>319</v>
      </c>
      <c r="C135" t="s">
        <v>364</v>
      </c>
      <c r="D135" t="s">
        <v>2</v>
      </c>
      <c r="E135" t="s">
        <v>364</v>
      </c>
      <c r="F135" t="s">
        <v>13</v>
      </c>
      <c r="G135" t="s">
        <v>525</v>
      </c>
    </row>
    <row r="136" spans="1:7" x14ac:dyDescent="0.3">
      <c r="A136">
        <v>0</v>
      </c>
      <c r="B136" t="s">
        <v>312</v>
      </c>
      <c r="C136" t="s">
        <v>373</v>
      </c>
      <c r="D136" t="s">
        <v>2</v>
      </c>
      <c r="E136" t="s">
        <v>373</v>
      </c>
      <c r="F136" t="s">
        <v>13</v>
      </c>
      <c r="G136" t="s">
        <v>525</v>
      </c>
    </row>
    <row r="137" spans="1:7" x14ac:dyDescent="0.3">
      <c r="A137">
        <v>0</v>
      </c>
      <c r="B137" t="s">
        <v>312</v>
      </c>
      <c r="C137" t="s">
        <v>482</v>
      </c>
      <c r="D137" t="s">
        <v>2</v>
      </c>
      <c r="E137" t="s">
        <v>482</v>
      </c>
      <c r="F137" t="s">
        <v>13</v>
      </c>
      <c r="G137" t="s">
        <v>525</v>
      </c>
    </row>
    <row r="138" spans="1:7" x14ac:dyDescent="0.3">
      <c r="A138">
        <v>0</v>
      </c>
      <c r="B138" t="s">
        <v>312</v>
      </c>
      <c r="C138" t="s">
        <v>412</v>
      </c>
      <c r="D138" t="s">
        <v>2</v>
      </c>
      <c r="E138" t="s">
        <v>412</v>
      </c>
      <c r="F138" t="s">
        <v>13</v>
      </c>
      <c r="G138" t="s">
        <v>525</v>
      </c>
    </row>
    <row r="139" spans="1:7" x14ac:dyDescent="0.3">
      <c r="A139">
        <v>0</v>
      </c>
      <c r="B139" t="s">
        <v>312</v>
      </c>
      <c r="C139" t="s">
        <v>434</v>
      </c>
      <c r="D139" t="s">
        <v>2</v>
      </c>
      <c r="E139" t="s">
        <v>434</v>
      </c>
      <c r="F139" t="s">
        <v>13</v>
      </c>
      <c r="G139" t="s">
        <v>525</v>
      </c>
    </row>
    <row r="140" spans="1:7" x14ac:dyDescent="0.3">
      <c r="A140">
        <v>0</v>
      </c>
      <c r="B140" t="s">
        <v>314</v>
      </c>
      <c r="C140" t="s">
        <v>443</v>
      </c>
      <c r="D140" t="s">
        <v>2</v>
      </c>
      <c r="E140" t="s">
        <v>443</v>
      </c>
      <c r="F140" t="s">
        <v>13</v>
      </c>
      <c r="G140" t="s">
        <v>525</v>
      </c>
    </row>
    <row r="141" spans="1:7" x14ac:dyDescent="0.3">
      <c r="A141">
        <v>0</v>
      </c>
      <c r="B141" t="s">
        <v>319</v>
      </c>
      <c r="C141" t="s">
        <v>430</v>
      </c>
      <c r="D141" t="s">
        <v>2</v>
      </c>
      <c r="E141" t="s">
        <v>430</v>
      </c>
      <c r="F141" t="s">
        <v>13</v>
      </c>
      <c r="G141" t="s">
        <v>525</v>
      </c>
    </row>
    <row r="142" spans="1:7" x14ac:dyDescent="0.3">
      <c r="A142">
        <v>0</v>
      </c>
      <c r="B142" t="s">
        <v>314</v>
      </c>
      <c r="C142" t="s">
        <v>408</v>
      </c>
      <c r="D142" t="s">
        <v>2</v>
      </c>
      <c r="E142" t="s">
        <v>408</v>
      </c>
      <c r="F142" t="s">
        <v>13</v>
      </c>
      <c r="G142" t="s">
        <v>525</v>
      </c>
    </row>
    <row r="143" spans="1:7" x14ac:dyDescent="0.3">
      <c r="A143">
        <v>0</v>
      </c>
      <c r="B143" t="s">
        <v>312</v>
      </c>
      <c r="C143" t="s">
        <v>138</v>
      </c>
      <c r="D143" t="s">
        <v>2</v>
      </c>
      <c r="E143" t="s">
        <v>138</v>
      </c>
      <c r="F143" t="s">
        <v>13</v>
      </c>
      <c r="G143" t="s">
        <v>525</v>
      </c>
    </row>
    <row r="144" spans="1:7" x14ac:dyDescent="0.3">
      <c r="A144">
        <v>0</v>
      </c>
      <c r="B144" t="s">
        <v>312</v>
      </c>
      <c r="C144" t="s">
        <v>275</v>
      </c>
      <c r="D144" t="s">
        <v>2</v>
      </c>
      <c r="E144" t="s">
        <v>275</v>
      </c>
      <c r="F144" t="s">
        <v>13</v>
      </c>
      <c r="G144" t="s">
        <v>525</v>
      </c>
    </row>
    <row r="145" spans="1:7" x14ac:dyDescent="0.3">
      <c r="A145">
        <v>0</v>
      </c>
      <c r="B145" t="s">
        <v>312</v>
      </c>
      <c r="C145" t="s">
        <v>337</v>
      </c>
      <c r="D145" t="s">
        <v>2</v>
      </c>
      <c r="E145" t="s">
        <v>337</v>
      </c>
      <c r="F145" t="s">
        <v>13</v>
      </c>
      <c r="G145" t="s">
        <v>525</v>
      </c>
    </row>
    <row r="146" spans="1:7" x14ac:dyDescent="0.3">
      <c r="A146">
        <v>0</v>
      </c>
      <c r="B146" t="s">
        <v>312</v>
      </c>
      <c r="C146" t="s">
        <v>331</v>
      </c>
      <c r="D146" t="s">
        <v>2</v>
      </c>
      <c r="E146" t="s">
        <v>331</v>
      </c>
      <c r="F146" t="s">
        <v>13</v>
      </c>
      <c r="G146" t="s">
        <v>525</v>
      </c>
    </row>
    <row r="147" spans="1:7" x14ac:dyDescent="0.3">
      <c r="A147">
        <v>0</v>
      </c>
      <c r="B147" t="s">
        <v>312</v>
      </c>
      <c r="C147" t="s">
        <v>452</v>
      </c>
      <c r="D147" t="s">
        <v>2</v>
      </c>
      <c r="E147" t="s">
        <v>452</v>
      </c>
      <c r="F147" t="s">
        <v>13</v>
      </c>
      <c r="G147" t="s">
        <v>525</v>
      </c>
    </row>
    <row r="148" spans="1:7" x14ac:dyDescent="0.3">
      <c r="A148">
        <v>0</v>
      </c>
      <c r="B148" t="s">
        <v>319</v>
      </c>
      <c r="C148" t="s">
        <v>477</v>
      </c>
      <c r="D148" t="s">
        <v>2</v>
      </c>
      <c r="E148" t="s">
        <v>477</v>
      </c>
      <c r="F148" t="s">
        <v>13</v>
      </c>
      <c r="G148" t="s">
        <v>525</v>
      </c>
    </row>
    <row r="149" spans="1:7" x14ac:dyDescent="0.3">
      <c r="A149">
        <v>0</v>
      </c>
      <c r="B149" t="s">
        <v>312</v>
      </c>
      <c r="C149" t="s">
        <v>446</v>
      </c>
      <c r="D149" t="s">
        <v>2</v>
      </c>
      <c r="E149" t="s">
        <v>446</v>
      </c>
      <c r="F149" t="s">
        <v>13</v>
      </c>
      <c r="G149" t="s">
        <v>525</v>
      </c>
    </row>
    <row r="150" spans="1:7" x14ac:dyDescent="0.3">
      <c r="A150">
        <v>0</v>
      </c>
      <c r="B150" t="s">
        <v>319</v>
      </c>
      <c r="C150" t="s">
        <v>491</v>
      </c>
      <c r="D150" t="s">
        <v>2</v>
      </c>
      <c r="E150" t="s">
        <v>491</v>
      </c>
      <c r="F150" t="s">
        <v>13</v>
      </c>
      <c r="G150" t="s">
        <v>525</v>
      </c>
    </row>
    <row r="151" spans="1:7" x14ac:dyDescent="0.3">
      <c r="A151">
        <v>0</v>
      </c>
      <c r="B151" t="s">
        <v>312</v>
      </c>
      <c r="C151" t="s">
        <v>326</v>
      </c>
      <c r="D151" t="s">
        <v>2</v>
      </c>
      <c r="E151" t="s">
        <v>326</v>
      </c>
      <c r="F151" t="s">
        <v>13</v>
      </c>
      <c r="G151" t="s">
        <v>525</v>
      </c>
    </row>
    <row r="152" spans="1:7" x14ac:dyDescent="0.3">
      <c r="A152">
        <v>0</v>
      </c>
      <c r="B152" t="s">
        <v>319</v>
      </c>
      <c r="C152" t="s">
        <v>415</v>
      </c>
      <c r="D152" t="s">
        <v>2</v>
      </c>
      <c r="E152" t="s">
        <v>415</v>
      </c>
      <c r="F152" t="s">
        <v>13</v>
      </c>
      <c r="G152" t="s">
        <v>525</v>
      </c>
    </row>
    <row r="153" spans="1:7" x14ac:dyDescent="0.3">
      <c r="A153">
        <v>0</v>
      </c>
      <c r="B153" t="s">
        <v>314</v>
      </c>
      <c r="C153" t="s">
        <v>451</v>
      </c>
      <c r="D153" t="s">
        <v>2</v>
      </c>
      <c r="E153" t="s">
        <v>451</v>
      </c>
      <c r="F153" t="s">
        <v>13</v>
      </c>
      <c r="G153" t="s">
        <v>525</v>
      </c>
    </row>
    <row r="154" spans="1:7" x14ac:dyDescent="0.3">
      <c r="A154">
        <v>0</v>
      </c>
      <c r="B154" t="s">
        <v>314</v>
      </c>
      <c r="C154" t="s">
        <v>448</v>
      </c>
      <c r="D154" t="s">
        <v>2</v>
      </c>
      <c r="E154" t="s">
        <v>448</v>
      </c>
      <c r="F154" t="s">
        <v>13</v>
      </c>
      <c r="G154" t="s">
        <v>525</v>
      </c>
    </row>
    <row r="155" spans="1:7" x14ac:dyDescent="0.3">
      <c r="A155">
        <v>0</v>
      </c>
      <c r="B155" t="s">
        <v>312</v>
      </c>
      <c r="C155" t="s">
        <v>423</v>
      </c>
      <c r="D155" t="s">
        <v>2</v>
      </c>
      <c r="E155" t="s">
        <v>423</v>
      </c>
      <c r="F155" t="s">
        <v>13</v>
      </c>
      <c r="G155" t="s">
        <v>525</v>
      </c>
    </row>
    <row r="156" spans="1:7" x14ac:dyDescent="0.3">
      <c r="A156">
        <v>0</v>
      </c>
      <c r="B156" t="s">
        <v>319</v>
      </c>
      <c r="C156" t="s">
        <v>361</v>
      </c>
      <c r="D156" t="s">
        <v>2</v>
      </c>
      <c r="E156" t="s">
        <v>361</v>
      </c>
      <c r="F156" t="s">
        <v>13</v>
      </c>
      <c r="G156" t="s">
        <v>525</v>
      </c>
    </row>
    <row r="157" spans="1:7" x14ac:dyDescent="0.3">
      <c r="A157">
        <v>0</v>
      </c>
      <c r="B157" t="s">
        <v>314</v>
      </c>
      <c r="C157" t="s">
        <v>467</v>
      </c>
      <c r="D157" t="s">
        <v>2</v>
      </c>
      <c r="E157" t="s">
        <v>467</v>
      </c>
      <c r="F157" t="s">
        <v>13</v>
      </c>
      <c r="G157" t="s">
        <v>525</v>
      </c>
    </row>
    <row r="158" spans="1:7" x14ac:dyDescent="0.3">
      <c r="A158">
        <v>0</v>
      </c>
      <c r="B158" t="s">
        <v>319</v>
      </c>
      <c r="C158" t="s">
        <v>420</v>
      </c>
      <c r="D158" t="s">
        <v>2</v>
      </c>
      <c r="E158" t="s">
        <v>420</v>
      </c>
      <c r="F158" t="s">
        <v>13</v>
      </c>
      <c r="G158" t="s">
        <v>525</v>
      </c>
    </row>
    <row r="159" spans="1:7" x14ac:dyDescent="0.3">
      <c r="A159">
        <v>0</v>
      </c>
      <c r="B159" t="s">
        <v>314</v>
      </c>
      <c r="C159" t="s">
        <v>487</v>
      </c>
      <c r="D159" t="s">
        <v>2</v>
      </c>
      <c r="E159" t="s">
        <v>487</v>
      </c>
      <c r="F159" t="s">
        <v>13</v>
      </c>
      <c r="G159" t="s">
        <v>525</v>
      </c>
    </row>
    <row r="160" spans="1:7" x14ac:dyDescent="0.3">
      <c r="A160">
        <v>0</v>
      </c>
      <c r="B160" t="s">
        <v>312</v>
      </c>
      <c r="C160" t="s">
        <v>149</v>
      </c>
      <c r="D160" t="s">
        <v>2</v>
      </c>
      <c r="E160" t="s">
        <v>149</v>
      </c>
      <c r="F160" t="s">
        <v>13</v>
      </c>
      <c r="G160" t="s">
        <v>525</v>
      </c>
    </row>
    <row r="161" spans="1:7" x14ac:dyDescent="0.3">
      <c r="A161">
        <v>0</v>
      </c>
      <c r="B161" t="s">
        <v>314</v>
      </c>
      <c r="C161" t="s">
        <v>377</v>
      </c>
      <c r="D161" t="s">
        <v>2</v>
      </c>
      <c r="E161" t="s">
        <v>377</v>
      </c>
      <c r="F161" t="s">
        <v>13</v>
      </c>
      <c r="G161" t="s">
        <v>525</v>
      </c>
    </row>
    <row r="162" spans="1:7" x14ac:dyDescent="0.3">
      <c r="A162">
        <v>0</v>
      </c>
      <c r="B162" t="s">
        <v>312</v>
      </c>
      <c r="C162" t="s">
        <v>403</v>
      </c>
      <c r="D162" t="s">
        <v>2</v>
      </c>
      <c r="E162" t="s">
        <v>403</v>
      </c>
      <c r="F162" t="s">
        <v>13</v>
      </c>
      <c r="G162" t="s">
        <v>525</v>
      </c>
    </row>
    <row r="163" spans="1:7" x14ac:dyDescent="0.3">
      <c r="A163">
        <v>0</v>
      </c>
      <c r="B163" t="s">
        <v>312</v>
      </c>
      <c r="C163" t="s">
        <v>387</v>
      </c>
      <c r="D163" t="s">
        <v>2</v>
      </c>
      <c r="E163" t="s">
        <v>387</v>
      </c>
      <c r="F163" t="s">
        <v>13</v>
      </c>
      <c r="G163" t="s">
        <v>525</v>
      </c>
    </row>
    <row r="164" spans="1:7" x14ac:dyDescent="0.3">
      <c r="A164">
        <v>0</v>
      </c>
      <c r="B164" t="s">
        <v>312</v>
      </c>
      <c r="C164" t="s">
        <v>431</v>
      </c>
      <c r="D164" t="s">
        <v>2</v>
      </c>
      <c r="E164" t="s">
        <v>431</v>
      </c>
      <c r="F164" t="s">
        <v>13</v>
      </c>
      <c r="G164" t="s">
        <v>525</v>
      </c>
    </row>
    <row r="165" spans="1:7" x14ac:dyDescent="0.3">
      <c r="A165">
        <v>0</v>
      </c>
      <c r="B165" t="s">
        <v>319</v>
      </c>
      <c r="C165" t="s">
        <v>459</v>
      </c>
      <c r="D165" t="s">
        <v>2</v>
      </c>
      <c r="E165" t="s">
        <v>459</v>
      </c>
      <c r="F165" t="s">
        <v>13</v>
      </c>
      <c r="G165" t="s">
        <v>525</v>
      </c>
    </row>
    <row r="166" spans="1:7" x14ac:dyDescent="0.3">
      <c r="A166">
        <v>0</v>
      </c>
      <c r="B166" t="s">
        <v>314</v>
      </c>
      <c r="C166" t="s">
        <v>376</v>
      </c>
      <c r="D166" t="s">
        <v>2</v>
      </c>
      <c r="E166" t="s">
        <v>376</v>
      </c>
      <c r="F166" t="s">
        <v>13</v>
      </c>
      <c r="G166" t="s">
        <v>525</v>
      </c>
    </row>
    <row r="167" spans="1:7" x14ac:dyDescent="0.3">
      <c r="A167">
        <v>0</v>
      </c>
      <c r="B167" t="s">
        <v>312</v>
      </c>
      <c r="C167" t="s">
        <v>379</v>
      </c>
      <c r="D167" t="s">
        <v>2</v>
      </c>
      <c r="E167" t="s">
        <v>379</v>
      </c>
      <c r="F167" t="s">
        <v>13</v>
      </c>
      <c r="G167" t="s">
        <v>525</v>
      </c>
    </row>
    <row r="168" spans="1:7" x14ac:dyDescent="0.3">
      <c r="A168">
        <v>0</v>
      </c>
      <c r="B168" t="s">
        <v>314</v>
      </c>
      <c r="C168" t="s">
        <v>445</v>
      </c>
      <c r="D168" t="s">
        <v>2</v>
      </c>
      <c r="E168" t="s">
        <v>445</v>
      </c>
      <c r="F168" t="s">
        <v>13</v>
      </c>
      <c r="G168" t="s">
        <v>525</v>
      </c>
    </row>
    <row r="169" spans="1:7" x14ac:dyDescent="0.3">
      <c r="A169">
        <v>0</v>
      </c>
      <c r="B169" t="s">
        <v>319</v>
      </c>
      <c r="C169" t="s">
        <v>460</v>
      </c>
      <c r="D169" t="s">
        <v>2</v>
      </c>
      <c r="E169" t="s">
        <v>460</v>
      </c>
      <c r="F169" t="s">
        <v>13</v>
      </c>
      <c r="G169" t="s">
        <v>525</v>
      </c>
    </row>
    <row r="170" spans="1:7" x14ac:dyDescent="0.3">
      <c r="A170">
        <v>0</v>
      </c>
      <c r="B170" t="s">
        <v>314</v>
      </c>
      <c r="C170" t="s">
        <v>450</v>
      </c>
      <c r="D170" t="s">
        <v>2</v>
      </c>
      <c r="E170" t="s">
        <v>450</v>
      </c>
      <c r="F170" t="s">
        <v>13</v>
      </c>
      <c r="G170" t="s">
        <v>525</v>
      </c>
    </row>
    <row r="171" spans="1:7" x14ac:dyDescent="0.3">
      <c r="A171">
        <v>0</v>
      </c>
      <c r="B171" t="s">
        <v>312</v>
      </c>
      <c r="C171" t="s">
        <v>473</v>
      </c>
      <c r="D171" t="s">
        <v>2</v>
      </c>
      <c r="E171" t="s">
        <v>473</v>
      </c>
      <c r="F171" t="s">
        <v>13</v>
      </c>
      <c r="G171" t="s">
        <v>525</v>
      </c>
    </row>
    <row r="172" spans="1:7" x14ac:dyDescent="0.3">
      <c r="A172">
        <v>0</v>
      </c>
      <c r="B172" t="s">
        <v>314</v>
      </c>
      <c r="C172" t="s">
        <v>313</v>
      </c>
      <c r="D172" t="s">
        <v>2</v>
      </c>
      <c r="E172" t="s">
        <v>313</v>
      </c>
      <c r="F172" t="s">
        <v>13</v>
      </c>
      <c r="G172" t="s">
        <v>525</v>
      </c>
    </row>
    <row r="173" spans="1:7" x14ac:dyDescent="0.3">
      <c r="A173">
        <v>0</v>
      </c>
      <c r="B173" t="s">
        <v>312</v>
      </c>
      <c r="C173" t="s">
        <v>472</v>
      </c>
      <c r="D173" t="s">
        <v>2</v>
      </c>
      <c r="E173" t="s">
        <v>472</v>
      </c>
      <c r="F173" t="s">
        <v>13</v>
      </c>
      <c r="G173" t="s">
        <v>525</v>
      </c>
    </row>
    <row r="174" spans="1:7" x14ac:dyDescent="0.3">
      <c r="A174">
        <v>0</v>
      </c>
      <c r="B174" t="s">
        <v>312</v>
      </c>
      <c r="C174" t="s">
        <v>402</v>
      </c>
      <c r="D174" t="s">
        <v>2</v>
      </c>
      <c r="E174" t="s">
        <v>402</v>
      </c>
      <c r="F174" t="s">
        <v>13</v>
      </c>
      <c r="G174" t="s">
        <v>525</v>
      </c>
    </row>
    <row r="175" spans="1:7" x14ac:dyDescent="0.3">
      <c r="A175">
        <v>0</v>
      </c>
      <c r="B175" t="s">
        <v>314</v>
      </c>
      <c r="C175" t="s">
        <v>455</v>
      </c>
      <c r="D175" t="s">
        <v>2</v>
      </c>
      <c r="E175" t="s">
        <v>455</v>
      </c>
      <c r="F175" t="s">
        <v>13</v>
      </c>
      <c r="G175" t="s">
        <v>525</v>
      </c>
    </row>
    <row r="176" spans="1:7" x14ac:dyDescent="0.3">
      <c r="A176">
        <v>0</v>
      </c>
      <c r="B176" t="s">
        <v>312</v>
      </c>
      <c r="C176" t="s">
        <v>411</v>
      </c>
      <c r="D176" t="s">
        <v>2</v>
      </c>
      <c r="E176" t="s">
        <v>411</v>
      </c>
      <c r="F176" t="s">
        <v>13</v>
      </c>
      <c r="G176" t="s">
        <v>525</v>
      </c>
    </row>
    <row r="177" spans="1:7" x14ac:dyDescent="0.3">
      <c r="A177">
        <v>0</v>
      </c>
      <c r="B177" t="s">
        <v>312</v>
      </c>
      <c r="C177" t="s">
        <v>488</v>
      </c>
      <c r="D177" t="s">
        <v>2</v>
      </c>
      <c r="E177" t="s">
        <v>488</v>
      </c>
      <c r="F177" t="s">
        <v>13</v>
      </c>
      <c r="G177" t="s">
        <v>525</v>
      </c>
    </row>
    <row r="178" spans="1:7" x14ac:dyDescent="0.3">
      <c r="A178">
        <v>0</v>
      </c>
      <c r="B178" t="s">
        <v>319</v>
      </c>
      <c r="C178" t="s">
        <v>462</v>
      </c>
      <c r="D178" t="s">
        <v>2</v>
      </c>
      <c r="E178" t="s">
        <v>462</v>
      </c>
      <c r="F178" t="s">
        <v>13</v>
      </c>
      <c r="G178" t="s">
        <v>525</v>
      </c>
    </row>
    <row r="179" spans="1:7" x14ac:dyDescent="0.3">
      <c r="A179">
        <v>0</v>
      </c>
      <c r="B179" t="s">
        <v>312</v>
      </c>
      <c r="C179" t="s">
        <v>246</v>
      </c>
      <c r="D179" t="s">
        <v>2</v>
      </c>
      <c r="E179" t="s">
        <v>246</v>
      </c>
      <c r="F179" t="s">
        <v>13</v>
      </c>
      <c r="G179" t="s">
        <v>525</v>
      </c>
    </row>
    <row r="180" spans="1:7" x14ac:dyDescent="0.3">
      <c r="A180">
        <v>0</v>
      </c>
      <c r="B180" t="s">
        <v>312</v>
      </c>
      <c r="C180" t="s">
        <v>357</v>
      </c>
      <c r="D180" t="s">
        <v>2</v>
      </c>
      <c r="E180" t="s">
        <v>357</v>
      </c>
      <c r="F180" t="s">
        <v>13</v>
      </c>
      <c r="G180" t="s">
        <v>525</v>
      </c>
    </row>
    <row r="181" spans="1:7" x14ac:dyDescent="0.3">
      <c r="A181">
        <v>0</v>
      </c>
      <c r="B181" t="s">
        <v>314</v>
      </c>
      <c r="C181" t="s">
        <v>341</v>
      </c>
      <c r="D181" t="s">
        <v>2</v>
      </c>
      <c r="E181" t="s">
        <v>341</v>
      </c>
      <c r="F181" t="s">
        <v>13</v>
      </c>
      <c r="G181" t="s">
        <v>525</v>
      </c>
    </row>
    <row r="182" spans="1:7" x14ac:dyDescent="0.3">
      <c r="A182">
        <v>0</v>
      </c>
      <c r="B182" t="s">
        <v>319</v>
      </c>
      <c r="C182" t="s">
        <v>466</v>
      </c>
      <c r="D182" t="s">
        <v>2</v>
      </c>
      <c r="E182" t="s">
        <v>466</v>
      </c>
      <c r="F182" t="s">
        <v>13</v>
      </c>
      <c r="G182" t="s">
        <v>525</v>
      </c>
    </row>
    <row r="183" spans="1:7" x14ac:dyDescent="0.3">
      <c r="A183">
        <v>0</v>
      </c>
      <c r="B183" t="s">
        <v>319</v>
      </c>
      <c r="C183" t="s">
        <v>362</v>
      </c>
      <c r="D183" t="s">
        <v>2</v>
      </c>
      <c r="E183" t="s">
        <v>362</v>
      </c>
      <c r="F183" t="s">
        <v>13</v>
      </c>
      <c r="G183" t="s">
        <v>525</v>
      </c>
    </row>
    <row r="184" spans="1:7" x14ac:dyDescent="0.3">
      <c r="A184">
        <v>0</v>
      </c>
      <c r="B184" t="s">
        <v>312</v>
      </c>
      <c r="C184" t="s">
        <v>433</v>
      </c>
      <c r="D184" t="s">
        <v>2</v>
      </c>
      <c r="E184" t="s">
        <v>433</v>
      </c>
      <c r="F184" t="s">
        <v>13</v>
      </c>
      <c r="G184" t="s">
        <v>525</v>
      </c>
    </row>
    <row r="185" spans="1:7" x14ac:dyDescent="0.3">
      <c r="A185">
        <v>0</v>
      </c>
      <c r="B185" t="s">
        <v>312</v>
      </c>
      <c r="C185" t="s">
        <v>397</v>
      </c>
      <c r="D185" t="s">
        <v>2</v>
      </c>
      <c r="E185" t="s">
        <v>397</v>
      </c>
      <c r="F185" t="s">
        <v>13</v>
      </c>
      <c r="G185" t="s">
        <v>525</v>
      </c>
    </row>
    <row r="186" spans="1:7" x14ac:dyDescent="0.3">
      <c r="A186">
        <v>0</v>
      </c>
      <c r="B186" t="s">
        <v>319</v>
      </c>
      <c r="C186" t="s">
        <v>378</v>
      </c>
      <c r="D186" t="s">
        <v>2</v>
      </c>
      <c r="E186" t="s">
        <v>378</v>
      </c>
      <c r="F186" t="s">
        <v>13</v>
      </c>
      <c r="G186" t="s">
        <v>525</v>
      </c>
    </row>
    <row r="187" spans="1:7" x14ac:dyDescent="0.3">
      <c r="A187">
        <v>0</v>
      </c>
      <c r="B187" t="s">
        <v>105</v>
      </c>
      <c r="C187" t="s">
        <v>117</v>
      </c>
      <c r="D187" t="s">
        <v>2</v>
      </c>
      <c r="E187" t="s">
        <v>117</v>
      </c>
      <c r="F187" t="s">
        <v>13</v>
      </c>
      <c r="G187" t="s">
        <v>525</v>
      </c>
    </row>
    <row r="188" spans="1:7" x14ac:dyDescent="0.3">
      <c r="A188">
        <v>0</v>
      </c>
      <c r="B188" t="s">
        <v>312</v>
      </c>
      <c r="C188" t="s">
        <v>476</v>
      </c>
      <c r="D188" t="s">
        <v>2</v>
      </c>
      <c r="E188" t="s">
        <v>476</v>
      </c>
      <c r="F188" t="s">
        <v>13</v>
      </c>
      <c r="G188" t="s">
        <v>525</v>
      </c>
    </row>
    <row r="189" spans="1:7" x14ac:dyDescent="0.3">
      <c r="A189">
        <v>0</v>
      </c>
      <c r="B189" t="s">
        <v>319</v>
      </c>
      <c r="C189" t="s">
        <v>478</v>
      </c>
      <c r="D189" t="s">
        <v>2</v>
      </c>
      <c r="E189" t="s">
        <v>478</v>
      </c>
      <c r="F189" t="s">
        <v>13</v>
      </c>
      <c r="G189" t="s">
        <v>525</v>
      </c>
    </row>
    <row r="190" spans="1:7" x14ac:dyDescent="0.3">
      <c r="A190">
        <v>0</v>
      </c>
      <c r="B190" t="s">
        <v>312</v>
      </c>
      <c r="C190" t="s">
        <v>367</v>
      </c>
      <c r="D190" t="s">
        <v>2</v>
      </c>
      <c r="E190" t="s">
        <v>367</v>
      </c>
      <c r="F190" t="s">
        <v>13</v>
      </c>
      <c r="G190" t="s">
        <v>525</v>
      </c>
    </row>
    <row r="191" spans="1:7" x14ac:dyDescent="0.3">
      <c r="A191">
        <v>0</v>
      </c>
      <c r="B191" t="s">
        <v>312</v>
      </c>
      <c r="C191" t="s">
        <v>346</v>
      </c>
      <c r="D191" t="s">
        <v>2</v>
      </c>
      <c r="E191" t="s">
        <v>346</v>
      </c>
      <c r="F191" t="s">
        <v>13</v>
      </c>
      <c r="G191" t="s">
        <v>525</v>
      </c>
    </row>
    <row r="192" spans="1:7" x14ac:dyDescent="0.3">
      <c r="A192">
        <v>0</v>
      </c>
      <c r="B192" t="s">
        <v>105</v>
      </c>
      <c r="C192" t="s">
        <v>119</v>
      </c>
      <c r="D192" t="s">
        <v>2</v>
      </c>
      <c r="E192" t="s">
        <v>119</v>
      </c>
      <c r="F192" t="s">
        <v>13</v>
      </c>
      <c r="G192" t="s">
        <v>525</v>
      </c>
    </row>
    <row r="193" spans="1:7" x14ac:dyDescent="0.3">
      <c r="A193">
        <v>0</v>
      </c>
      <c r="B193" t="s">
        <v>312</v>
      </c>
      <c r="C193" t="s">
        <v>385</v>
      </c>
      <c r="D193" t="s">
        <v>2</v>
      </c>
      <c r="E193" t="s">
        <v>385</v>
      </c>
      <c r="F193" t="s">
        <v>13</v>
      </c>
      <c r="G193" t="s">
        <v>525</v>
      </c>
    </row>
    <row r="194" spans="1:7" x14ac:dyDescent="0.3">
      <c r="A194">
        <v>0</v>
      </c>
      <c r="B194" t="s">
        <v>57</v>
      </c>
      <c r="C194" t="s">
        <v>120</v>
      </c>
      <c r="D194" t="s">
        <v>2</v>
      </c>
      <c r="E194" t="s">
        <v>120</v>
      </c>
      <c r="F194" t="s">
        <v>13</v>
      </c>
      <c r="G194" t="s">
        <v>525</v>
      </c>
    </row>
    <row r="195" spans="1:7" x14ac:dyDescent="0.3">
      <c r="A195">
        <v>0</v>
      </c>
      <c r="B195" t="s">
        <v>312</v>
      </c>
      <c r="C195" t="s">
        <v>324</v>
      </c>
      <c r="D195" t="s">
        <v>2</v>
      </c>
      <c r="E195" t="s">
        <v>324</v>
      </c>
      <c r="F195" t="s">
        <v>13</v>
      </c>
      <c r="G195" t="s">
        <v>525</v>
      </c>
    </row>
    <row r="196" spans="1:7" x14ac:dyDescent="0.3">
      <c r="A196">
        <v>0</v>
      </c>
      <c r="B196" t="s">
        <v>312</v>
      </c>
      <c r="C196" t="s">
        <v>327</v>
      </c>
      <c r="D196" t="s">
        <v>2</v>
      </c>
      <c r="E196" t="s">
        <v>327</v>
      </c>
      <c r="F196" t="s">
        <v>13</v>
      </c>
      <c r="G196" t="s">
        <v>525</v>
      </c>
    </row>
    <row r="197" spans="1:7" x14ac:dyDescent="0.3">
      <c r="A197">
        <v>0</v>
      </c>
      <c r="B197" t="s">
        <v>314</v>
      </c>
      <c r="C197" t="s">
        <v>441</v>
      </c>
      <c r="D197" t="s">
        <v>2</v>
      </c>
      <c r="E197" t="s">
        <v>441</v>
      </c>
      <c r="F197" t="s">
        <v>13</v>
      </c>
      <c r="G197" t="s">
        <v>525</v>
      </c>
    </row>
    <row r="198" spans="1:7" x14ac:dyDescent="0.3">
      <c r="A198">
        <v>0</v>
      </c>
      <c r="B198" t="s">
        <v>105</v>
      </c>
      <c r="C198" t="s">
        <v>115</v>
      </c>
      <c r="D198" t="s">
        <v>2</v>
      </c>
      <c r="E198" t="s">
        <v>115</v>
      </c>
      <c r="F198" t="s">
        <v>13</v>
      </c>
      <c r="G198" t="s">
        <v>525</v>
      </c>
    </row>
    <row r="199" spans="1:7" x14ac:dyDescent="0.3">
      <c r="A199">
        <v>0</v>
      </c>
      <c r="B199" t="s">
        <v>312</v>
      </c>
      <c r="C199" t="s">
        <v>484</v>
      </c>
      <c r="D199" t="s">
        <v>2</v>
      </c>
      <c r="E199" t="s">
        <v>484</v>
      </c>
      <c r="F199" t="s">
        <v>13</v>
      </c>
      <c r="G199" t="s">
        <v>525</v>
      </c>
    </row>
    <row r="200" spans="1:7" x14ac:dyDescent="0.3">
      <c r="A200">
        <v>0</v>
      </c>
      <c r="B200" t="s">
        <v>312</v>
      </c>
      <c r="C200" t="s">
        <v>311</v>
      </c>
      <c r="D200" t="s">
        <v>2</v>
      </c>
      <c r="E200" t="s">
        <v>311</v>
      </c>
      <c r="F200" t="s">
        <v>13</v>
      </c>
      <c r="G200" t="s">
        <v>525</v>
      </c>
    </row>
    <row r="201" spans="1:7" x14ac:dyDescent="0.3">
      <c r="A201">
        <v>0</v>
      </c>
      <c r="B201" t="s">
        <v>312</v>
      </c>
      <c r="C201" t="s">
        <v>365</v>
      </c>
      <c r="D201" t="s">
        <v>2</v>
      </c>
      <c r="E201" t="s">
        <v>365</v>
      </c>
      <c r="F201" t="s">
        <v>13</v>
      </c>
      <c r="G201" t="s">
        <v>525</v>
      </c>
    </row>
    <row r="202" spans="1:7" x14ac:dyDescent="0.3">
      <c r="A202">
        <v>0</v>
      </c>
      <c r="B202" t="s">
        <v>314</v>
      </c>
      <c r="C202" t="s">
        <v>350</v>
      </c>
      <c r="D202" t="s">
        <v>2</v>
      </c>
      <c r="E202" t="s">
        <v>350</v>
      </c>
      <c r="F202" t="s">
        <v>13</v>
      </c>
      <c r="G202" t="s">
        <v>525</v>
      </c>
    </row>
    <row r="203" spans="1:7" x14ac:dyDescent="0.3">
      <c r="A203">
        <v>0</v>
      </c>
      <c r="B203" t="s">
        <v>105</v>
      </c>
      <c r="C203" t="s">
        <v>123</v>
      </c>
      <c r="D203" t="s">
        <v>2</v>
      </c>
      <c r="E203" t="s">
        <v>123</v>
      </c>
      <c r="F203" t="s">
        <v>13</v>
      </c>
      <c r="G203" t="s">
        <v>525</v>
      </c>
    </row>
    <row r="204" spans="1:7" x14ac:dyDescent="0.3">
      <c r="A204">
        <v>0</v>
      </c>
      <c r="B204" t="s">
        <v>312</v>
      </c>
      <c r="C204" t="s">
        <v>396</v>
      </c>
      <c r="D204" t="s">
        <v>2</v>
      </c>
      <c r="E204" t="s">
        <v>396</v>
      </c>
      <c r="F204" t="s">
        <v>13</v>
      </c>
      <c r="G204" t="s">
        <v>525</v>
      </c>
    </row>
    <row r="205" spans="1:7" x14ac:dyDescent="0.3">
      <c r="A205">
        <v>0</v>
      </c>
      <c r="B205" t="s">
        <v>312</v>
      </c>
      <c r="C205" t="s">
        <v>428</v>
      </c>
      <c r="D205" t="s">
        <v>2</v>
      </c>
      <c r="E205" t="s">
        <v>428</v>
      </c>
      <c r="F205" t="s">
        <v>13</v>
      </c>
      <c r="G205" t="s">
        <v>525</v>
      </c>
    </row>
    <row r="206" spans="1:7" x14ac:dyDescent="0.3">
      <c r="A206">
        <v>0</v>
      </c>
      <c r="B206" t="s">
        <v>312</v>
      </c>
      <c r="C206" t="s">
        <v>383</v>
      </c>
      <c r="D206" t="s">
        <v>2</v>
      </c>
      <c r="E206" t="s">
        <v>383</v>
      </c>
      <c r="F206" t="s">
        <v>13</v>
      </c>
      <c r="G206" t="s">
        <v>525</v>
      </c>
    </row>
    <row r="207" spans="1:7" x14ac:dyDescent="0.3">
      <c r="A207">
        <v>0</v>
      </c>
      <c r="B207" t="s">
        <v>312</v>
      </c>
      <c r="C207" t="s">
        <v>426</v>
      </c>
      <c r="D207" t="s">
        <v>2</v>
      </c>
      <c r="E207" t="s">
        <v>426</v>
      </c>
      <c r="F207" t="s">
        <v>13</v>
      </c>
      <c r="G207" t="s">
        <v>525</v>
      </c>
    </row>
    <row r="208" spans="1:7" x14ac:dyDescent="0.3">
      <c r="A208">
        <v>0</v>
      </c>
      <c r="B208" t="s">
        <v>312</v>
      </c>
      <c r="C208" t="s">
        <v>437</v>
      </c>
      <c r="D208" t="s">
        <v>2</v>
      </c>
      <c r="E208" t="s">
        <v>437</v>
      </c>
      <c r="F208" t="s">
        <v>13</v>
      </c>
      <c r="G208" t="s">
        <v>525</v>
      </c>
    </row>
    <row r="209" spans="1:7" x14ac:dyDescent="0.3">
      <c r="A209">
        <v>0</v>
      </c>
      <c r="B209" t="s">
        <v>312</v>
      </c>
      <c r="C209" t="s">
        <v>454</v>
      </c>
      <c r="D209" t="s">
        <v>2</v>
      </c>
      <c r="E209" t="s">
        <v>454</v>
      </c>
      <c r="F209" t="s">
        <v>13</v>
      </c>
      <c r="G209" t="s">
        <v>525</v>
      </c>
    </row>
    <row r="210" spans="1:7" x14ac:dyDescent="0.3">
      <c r="A210">
        <v>0</v>
      </c>
      <c r="B210" t="s">
        <v>312</v>
      </c>
      <c r="C210" t="s">
        <v>425</v>
      </c>
      <c r="D210" t="s">
        <v>2</v>
      </c>
      <c r="E210" t="s">
        <v>425</v>
      </c>
      <c r="F210" t="s">
        <v>13</v>
      </c>
      <c r="G210" t="s">
        <v>525</v>
      </c>
    </row>
    <row r="211" spans="1:7" x14ac:dyDescent="0.3">
      <c r="A211">
        <v>0</v>
      </c>
      <c r="B211" t="s">
        <v>312</v>
      </c>
      <c r="C211" t="s">
        <v>344</v>
      </c>
      <c r="D211" t="s">
        <v>2</v>
      </c>
      <c r="E211" t="s">
        <v>344</v>
      </c>
      <c r="F211" t="s">
        <v>13</v>
      </c>
      <c r="G211" t="s">
        <v>525</v>
      </c>
    </row>
    <row r="212" spans="1:7" x14ac:dyDescent="0.3">
      <c r="A212">
        <v>0</v>
      </c>
      <c r="B212" t="s">
        <v>312</v>
      </c>
      <c r="C212" t="s">
        <v>407</v>
      </c>
      <c r="D212" t="s">
        <v>2</v>
      </c>
      <c r="E212" t="s">
        <v>407</v>
      </c>
      <c r="F212" t="s">
        <v>13</v>
      </c>
      <c r="G212" t="s">
        <v>525</v>
      </c>
    </row>
    <row r="213" spans="1:7" x14ac:dyDescent="0.3">
      <c r="A213">
        <v>0</v>
      </c>
      <c r="B213" t="s">
        <v>314</v>
      </c>
      <c r="C213" t="s">
        <v>413</v>
      </c>
      <c r="D213" t="s">
        <v>2</v>
      </c>
      <c r="E213" t="s">
        <v>413</v>
      </c>
      <c r="F213" t="s">
        <v>13</v>
      </c>
      <c r="G213" t="s">
        <v>525</v>
      </c>
    </row>
    <row r="214" spans="1:7" x14ac:dyDescent="0.3">
      <c r="A214">
        <v>0</v>
      </c>
      <c r="B214" t="s">
        <v>312</v>
      </c>
      <c r="C214" t="s">
        <v>392</v>
      </c>
      <c r="D214" t="s">
        <v>2</v>
      </c>
      <c r="E214" t="s">
        <v>392</v>
      </c>
      <c r="F214" t="s">
        <v>13</v>
      </c>
      <c r="G214" t="s">
        <v>525</v>
      </c>
    </row>
    <row r="215" spans="1:7" x14ac:dyDescent="0.3">
      <c r="A215">
        <v>0</v>
      </c>
      <c r="B215" t="s">
        <v>319</v>
      </c>
      <c r="C215" t="s">
        <v>422</v>
      </c>
      <c r="D215" t="s">
        <v>2</v>
      </c>
      <c r="E215" t="s">
        <v>422</v>
      </c>
      <c r="F215" t="s">
        <v>13</v>
      </c>
      <c r="G215" t="s">
        <v>525</v>
      </c>
    </row>
    <row r="216" spans="1:7" x14ac:dyDescent="0.3">
      <c r="A216">
        <v>0</v>
      </c>
      <c r="B216" t="s">
        <v>314</v>
      </c>
      <c r="C216" t="s">
        <v>495</v>
      </c>
      <c r="D216" t="s">
        <v>494</v>
      </c>
      <c r="E216" t="s">
        <v>495</v>
      </c>
      <c r="F216" t="s">
        <v>13</v>
      </c>
      <c r="G216" t="s">
        <v>525</v>
      </c>
    </row>
    <row r="217" spans="1:7" x14ac:dyDescent="0.3">
      <c r="A217">
        <v>0</v>
      </c>
      <c r="B217" t="s">
        <v>314</v>
      </c>
      <c r="C217" t="s">
        <v>497</v>
      </c>
      <c r="D217" t="s">
        <v>494</v>
      </c>
      <c r="E217" t="s">
        <v>497</v>
      </c>
      <c r="F217" t="s">
        <v>13</v>
      </c>
      <c r="G217" t="s">
        <v>525</v>
      </c>
    </row>
    <row r="218" spans="1:7" x14ac:dyDescent="0.3">
      <c r="A218">
        <v>0</v>
      </c>
      <c r="B218" t="s">
        <v>314</v>
      </c>
      <c r="C218" t="s">
        <v>496</v>
      </c>
      <c r="D218" t="s">
        <v>494</v>
      </c>
      <c r="E218" t="s">
        <v>496</v>
      </c>
      <c r="F218" t="s">
        <v>13</v>
      </c>
      <c r="G218" t="s">
        <v>525</v>
      </c>
    </row>
    <row r="219" spans="1:7" x14ac:dyDescent="0.3">
      <c r="A219">
        <v>0</v>
      </c>
      <c r="B219" t="s">
        <v>312</v>
      </c>
      <c r="C219" t="s">
        <v>513</v>
      </c>
      <c r="D219" t="s">
        <v>498</v>
      </c>
      <c r="E219" t="s">
        <v>513</v>
      </c>
      <c r="F219" t="s">
        <v>13</v>
      </c>
      <c r="G219" t="s">
        <v>525</v>
      </c>
    </row>
    <row r="220" spans="1:7" x14ac:dyDescent="0.3">
      <c r="A220">
        <v>0</v>
      </c>
      <c r="B220" t="s">
        <v>312</v>
      </c>
      <c r="C220" t="s">
        <v>515</v>
      </c>
      <c r="D220" t="s">
        <v>498</v>
      </c>
      <c r="E220" t="s">
        <v>515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509</v>
      </c>
      <c r="D221" t="s">
        <v>498</v>
      </c>
      <c r="E221" t="s">
        <v>509</v>
      </c>
      <c r="F221" t="s">
        <v>13</v>
      </c>
      <c r="G221" t="s">
        <v>525</v>
      </c>
    </row>
    <row r="222" spans="1:7" x14ac:dyDescent="0.3">
      <c r="A222">
        <v>0</v>
      </c>
      <c r="B222" t="s">
        <v>312</v>
      </c>
      <c r="C222" t="s">
        <v>502</v>
      </c>
      <c r="D222" t="s">
        <v>498</v>
      </c>
      <c r="E222" t="s">
        <v>502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500</v>
      </c>
      <c r="D223" t="s">
        <v>498</v>
      </c>
      <c r="E223" t="s">
        <v>500</v>
      </c>
      <c r="F223" t="s">
        <v>13</v>
      </c>
      <c r="G223" t="s">
        <v>525</v>
      </c>
    </row>
    <row r="224" spans="1:7" x14ac:dyDescent="0.3">
      <c r="A224">
        <v>0</v>
      </c>
      <c r="B224" t="s">
        <v>507</v>
      </c>
      <c r="C224" t="s">
        <v>506</v>
      </c>
      <c r="D224" t="s">
        <v>498</v>
      </c>
      <c r="E224" t="s">
        <v>506</v>
      </c>
      <c r="F224" t="s">
        <v>13</v>
      </c>
      <c r="G224" t="s">
        <v>525</v>
      </c>
    </row>
    <row r="225" spans="1:7" x14ac:dyDescent="0.3">
      <c r="A225">
        <v>0</v>
      </c>
      <c r="B225" t="s">
        <v>312</v>
      </c>
      <c r="C225" t="s">
        <v>514</v>
      </c>
      <c r="D225" t="s">
        <v>498</v>
      </c>
      <c r="E225" t="s">
        <v>514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499</v>
      </c>
      <c r="D226" t="s">
        <v>498</v>
      </c>
      <c r="E226" t="s">
        <v>499</v>
      </c>
      <c r="F226" t="s">
        <v>13</v>
      </c>
      <c r="G226" t="s">
        <v>525</v>
      </c>
    </row>
    <row r="227" spans="1:7" x14ac:dyDescent="0.3">
      <c r="A227">
        <v>0</v>
      </c>
      <c r="B227" t="s">
        <v>312</v>
      </c>
      <c r="C227" t="s">
        <v>508</v>
      </c>
      <c r="D227" t="s">
        <v>498</v>
      </c>
      <c r="E227" t="s">
        <v>508</v>
      </c>
      <c r="F227" t="s">
        <v>13</v>
      </c>
      <c r="G227" t="s">
        <v>525</v>
      </c>
    </row>
    <row r="228" spans="1:7" x14ac:dyDescent="0.3">
      <c r="A228">
        <v>0</v>
      </c>
      <c r="B228" t="s">
        <v>312</v>
      </c>
      <c r="C228" t="s">
        <v>519</v>
      </c>
      <c r="D228" t="s">
        <v>498</v>
      </c>
      <c r="E228" t="s">
        <v>519</v>
      </c>
      <c r="F228" t="s">
        <v>13</v>
      </c>
      <c r="G228" t="s">
        <v>525</v>
      </c>
    </row>
    <row r="229" spans="1:7" x14ac:dyDescent="0.3">
      <c r="A229">
        <v>0</v>
      </c>
      <c r="B229" t="s">
        <v>312</v>
      </c>
      <c r="C229" t="s">
        <v>510</v>
      </c>
      <c r="D229" t="s">
        <v>498</v>
      </c>
      <c r="E229" t="s">
        <v>510</v>
      </c>
      <c r="F229" t="s">
        <v>13</v>
      </c>
      <c r="G229" t="s">
        <v>525</v>
      </c>
    </row>
    <row r="230" spans="1:7" x14ac:dyDescent="0.3">
      <c r="A230">
        <v>0</v>
      </c>
      <c r="B230" t="s">
        <v>312</v>
      </c>
      <c r="C230" t="s">
        <v>521</v>
      </c>
      <c r="D230" t="s">
        <v>498</v>
      </c>
      <c r="E230" t="s">
        <v>521</v>
      </c>
      <c r="F230" t="s">
        <v>13</v>
      </c>
      <c r="G230" t="s">
        <v>525</v>
      </c>
    </row>
    <row r="231" spans="1:7" x14ac:dyDescent="0.3">
      <c r="A231">
        <v>0</v>
      </c>
      <c r="B231" t="s">
        <v>312</v>
      </c>
      <c r="C231" t="s">
        <v>501</v>
      </c>
      <c r="D231" t="s">
        <v>498</v>
      </c>
      <c r="E231" t="s">
        <v>501</v>
      </c>
      <c r="F231" t="s">
        <v>13</v>
      </c>
      <c r="G231" t="s">
        <v>525</v>
      </c>
    </row>
    <row r="232" spans="1:7" x14ac:dyDescent="0.3">
      <c r="A232">
        <v>0</v>
      </c>
      <c r="B232" t="s">
        <v>312</v>
      </c>
      <c r="C232" t="s">
        <v>504</v>
      </c>
      <c r="D232" t="s">
        <v>498</v>
      </c>
      <c r="E232" t="s">
        <v>504</v>
      </c>
      <c r="F232" t="s">
        <v>13</v>
      </c>
      <c r="G232" t="s">
        <v>525</v>
      </c>
    </row>
    <row r="233" spans="1:7" x14ac:dyDescent="0.3">
      <c r="A233">
        <v>0</v>
      </c>
      <c r="B233" t="s">
        <v>312</v>
      </c>
      <c r="C233" t="s">
        <v>520</v>
      </c>
      <c r="D233" t="s">
        <v>498</v>
      </c>
      <c r="E233" t="s">
        <v>520</v>
      </c>
      <c r="F233" t="s">
        <v>13</v>
      </c>
      <c r="G233" t="s">
        <v>525</v>
      </c>
    </row>
    <row r="234" spans="1:7" x14ac:dyDescent="0.3">
      <c r="A234">
        <v>0</v>
      </c>
      <c r="B234" t="s">
        <v>312</v>
      </c>
      <c r="C234" t="s">
        <v>523</v>
      </c>
      <c r="D234" t="s">
        <v>498</v>
      </c>
      <c r="E234" t="s">
        <v>523</v>
      </c>
      <c r="F234" t="s">
        <v>13</v>
      </c>
      <c r="G234" t="s">
        <v>525</v>
      </c>
    </row>
    <row r="235" spans="1:7" x14ac:dyDescent="0.3">
      <c r="A235">
        <v>0</v>
      </c>
      <c r="B235" t="s">
        <v>312</v>
      </c>
      <c r="C235" t="s">
        <v>503</v>
      </c>
      <c r="D235" t="s">
        <v>498</v>
      </c>
      <c r="E235" t="s">
        <v>503</v>
      </c>
      <c r="F235" t="s">
        <v>13</v>
      </c>
      <c r="G235" t="s">
        <v>525</v>
      </c>
    </row>
    <row r="236" spans="1:7" x14ac:dyDescent="0.3">
      <c r="A236">
        <v>0</v>
      </c>
      <c r="B236" t="s">
        <v>312</v>
      </c>
      <c r="C236" t="s">
        <v>512</v>
      </c>
      <c r="D236" t="s">
        <v>498</v>
      </c>
      <c r="E236" t="s">
        <v>512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505</v>
      </c>
      <c r="D237" t="s">
        <v>498</v>
      </c>
      <c r="E237" t="s">
        <v>505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518</v>
      </c>
      <c r="D238" t="s">
        <v>498</v>
      </c>
      <c r="E238" t="s">
        <v>518</v>
      </c>
      <c r="F238" t="s">
        <v>13</v>
      </c>
      <c r="G238" t="s">
        <v>525</v>
      </c>
    </row>
    <row r="239" spans="1:7" x14ac:dyDescent="0.3">
      <c r="A239">
        <v>0</v>
      </c>
      <c r="B239" t="s">
        <v>312</v>
      </c>
      <c r="C239" t="s">
        <v>522</v>
      </c>
      <c r="D239" t="s">
        <v>498</v>
      </c>
      <c r="E239" t="s">
        <v>522</v>
      </c>
      <c r="F239" t="s">
        <v>13</v>
      </c>
      <c r="G239" t="s">
        <v>525</v>
      </c>
    </row>
    <row r="240" spans="1:7" x14ac:dyDescent="0.3">
      <c r="A240">
        <v>0</v>
      </c>
      <c r="B240" t="s">
        <v>312</v>
      </c>
      <c r="C240" t="s">
        <v>516</v>
      </c>
      <c r="D240" t="s">
        <v>498</v>
      </c>
      <c r="E240" t="s">
        <v>516</v>
      </c>
      <c r="F240" t="s">
        <v>13</v>
      </c>
      <c r="G240" t="s">
        <v>525</v>
      </c>
    </row>
    <row r="241" spans="1:7" x14ac:dyDescent="0.3">
      <c r="A241">
        <v>0</v>
      </c>
      <c r="B241" t="s">
        <v>312</v>
      </c>
      <c r="C241" t="s">
        <v>517</v>
      </c>
      <c r="D241" t="s">
        <v>498</v>
      </c>
      <c r="E241" t="s">
        <v>517</v>
      </c>
      <c r="F241" t="s">
        <v>13</v>
      </c>
      <c r="G241" t="s">
        <v>525</v>
      </c>
    </row>
    <row r="242" spans="1:7" x14ac:dyDescent="0.3">
      <c r="A242">
        <v>0</v>
      </c>
      <c r="B242" t="s">
        <v>16</v>
      </c>
      <c r="C242" s="2" t="s">
        <v>22</v>
      </c>
      <c r="D242" t="s">
        <v>2</v>
      </c>
      <c r="E242" s="2" t="s">
        <v>22</v>
      </c>
      <c r="F242" t="s">
        <v>13</v>
      </c>
      <c r="G242" t="s">
        <v>525</v>
      </c>
    </row>
    <row r="243" spans="1:7" x14ac:dyDescent="0.3">
      <c r="A243">
        <v>0</v>
      </c>
      <c r="B243" t="s">
        <v>16</v>
      </c>
      <c r="C243" s="2" t="s">
        <v>49</v>
      </c>
      <c r="D243" t="s">
        <v>2</v>
      </c>
      <c r="E243" s="2" t="s">
        <v>49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s="2" t="s">
        <v>55</v>
      </c>
      <c r="D244" t="s">
        <v>2</v>
      </c>
      <c r="E244" s="2" t="s">
        <v>55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t="s">
        <v>59</v>
      </c>
      <c r="D245" t="s">
        <v>2</v>
      </c>
      <c r="E245" t="s">
        <v>59</v>
      </c>
      <c r="F245" t="s">
        <v>13</v>
      </c>
      <c r="G245" t="s">
        <v>525</v>
      </c>
    </row>
    <row r="246" spans="1:7" x14ac:dyDescent="0.3">
      <c r="A246">
        <v>0</v>
      </c>
      <c r="B246" t="s">
        <v>16</v>
      </c>
      <c r="C246" s="2" t="s">
        <v>61</v>
      </c>
      <c r="D246" t="s">
        <v>2</v>
      </c>
      <c r="E246" s="2" t="s">
        <v>61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s="2" t="s">
        <v>67</v>
      </c>
      <c r="D247" t="s">
        <v>2</v>
      </c>
      <c r="E247" s="2" t="s">
        <v>67</v>
      </c>
      <c r="F247" t="s">
        <v>13</v>
      </c>
      <c r="G247" t="s">
        <v>525</v>
      </c>
    </row>
    <row r="248" spans="1:7" x14ac:dyDescent="0.3">
      <c r="A248">
        <v>0</v>
      </c>
      <c r="B248" t="s">
        <v>312</v>
      </c>
      <c r="C248" t="s">
        <v>73</v>
      </c>
      <c r="D248" t="s">
        <v>2</v>
      </c>
      <c r="E248" t="s">
        <v>73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79</v>
      </c>
      <c r="D249" t="s">
        <v>2</v>
      </c>
      <c r="E249" t="s">
        <v>79</v>
      </c>
      <c r="F249" t="s">
        <v>13</v>
      </c>
      <c r="G249" t="s">
        <v>525</v>
      </c>
    </row>
    <row r="250" spans="1:7" x14ac:dyDescent="0.3">
      <c r="A250">
        <v>0</v>
      </c>
      <c r="B250" t="s">
        <v>312</v>
      </c>
      <c r="C250" t="s">
        <v>82</v>
      </c>
      <c r="D250" t="s">
        <v>2</v>
      </c>
      <c r="E250" t="s">
        <v>82</v>
      </c>
      <c r="F250" t="s">
        <v>13</v>
      </c>
      <c r="G250" t="s">
        <v>525</v>
      </c>
    </row>
    <row r="251" spans="1:7" x14ac:dyDescent="0.3">
      <c r="A251">
        <v>0</v>
      </c>
      <c r="B251" t="s">
        <v>312</v>
      </c>
      <c r="C251" t="s">
        <v>85</v>
      </c>
      <c r="D251" t="s">
        <v>2</v>
      </c>
      <c r="E251" t="s">
        <v>85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88</v>
      </c>
      <c r="D252" t="s">
        <v>2</v>
      </c>
      <c r="E252" t="s">
        <v>88</v>
      </c>
      <c r="F252" t="s">
        <v>13</v>
      </c>
      <c r="G252" t="s">
        <v>525</v>
      </c>
    </row>
    <row r="253" spans="1:7" x14ac:dyDescent="0.3">
      <c r="A253">
        <v>0</v>
      </c>
      <c r="B253" t="s">
        <v>312</v>
      </c>
      <c r="C253" t="s">
        <v>91</v>
      </c>
      <c r="D253" t="s">
        <v>2</v>
      </c>
      <c r="E253" t="s">
        <v>91</v>
      </c>
      <c r="F253" t="s">
        <v>13</v>
      </c>
      <c r="G253" t="s">
        <v>525</v>
      </c>
    </row>
    <row r="254" spans="1:7" x14ac:dyDescent="0.3">
      <c r="A254">
        <v>0</v>
      </c>
      <c r="B254" t="s">
        <v>312</v>
      </c>
      <c r="C254" t="s">
        <v>94</v>
      </c>
      <c r="D254" t="s">
        <v>2</v>
      </c>
      <c r="E254" t="s">
        <v>94</v>
      </c>
      <c r="F254" t="s">
        <v>13</v>
      </c>
      <c r="G254" t="s">
        <v>525</v>
      </c>
    </row>
    <row r="255" spans="1:7" x14ac:dyDescent="0.3">
      <c r="A255">
        <v>0</v>
      </c>
      <c r="B255" t="s">
        <v>312</v>
      </c>
      <c r="C255" t="s">
        <v>97</v>
      </c>
      <c r="D255" t="s">
        <v>2</v>
      </c>
      <c r="E255" t="s">
        <v>97</v>
      </c>
      <c r="F255" t="s">
        <v>13</v>
      </c>
      <c r="G255" t="s">
        <v>525</v>
      </c>
    </row>
    <row r="256" spans="1:7" x14ac:dyDescent="0.3">
      <c r="A256">
        <v>0</v>
      </c>
      <c r="B256" t="s">
        <v>312</v>
      </c>
      <c r="C256" t="s">
        <v>100</v>
      </c>
      <c r="D256" t="s">
        <v>2</v>
      </c>
      <c r="E256" t="s">
        <v>100</v>
      </c>
      <c r="F256" t="s">
        <v>13</v>
      </c>
      <c r="G256" t="s">
        <v>525</v>
      </c>
    </row>
  </sheetData>
  <pageMargins left="0.75" right="0.75" top="1" bottom="1" header="0.5" footer="0.5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254"/>
  <sheetViews>
    <sheetView workbookViewId="0">
      <selection activeCell="E9" sqref="E9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0.59027777777777779</v>
      </c>
      <c r="B2" t="s">
        <v>542</v>
      </c>
      <c r="C2" t="s">
        <v>648</v>
      </c>
      <c r="D2" t="s">
        <v>2</v>
      </c>
      <c r="E2" t="s">
        <v>111</v>
      </c>
      <c r="F2" t="s">
        <v>13</v>
      </c>
      <c r="G2" t="s">
        <v>525</v>
      </c>
      <c r="H2" t="s">
        <v>626</v>
      </c>
    </row>
    <row r="3" spans="1:9" x14ac:dyDescent="0.3">
      <c r="A3">
        <f>6.375/48</f>
        <v>0.1328125</v>
      </c>
      <c r="B3" t="s">
        <v>57</v>
      </c>
      <c r="C3" t="s">
        <v>752</v>
      </c>
      <c r="D3" t="s">
        <v>2</v>
      </c>
      <c r="E3" t="s">
        <v>398</v>
      </c>
      <c r="F3" t="s">
        <v>13</v>
      </c>
      <c r="G3" t="s">
        <v>525</v>
      </c>
      <c r="H3" t="s">
        <v>626</v>
      </c>
    </row>
    <row r="4" spans="1:9" x14ac:dyDescent="0.3">
      <c r="A4">
        <v>-0.45766590389016015</v>
      </c>
      <c r="B4" t="s">
        <v>57</v>
      </c>
      <c r="C4" t="s">
        <v>641</v>
      </c>
      <c r="D4" t="s">
        <v>2</v>
      </c>
      <c r="E4" t="s">
        <v>85</v>
      </c>
      <c r="F4" s="4" t="s">
        <v>13</v>
      </c>
      <c r="G4" t="s">
        <v>525</v>
      </c>
      <c r="H4" t="s">
        <v>626</v>
      </c>
    </row>
    <row r="5" spans="1:9" x14ac:dyDescent="0.3">
      <c r="A5">
        <v>1.5125858123569791</v>
      </c>
      <c r="B5" t="s">
        <v>57</v>
      </c>
      <c r="C5" t="s">
        <v>760</v>
      </c>
      <c r="D5" t="s">
        <v>2</v>
      </c>
      <c r="E5" t="s">
        <v>88</v>
      </c>
      <c r="F5" s="4" t="s">
        <v>13</v>
      </c>
      <c r="G5" t="s">
        <v>525</v>
      </c>
      <c r="H5" t="s">
        <v>626</v>
      </c>
    </row>
    <row r="6" spans="1:9" x14ac:dyDescent="0.3">
      <c r="A6">
        <v>2.0544911022941266E-2</v>
      </c>
      <c r="B6" t="s">
        <v>57</v>
      </c>
      <c r="C6" t="s">
        <v>759</v>
      </c>
      <c r="D6" t="s">
        <v>498</v>
      </c>
      <c r="E6" t="s">
        <v>508</v>
      </c>
      <c r="F6" t="s">
        <v>13</v>
      </c>
      <c r="G6" t="s">
        <v>525</v>
      </c>
      <c r="H6" t="s">
        <v>626</v>
      </c>
    </row>
    <row r="7" spans="1:9" x14ac:dyDescent="0.3">
      <c r="A7">
        <v>0.3576375</v>
      </c>
      <c r="B7" t="s">
        <v>57</v>
      </c>
      <c r="C7" t="s">
        <v>535</v>
      </c>
      <c r="D7" t="s">
        <v>498</v>
      </c>
      <c r="E7" t="s">
        <v>502</v>
      </c>
      <c r="F7" t="s">
        <v>13</v>
      </c>
      <c r="G7" t="s">
        <v>525</v>
      </c>
      <c r="H7" t="s">
        <v>658</v>
      </c>
    </row>
    <row r="8" spans="1:9" x14ac:dyDescent="0.3">
      <c r="A8">
        <v>3.1875000000000002E-5</v>
      </c>
      <c r="B8" t="s">
        <v>57</v>
      </c>
      <c r="C8" t="s">
        <v>500</v>
      </c>
      <c r="D8" t="s">
        <v>498</v>
      </c>
      <c r="E8" t="s">
        <v>500</v>
      </c>
      <c r="F8" t="s">
        <v>13</v>
      </c>
      <c r="G8" t="s">
        <v>525</v>
      </c>
      <c r="H8" t="s">
        <v>658</v>
      </c>
    </row>
    <row r="9" spans="1:9" x14ac:dyDescent="0.3">
      <c r="A9">
        <v>6.3750000000000004E-7</v>
      </c>
      <c r="B9" t="s">
        <v>57</v>
      </c>
      <c r="C9" t="s">
        <v>511</v>
      </c>
      <c r="D9" t="s">
        <v>498</v>
      </c>
      <c r="E9" t="s">
        <v>511</v>
      </c>
      <c r="F9" t="s">
        <v>13</v>
      </c>
      <c r="G9" t="s">
        <v>525</v>
      </c>
      <c r="H9" t="s">
        <v>658</v>
      </c>
    </row>
    <row r="10" spans="1:9" x14ac:dyDescent="0.3">
      <c r="A10">
        <v>0</v>
      </c>
      <c r="B10" t="s">
        <v>312</v>
      </c>
      <c r="C10" t="s">
        <v>483</v>
      </c>
      <c r="D10" t="s">
        <v>2</v>
      </c>
      <c r="E10" t="s">
        <v>483</v>
      </c>
      <c r="F10" t="s">
        <v>13</v>
      </c>
      <c r="G10" t="s">
        <v>525</v>
      </c>
    </row>
    <row r="11" spans="1:9" x14ac:dyDescent="0.3">
      <c r="A11">
        <v>0</v>
      </c>
      <c r="B11" t="s">
        <v>105</v>
      </c>
      <c r="C11" t="s">
        <v>125</v>
      </c>
      <c r="D11" t="s">
        <v>2</v>
      </c>
      <c r="E11" t="s">
        <v>125</v>
      </c>
      <c r="F11" t="s">
        <v>13</v>
      </c>
      <c r="G11" t="s">
        <v>525</v>
      </c>
    </row>
    <row r="12" spans="1:9" x14ac:dyDescent="0.3">
      <c r="A12">
        <v>0</v>
      </c>
      <c r="B12" t="s">
        <v>319</v>
      </c>
      <c r="C12" t="s">
        <v>461</v>
      </c>
      <c r="D12" t="s">
        <v>2</v>
      </c>
      <c r="E12" t="s">
        <v>461</v>
      </c>
      <c r="F12" t="s">
        <v>13</v>
      </c>
      <c r="G12" t="s">
        <v>525</v>
      </c>
    </row>
    <row r="13" spans="1:9" x14ac:dyDescent="0.3">
      <c r="A13">
        <v>0</v>
      </c>
      <c r="B13" t="s">
        <v>314</v>
      </c>
      <c r="C13" t="s">
        <v>395</v>
      </c>
      <c r="D13" t="s">
        <v>2</v>
      </c>
      <c r="E13" t="s">
        <v>395</v>
      </c>
      <c r="F13" t="s">
        <v>13</v>
      </c>
      <c r="G13" t="s">
        <v>525</v>
      </c>
    </row>
    <row r="14" spans="1:9" x14ac:dyDescent="0.3">
      <c r="A14">
        <v>0</v>
      </c>
      <c r="B14" t="s">
        <v>312</v>
      </c>
      <c r="C14" t="s">
        <v>399</v>
      </c>
      <c r="D14" t="s">
        <v>2</v>
      </c>
      <c r="E14" t="s">
        <v>399</v>
      </c>
      <c r="F14" t="s">
        <v>13</v>
      </c>
      <c r="G14" t="s">
        <v>525</v>
      </c>
    </row>
    <row r="15" spans="1:9" x14ac:dyDescent="0.3">
      <c r="A15">
        <v>0</v>
      </c>
      <c r="B15" t="s">
        <v>314</v>
      </c>
      <c r="C15" t="s">
        <v>432</v>
      </c>
      <c r="D15" t="s">
        <v>2</v>
      </c>
      <c r="E15" t="s">
        <v>432</v>
      </c>
      <c r="F15" t="s">
        <v>13</v>
      </c>
      <c r="G15" t="s">
        <v>525</v>
      </c>
    </row>
    <row r="16" spans="1:9" x14ac:dyDescent="0.3">
      <c r="A16">
        <v>0</v>
      </c>
      <c r="B16" t="s">
        <v>312</v>
      </c>
      <c r="C16" t="s">
        <v>325</v>
      </c>
      <c r="D16" t="s">
        <v>2</v>
      </c>
      <c r="E16" t="s">
        <v>325</v>
      </c>
      <c r="F16" t="s">
        <v>13</v>
      </c>
      <c r="G16" t="s">
        <v>525</v>
      </c>
    </row>
    <row r="17" spans="1:7" x14ac:dyDescent="0.3">
      <c r="A17">
        <v>0</v>
      </c>
      <c r="B17" t="s">
        <v>314</v>
      </c>
      <c r="C17" t="s">
        <v>372</v>
      </c>
      <c r="D17" t="s">
        <v>2</v>
      </c>
      <c r="E17" t="s">
        <v>372</v>
      </c>
      <c r="F17" t="s">
        <v>13</v>
      </c>
      <c r="G17" t="s">
        <v>525</v>
      </c>
    </row>
    <row r="18" spans="1:7" x14ac:dyDescent="0.3">
      <c r="A18">
        <v>0</v>
      </c>
      <c r="B18" t="s">
        <v>314</v>
      </c>
      <c r="C18" t="s">
        <v>260</v>
      </c>
      <c r="D18" t="s">
        <v>2</v>
      </c>
      <c r="E18" t="s">
        <v>260</v>
      </c>
      <c r="F18" t="s">
        <v>13</v>
      </c>
      <c r="G18" t="s">
        <v>525</v>
      </c>
    </row>
    <row r="19" spans="1:7" x14ac:dyDescent="0.3">
      <c r="A19">
        <v>0</v>
      </c>
      <c r="B19" t="s">
        <v>312</v>
      </c>
      <c r="C19" t="s">
        <v>330</v>
      </c>
      <c r="D19" t="s">
        <v>2</v>
      </c>
      <c r="E19" t="s">
        <v>330</v>
      </c>
      <c r="F19" t="s">
        <v>13</v>
      </c>
      <c r="G19" t="s">
        <v>525</v>
      </c>
    </row>
    <row r="20" spans="1:7" x14ac:dyDescent="0.3">
      <c r="A20">
        <v>0</v>
      </c>
      <c r="B20" t="s">
        <v>105</v>
      </c>
      <c r="C20" t="s">
        <v>401</v>
      </c>
      <c r="D20" t="s">
        <v>2</v>
      </c>
      <c r="E20" t="s">
        <v>401</v>
      </c>
      <c r="F20" t="s">
        <v>13</v>
      </c>
      <c r="G20" t="s">
        <v>525</v>
      </c>
    </row>
    <row r="21" spans="1:7" x14ac:dyDescent="0.3">
      <c r="A21">
        <v>0</v>
      </c>
      <c r="B21" t="s">
        <v>312</v>
      </c>
      <c r="C21" t="s">
        <v>416</v>
      </c>
      <c r="D21" t="s">
        <v>2</v>
      </c>
      <c r="E21" t="s">
        <v>416</v>
      </c>
      <c r="F21" t="s">
        <v>13</v>
      </c>
      <c r="G21" t="s">
        <v>525</v>
      </c>
    </row>
    <row r="22" spans="1:7" x14ac:dyDescent="0.3">
      <c r="A22">
        <v>0</v>
      </c>
      <c r="B22" t="s">
        <v>319</v>
      </c>
      <c r="C22" t="s">
        <v>375</v>
      </c>
      <c r="D22" t="s">
        <v>2</v>
      </c>
      <c r="E22" t="s">
        <v>375</v>
      </c>
      <c r="F22" t="s">
        <v>13</v>
      </c>
      <c r="G22" t="s">
        <v>525</v>
      </c>
    </row>
    <row r="23" spans="1:7" x14ac:dyDescent="0.3">
      <c r="A23">
        <v>0</v>
      </c>
      <c r="B23" t="s">
        <v>312</v>
      </c>
      <c r="C23" t="s">
        <v>333</v>
      </c>
      <c r="D23" t="s">
        <v>2</v>
      </c>
      <c r="E23" t="s">
        <v>333</v>
      </c>
      <c r="F23" t="s">
        <v>13</v>
      </c>
      <c r="G23" t="s">
        <v>525</v>
      </c>
    </row>
    <row r="24" spans="1:7" x14ac:dyDescent="0.3">
      <c r="A24">
        <v>0</v>
      </c>
      <c r="B24" t="s">
        <v>57</v>
      </c>
      <c r="C24" t="s">
        <v>118</v>
      </c>
      <c r="D24" t="s">
        <v>2</v>
      </c>
      <c r="E24" t="s">
        <v>118</v>
      </c>
      <c r="F24" t="s">
        <v>13</v>
      </c>
      <c r="G24" t="s">
        <v>525</v>
      </c>
    </row>
    <row r="25" spans="1:7" x14ac:dyDescent="0.3">
      <c r="A25">
        <v>0</v>
      </c>
      <c r="B25" t="s">
        <v>312</v>
      </c>
      <c r="C25" t="s">
        <v>406</v>
      </c>
      <c r="D25" t="s">
        <v>2</v>
      </c>
      <c r="E25" t="s">
        <v>406</v>
      </c>
      <c r="F25" t="s">
        <v>13</v>
      </c>
      <c r="G25" t="s">
        <v>525</v>
      </c>
    </row>
    <row r="26" spans="1:7" x14ac:dyDescent="0.3">
      <c r="A26">
        <v>0</v>
      </c>
      <c r="B26" t="s">
        <v>312</v>
      </c>
      <c r="C26" t="s">
        <v>315</v>
      </c>
      <c r="D26" t="s">
        <v>2</v>
      </c>
      <c r="E26" t="s">
        <v>315</v>
      </c>
      <c r="F26" t="s">
        <v>13</v>
      </c>
      <c r="G26" t="s">
        <v>525</v>
      </c>
    </row>
    <row r="27" spans="1:7" x14ac:dyDescent="0.3">
      <c r="A27">
        <v>0</v>
      </c>
      <c r="B27" t="s">
        <v>312</v>
      </c>
      <c r="C27" t="s">
        <v>358</v>
      </c>
      <c r="D27" t="s">
        <v>2</v>
      </c>
      <c r="E27" t="s">
        <v>358</v>
      </c>
      <c r="F27" t="s">
        <v>13</v>
      </c>
      <c r="G27" t="s">
        <v>525</v>
      </c>
    </row>
    <row r="28" spans="1:7" x14ac:dyDescent="0.3">
      <c r="A28">
        <v>0</v>
      </c>
      <c r="B28" t="s">
        <v>314</v>
      </c>
      <c r="C28" t="s">
        <v>444</v>
      </c>
      <c r="D28" t="s">
        <v>2</v>
      </c>
      <c r="E28" t="s">
        <v>444</v>
      </c>
      <c r="F28" t="s">
        <v>13</v>
      </c>
      <c r="G28" t="s">
        <v>525</v>
      </c>
    </row>
    <row r="29" spans="1:7" x14ac:dyDescent="0.3">
      <c r="A29">
        <v>0</v>
      </c>
      <c r="B29" t="s">
        <v>312</v>
      </c>
      <c r="C29" t="s">
        <v>439</v>
      </c>
      <c r="D29" t="s">
        <v>2</v>
      </c>
      <c r="E29" t="s">
        <v>439</v>
      </c>
      <c r="F29" t="s">
        <v>13</v>
      </c>
      <c r="G29" t="s">
        <v>525</v>
      </c>
    </row>
    <row r="30" spans="1:7" x14ac:dyDescent="0.3">
      <c r="A30">
        <v>0</v>
      </c>
      <c r="B30" t="s">
        <v>312</v>
      </c>
      <c r="C30" t="s">
        <v>381</v>
      </c>
      <c r="D30" t="s">
        <v>2</v>
      </c>
      <c r="E30" t="s">
        <v>381</v>
      </c>
      <c r="F30" t="s">
        <v>13</v>
      </c>
      <c r="G30" t="s">
        <v>525</v>
      </c>
    </row>
    <row r="31" spans="1:7" x14ac:dyDescent="0.3">
      <c r="A31">
        <v>0</v>
      </c>
      <c r="B31" t="s">
        <v>312</v>
      </c>
      <c r="C31" t="s">
        <v>418</v>
      </c>
      <c r="D31" t="s">
        <v>2</v>
      </c>
      <c r="E31" t="s">
        <v>418</v>
      </c>
      <c r="F31" t="s">
        <v>13</v>
      </c>
      <c r="G31" t="s">
        <v>525</v>
      </c>
    </row>
    <row r="32" spans="1:7" x14ac:dyDescent="0.3">
      <c r="A32">
        <v>0</v>
      </c>
      <c r="B32" t="s">
        <v>314</v>
      </c>
      <c r="C32" t="s">
        <v>465</v>
      </c>
      <c r="D32" t="s">
        <v>2</v>
      </c>
      <c r="E32" t="s">
        <v>465</v>
      </c>
      <c r="F32" t="s">
        <v>13</v>
      </c>
      <c r="G32" t="s">
        <v>525</v>
      </c>
    </row>
    <row r="33" spans="1:7" x14ac:dyDescent="0.3">
      <c r="A33">
        <v>0</v>
      </c>
      <c r="B33" t="s">
        <v>105</v>
      </c>
      <c r="C33" t="s">
        <v>103</v>
      </c>
      <c r="D33" t="s">
        <v>2</v>
      </c>
      <c r="E33" t="s">
        <v>103</v>
      </c>
      <c r="F33" t="s">
        <v>13</v>
      </c>
      <c r="G33" t="s">
        <v>525</v>
      </c>
    </row>
    <row r="34" spans="1:7" x14ac:dyDescent="0.3">
      <c r="A34">
        <v>0</v>
      </c>
      <c r="B34" t="s">
        <v>312</v>
      </c>
      <c r="C34" t="s">
        <v>320</v>
      </c>
      <c r="D34" t="s">
        <v>2</v>
      </c>
      <c r="E34" t="s">
        <v>320</v>
      </c>
      <c r="F34" t="s">
        <v>13</v>
      </c>
      <c r="G34" t="s">
        <v>525</v>
      </c>
    </row>
    <row r="35" spans="1:7" x14ac:dyDescent="0.3">
      <c r="A35">
        <v>0</v>
      </c>
      <c r="B35" t="s">
        <v>312</v>
      </c>
      <c r="C35" t="s">
        <v>334</v>
      </c>
      <c r="D35" t="s">
        <v>2</v>
      </c>
      <c r="E35" t="s">
        <v>334</v>
      </c>
      <c r="F35" t="s">
        <v>13</v>
      </c>
      <c r="G35" t="s">
        <v>525</v>
      </c>
    </row>
    <row r="36" spans="1:7" x14ac:dyDescent="0.3">
      <c r="A36">
        <v>0</v>
      </c>
      <c r="B36" t="s">
        <v>312</v>
      </c>
      <c r="C36" t="s">
        <v>435</v>
      </c>
      <c r="D36" t="s">
        <v>2</v>
      </c>
      <c r="E36" t="s">
        <v>435</v>
      </c>
      <c r="F36" t="s">
        <v>13</v>
      </c>
      <c r="G36" t="s">
        <v>525</v>
      </c>
    </row>
    <row r="37" spans="1:7" x14ac:dyDescent="0.3">
      <c r="A37">
        <v>0</v>
      </c>
      <c r="B37" t="s">
        <v>319</v>
      </c>
      <c r="C37" t="s">
        <v>456</v>
      </c>
      <c r="D37" t="s">
        <v>2</v>
      </c>
      <c r="E37" t="s">
        <v>456</v>
      </c>
      <c r="F37" t="s">
        <v>13</v>
      </c>
      <c r="G37" t="s">
        <v>525</v>
      </c>
    </row>
    <row r="38" spans="1:7" x14ac:dyDescent="0.3">
      <c r="A38">
        <v>0</v>
      </c>
      <c r="B38" t="s">
        <v>312</v>
      </c>
      <c r="C38" t="s">
        <v>474</v>
      </c>
      <c r="D38" t="s">
        <v>2</v>
      </c>
      <c r="E38" t="s">
        <v>474</v>
      </c>
      <c r="F38" t="s">
        <v>13</v>
      </c>
      <c r="G38" t="s">
        <v>525</v>
      </c>
    </row>
    <row r="39" spans="1:7" x14ac:dyDescent="0.3">
      <c r="A39">
        <v>0</v>
      </c>
      <c r="B39" t="s">
        <v>319</v>
      </c>
      <c r="C39" t="s">
        <v>318</v>
      </c>
      <c r="D39" t="s">
        <v>2</v>
      </c>
      <c r="E39" t="s">
        <v>318</v>
      </c>
      <c r="F39" t="s">
        <v>13</v>
      </c>
      <c r="G39" t="s">
        <v>525</v>
      </c>
    </row>
    <row r="40" spans="1:7" x14ac:dyDescent="0.3">
      <c r="A40">
        <v>0</v>
      </c>
      <c r="B40" t="s">
        <v>314</v>
      </c>
      <c r="C40" t="s">
        <v>475</v>
      </c>
      <c r="D40" t="s">
        <v>2</v>
      </c>
      <c r="E40" t="s">
        <v>475</v>
      </c>
      <c r="F40" t="s">
        <v>13</v>
      </c>
      <c r="G40" t="s">
        <v>525</v>
      </c>
    </row>
    <row r="41" spans="1:7" x14ac:dyDescent="0.3">
      <c r="A41">
        <v>0</v>
      </c>
      <c r="B41" t="s">
        <v>314</v>
      </c>
      <c r="C41" t="s">
        <v>449</v>
      </c>
      <c r="D41" t="s">
        <v>2</v>
      </c>
      <c r="E41" t="s">
        <v>449</v>
      </c>
      <c r="F41" t="s">
        <v>13</v>
      </c>
      <c r="G41" t="s">
        <v>525</v>
      </c>
    </row>
    <row r="42" spans="1:7" x14ac:dyDescent="0.3">
      <c r="A42">
        <v>0</v>
      </c>
      <c r="B42" t="s">
        <v>314</v>
      </c>
      <c r="C42" t="s">
        <v>176</v>
      </c>
      <c r="D42" t="s">
        <v>2</v>
      </c>
      <c r="E42" t="s">
        <v>176</v>
      </c>
      <c r="F42" t="s">
        <v>13</v>
      </c>
      <c r="G42" t="s">
        <v>525</v>
      </c>
    </row>
    <row r="43" spans="1:7" x14ac:dyDescent="0.3">
      <c r="A43">
        <v>0</v>
      </c>
      <c r="B43" t="s">
        <v>312</v>
      </c>
      <c r="C43" t="s">
        <v>388</v>
      </c>
      <c r="D43" t="s">
        <v>2</v>
      </c>
      <c r="E43" t="s">
        <v>388</v>
      </c>
      <c r="F43" t="s">
        <v>13</v>
      </c>
      <c r="G43" t="s">
        <v>525</v>
      </c>
    </row>
    <row r="44" spans="1:7" x14ac:dyDescent="0.3">
      <c r="A44">
        <v>0</v>
      </c>
      <c r="B44" t="s">
        <v>319</v>
      </c>
      <c r="C44" t="s">
        <v>429</v>
      </c>
      <c r="D44" t="s">
        <v>2</v>
      </c>
      <c r="E44" t="s">
        <v>429</v>
      </c>
      <c r="F44" t="s">
        <v>13</v>
      </c>
      <c r="G44" t="s">
        <v>525</v>
      </c>
    </row>
    <row r="45" spans="1:7" x14ac:dyDescent="0.3">
      <c r="A45">
        <v>0</v>
      </c>
      <c r="B45" t="s">
        <v>312</v>
      </c>
      <c r="C45" t="s">
        <v>272</v>
      </c>
      <c r="D45" t="s">
        <v>2</v>
      </c>
      <c r="E45" t="s">
        <v>272</v>
      </c>
      <c r="F45" t="s">
        <v>13</v>
      </c>
      <c r="G45" t="s">
        <v>525</v>
      </c>
    </row>
    <row r="46" spans="1:7" x14ac:dyDescent="0.3">
      <c r="A46">
        <v>0</v>
      </c>
      <c r="B46" t="s">
        <v>312</v>
      </c>
      <c r="C46" t="s">
        <v>410</v>
      </c>
      <c r="D46" t="s">
        <v>2</v>
      </c>
      <c r="E46" t="s">
        <v>410</v>
      </c>
      <c r="F46" t="s">
        <v>13</v>
      </c>
      <c r="G46" t="s">
        <v>525</v>
      </c>
    </row>
    <row r="47" spans="1:7" x14ac:dyDescent="0.3">
      <c r="A47">
        <v>0</v>
      </c>
      <c r="B47" t="s">
        <v>319</v>
      </c>
      <c r="C47" t="s">
        <v>363</v>
      </c>
      <c r="D47" t="s">
        <v>2</v>
      </c>
      <c r="E47" t="s">
        <v>363</v>
      </c>
      <c r="F47" t="s">
        <v>13</v>
      </c>
      <c r="G47" t="s">
        <v>525</v>
      </c>
    </row>
    <row r="48" spans="1:7" x14ac:dyDescent="0.3">
      <c r="A48">
        <v>0</v>
      </c>
      <c r="B48" t="s">
        <v>312</v>
      </c>
      <c r="C48" t="s">
        <v>382</v>
      </c>
      <c r="D48" t="s">
        <v>2</v>
      </c>
      <c r="E48" t="s">
        <v>382</v>
      </c>
      <c r="F48" t="s">
        <v>13</v>
      </c>
      <c r="G48" t="s">
        <v>525</v>
      </c>
    </row>
    <row r="49" spans="1:7" x14ac:dyDescent="0.3">
      <c r="A49">
        <v>0</v>
      </c>
      <c r="B49" t="s">
        <v>312</v>
      </c>
      <c r="C49" t="s">
        <v>424</v>
      </c>
      <c r="D49" t="s">
        <v>2</v>
      </c>
      <c r="E49" t="s">
        <v>424</v>
      </c>
      <c r="F49" t="s">
        <v>13</v>
      </c>
      <c r="G49" t="s">
        <v>525</v>
      </c>
    </row>
    <row r="50" spans="1:7" x14ac:dyDescent="0.3">
      <c r="A50">
        <v>0</v>
      </c>
      <c r="B50" t="s">
        <v>314</v>
      </c>
      <c r="C50" t="s">
        <v>351</v>
      </c>
      <c r="D50" t="s">
        <v>2</v>
      </c>
      <c r="E50" t="s">
        <v>351</v>
      </c>
      <c r="F50" t="s">
        <v>13</v>
      </c>
      <c r="G50" t="s">
        <v>525</v>
      </c>
    </row>
    <row r="51" spans="1:7" x14ac:dyDescent="0.3">
      <c r="A51">
        <v>0</v>
      </c>
      <c r="B51" t="s">
        <v>312</v>
      </c>
      <c r="C51" t="s">
        <v>347</v>
      </c>
      <c r="D51" t="s">
        <v>2</v>
      </c>
      <c r="E51" t="s">
        <v>347</v>
      </c>
      <c r="F51" t="s">
        <v>13</v>
      </c>
      <c r="G51" t="s">
        <v>525</v>
      </c>
    </row>
    <row r="52" spans="1:7" x14ac:dyDescent="0.3">
      <c r="A52">
        <v>0</v>
      </c>
      <c r="B52" t="s">
        <v>314</v>
      </c>
      <c r="C52" t="s">
        <v>453</v>
      </c>
      <c r="D52" t="s">
        <v>2</v>
      </c>
      <c r="E52" t="s">
        <v>453</v>
      </c>
      <c r="F52" t="s">
        <v>13</v>
      </c>
      <c r="G52" t="s">
        <v>525</v>
      </c>
    </row>
    <row r="53" spans="1:7" x14ac:dyDescent="0.3">
      <c r="A53">
        <v>0</v>
      </c>
      <c r="B53" t="s">
        <v>319</v>
      </c>
      <c r="C53" t="s">
        <v>457</v>
      </c>
      <c r="D53" t="s">
        <v>2</v>
      </c>
      <c r="E53" t="s">
        <v>457</v>
      </c>
      <c r="F53" t="s">
        <v>13</v>
      </c>
      <c r="G53" t="s">
        <v>525</v>
      </c>
    </row>
    <row r="54" spans="1:7" x14ac:dyDescent="0.3">
      <c r="A54">
        <v>0</v>
      </c>
      <c r="B54" t="s">
        <v>312</v>
      </c>
      <c r="C54" t="s">
        <v>485</v>
      </c>
      <c r="D54" t="s">
        <v>2</v>
      </c>
      <c r="E54" t="s">
        <v>485</v>
      </c>
      <c r="F54" t="s">
        <v>13</v>
      </c>
      <c r="G54" t="s">
        <v>525</v>
      </c>
    </row>
    <row r="55" spans="1:7" x14ac:dyDescent="0.3">
      <c r="A55">
        <v>0</v>
      </c>
      <c r="B55" t="s">
        <v>312</v>
      </c>
      <c r="C55" t="s">
        <v>355</v>
      </c>
      <c r="D55" t="s">
        <v>2</v>
      </c>
      <c r="E55" t="s">
        <v>355</v>
      </c>
      <c r="F55" t="s">
        <v>13</v>
      </c>
      <c r="G55" t="s">
        <v>525</v>
      </c>
    </row>
    <row r="56" spans="1:7" x14ac:dyDescent="0.3">
      <c r="A56">
        <v>0</v>
      </c>
      <c r="B56" t="s">
        <v>312</v>
      </c>
      <c r="C56" t="s">
        <v>338</v>
      </c>
      <c r="D56" t="s">
        <v>2</v>
      </c>
      <c r="E56" t="s">
        <v>338</v>
      </c>
      <c r="F56" t="s">
        <v>13</v>
      </c>
      <c r="G56" t="s">
        <v>525</v>
      </c>
    </row>
    <row r="57" spans="1:7" x14ac:dyDescent="0.3">
      <c r="A57">
        <v>0</v>
      </c>
      <c r="B57" t="s">
        <v>312</v>
      </c>
      <c r="C57" t="s">
        <v>394</v>
      </c>
      <c r="D57" t="s">
        <v>2</v>
      </c>
      <c r="E57" t="s">
        <v>394</v>
      </c>
      <c r="F57" t="s">
        <v>13</v>
      </c>
      <c r="G57" t="s">
        <v>525</v>
      </c>
    </row>
    <row r="58" spans="1:7" x14ac:dyDescent="0.3">
      <c r="A58">
        <v>0</v>
      </c>
      <c r="B58" t="s">
        <v>312</v>
      </c>
      <c r="C58" t="s">
        <v>438</v>
      </c>
      <c r="D58" t="s">
        <v>2</v>
      </c>
      <c r="E58" t="s">
        <v>438</v>
      </c>
      <c r="F58" t="s">
        <v>13</v>
      </c>
      <c r="G58" t="s">
        <v>525</v>
      </c>
    </row>
    <row r="59" spans="1:7" x14ac:dyDescent="0.3">
      <c r="A59">
        <v>0</v>
      </c>
      <c r="B59" t="s">
        <v>312</v>
      </c>
      <c r="C59" t="s">
        <v>486</v>
      </c>
      <c r="D59" t="s">
        <v>2</v>
      </c>
      <c r="E59" t="s">
        <v>486</v>
      </c>
      <c r="F59" t="s">
        <v>13</v>
      </c>
      <c r="G59" t="s">
        <v>525</v>
      </c>
    </row>
    <row r="60" spans="1:7" x14ac:dyDescent="0.3">
      <c r="A60">
        <v>0</v>
      </c>
      <c r="B60" t="s">
        <v>319</v>
      </c>
      <c r="C60" t="s">
        <v>419</v>
      </c>
      <c r="D60" t="s">
        <v>2</v>
      </c>
      <c r="E60" t="s">
        <v>419</v>
      </c>
      <c r="F60" t="s">
        <v>13</v>
      </c>
      <c r="G60" t="s">
        <v>525</v>
      </c>
    </row>
    <row r="61" spans="1:7" x14ac:dyDescent="0.3">
      <c r="A61">
        <v>0</v>
      </c>
      <c r="B61" t="s">
        <v>57</v>
      </c>
      <c r="C61" t="s">
        <v>353</v>
      </c>
      <c r="D61" t="s">
        <v>2</v>
      </c>
      <c r="E61" t="s">
        <v>353</v>
      </c>
      <c r="F61" t="s">
        <v>13</v>
      </c>
      <c r="G61" t="s">
        <v>525</v>
      </c>
    </row>
    <row r="62" spans="1:7" x14ac:dyDescent="0.3">
      <c r="A62">
        <v>0</v>
      </c>
      <c r="B62" t="s">
        <v>319</v>
      </c>
      <c r="C62" t="s">
        <v>489</v>
      </c>
      <c r="D62" t="s">
        <v>2</v>
      </c>
      <c r="E62" t="s">
        <v>489</v>
      </c>
      <c r="F62" t="s">
        <v>13</v>
      </c>
      <c r="G62" t="s">
        <v>525</v>
      </c>
    </row>
    <row r="63" spans="1:7" x14ac:dyDescent="0.3">
      <c r="A63">
        <v>0</v>
      </c>
      <c r="B63" t="s">
        <v>312</v>
      </c>
      <c r="C63" t="s">
        <v>386</v>
      </c>
      <c r="D63" t="s">
        <v>2</v>
      </c>
      <c r="E63" t="s">
        <v>386</v>
      </c>
      <c r="F63" t="s">
        <v>13</v>
      </c>
      <c r="G63" t="s">
        <v>525</v>
      </c>
    </row>
    <row r="64" spans="1:7" x14ac:dyDescent="0.3">
      <c r="A64">
        <v>0</v>
      </c>
      <c r="B64" t="s">
        <v>319</v>
      </c>
      <c r="C64" t="s">
        <v>389</v>
      </c>
      <c r="D64" t="s">
        <v>2</v>
      </c>
      <c r="E64" t="s">
        <v>389</v>
      </c>
      <c r="F64" t="s">
        <v>13</v>
      </c>
      <c r="G64" t="s">
        <v>525</v>
      </c>
    </row>
    <row r="65" spans="1:7" x14ac:dyDescent="0.3">
      <c r="A65">
        <v>0</v>
      </c>
      <c r="B65" t="s">
        <v>312</v>
      </c>
      <c r="C65" t="s">
        <v>340</v>
      </c>
      <c r="D65" t="s">
        <v>2</v>
      </c>
      <c r="E65" t="s">
        <v>340</v>
      </c>
      <c r="F65" t="s">
        <v>13</v>
      </c>
      <c r="G65" t="s">
        <v>525</v>
      </c>
    </row>
    <row r="66" spans="1:7" x14ac:dyDescent="0.3">
      <c r="A66">
        <v>0</v>
      </c>
      <c r="B66" t="s">
        <v>312</v>
      </c>
      <c r="C66" t="s">
        <v>368</v>
      </c>
      <c r="D66" t="s">
        <v>2</v>
      </c>
      <c r="E66" t="s">
        <v>368</v>
      </c>
      <c r="F66" t="s">
        <v>13</v>
      </c>
      <c r="G66" t="s">
        <v>525</v>
      </c>
    </row>
    <row r="67" spans="1:7" x14ac:dyDescent="0.3">
      <c r="A67">
        <v>0</v>
      </c>
      <c r="B67" t="s">
        <v>312</v>
      </c>
      <c r="C67" t="s">
        <v>328</v>
      </c>
      <c r="D67" t="s">
        <v>2</v>
      </c>
      <c r="E67" t="s">
        <v>328</v>
      </c>
      <c r="F67" t="s">
        <v>13</v>
      </c>
      <c r="G67" t="s">
        <v>525</v>
      </c>
    </row>
    <row r="68" spans="1:7" x14ac:dyDescent="0.3">
      <c r="A68">
        <v>0</v>
      </c>
      <c r="B68" t="s">
        <v>312</v>
      </c>
      <c r="C68" t="s">
        <v>479</v>
      </c>
      <c r="D68" t="s">
        <v>2</v>
      </c>
      <c r="E68" t="s">
        <v>479</v>
      </c>
      <c r="F68" t="s">
        <v>13</v>
      </c>
      <c r="G68" t="s">
        <v>525</v>
      </c>
    </row>
    <row r="69" spans="1:7" x14ac:dyDescent="0.3">
      <c r="A69">
        <v>0</v>
      </c>
      <c r="B69" t="s">
        <v>57</v>
      </c>
      <c r="C69" t="s">
        <v>116</v>
      </c>
      <c r="D69" t="s">
        <v>2</v>
      </c>
      <c r="E69" t="s">
        <v>116</v>
      </c>
      <c r="F69" t="s">
        <v>13</v>
      </c>
      <c r="G69" t="s">
        <v>525</v>
      </c>
    </row>
    <row r="70" spans="1:7" x14ac:dyDescent="0.3">
      <c r="A70">
        <v>0</v>
      </c>
      <c r="B70" t="s">
        <v>312</v>
      </c>
      <c r="C70" t="s">
        <v>352</v>
      </c>
      <c r="D70" t="s">
        <v>2</v>
      </c>
      <c r="E70" t="s">
        <v>352</v>
      </c>
      <c r="F70" t="s">
        <v>13</v>
      </c>
      <c r="G70" t="s">
        <v>525</v>
      </c>
    </row>
    <row r="71" spans="1:7" x14ac:dyDescent="0.3">
      <c r="A71">
        <v>0</v>
      </c>
      <c r="B71" t="s">
        <v>312</v>
      </c>
      <c r="C71" t="s">
        <v>417</v>
      </c>
      <c r="D71" t="s">
        <v>2</v>
      </c>
      <c r="E71" t="s">
        <v>417</v>
      </c>
      <c r="F71" t="s">
        <v>13</v>
      </c>
      <c r="G71" t="s">
        <v>525</v>
      </c>
    </row>
    <row r="72" spans="1:7" x14ac:dyDescent="0.3">
      <c r="A72">
        <v>0</v>
      </c>
      <c r="B72" t="s">
        <v>312</v>
      </c>
      <c r="C72" t="s">
        <v>447</v>
      </c>
      <c r="D72" t="s">
        <v>2</v>
      </c>
      <c r="E72" t="s">
        <v>447</v>
      </c>
      <c r="F72" t="s">
        <v>13</v>
      </c>
      <c r="G72" t="s">
        <v>525</v>
      </c>
    </row>
    <row r="73" spans="1:7" x14ac:dyDescent="0.3">
      <c r="A73">
        <v>0</v>
      </c>
      <c r="B73" t="s">
        <v>319</v>
      </c>
      <c r="C73" t="s">
        <v>329</v>
      </c>
      <c r="D73" t="s">
        <v>2</v>
      </c>
      <c r="E73" t="s">
        <v>329</v>
      </c>
      <c r="F73" t="s">
        <v>13</v>
      </c>
      <c r="G73" t="s">
        <v>525</v>
      </c>
    </row>
    <row r="74" spans="1:7" x14ac:dyDescent="0.3">
      <c r="A74">
        <v>0</v>
      </c>
      <c r="B74" t="s">
        <v>312</v>
      </c>
      <c r="C74" t="s">
        <v>252</v>
      </c>
      <c r="D74" t="s">
        <v>2</v>
      </c>
      <c r="E74" t="s">
        <v>252</v>
      </c>
      <c r="F74" t="s">
        <v>13</v>
      </c>
      <c r="G74" t="s">
        <v>525</v>
      </c>
    </row>
    <row r="75" spans="1:7" x14ac:dyDescent="0.3">
      <c r="A75">
        <v>0</v>
      </c>
      <c r="B75" t="s">
        <v>312</v>
      </c>
      <c r="C75" t="s">
        <v>317</v>
      </c>
      <c r="D75" t="s">
        <v>2</v>
      </c>
      <c r="E75" t="s">
        <v>317</v>
      </c>
      <c r="F75" t="s">
        <v>13</v>
      </c>
      <c r="G75" t="s">
        <v>525</v>
      </c>
    </row>
    <row r="76" spans="1:7" x14ac:dyDescent="0.3">
      <c r="A76">
        <v>0</v>
      </c>
      <c r="B76" t="s">
        <v>312</v>
      </c>
      <c r="C76" t="s">
        <v>436</v>
      </c>
      <c r="D76" t="s">
        <v>2</v>
      </c>
      <c r="E76" t="s">
        <v>436</v>
      </c>
      <c r="F76" t="s">
        <v>13</v>
      </c>
      <c r="G76" t="s">
        <v>525</v>
      </c>
    </row>
    <row r="77" spans="1:7" x14ac:dyDescent="0.3">
      <c r="A77">
        <v>0</v>
      </c>
      <c r="B77" t="s">
        <v>319</v>
      </c>
      <c r="C77" t="s">
        <v>490</v>
      </c>
      <c r="D77" t="s">
        <v>2</v>
      </c>
      <c r="E77" t="s">
        <v>490</v>
      </c>
      <c r="F77" t="s">
        <v>13</v>
      </c>
      <c r="G77" t="s">
        <v>525</v>
      </c>
    </row>
    <row r="78" spans="1:7" x14ac:dyDescent="0.3">
      <c r="A78">
        <v>0</v>
      </c>
      <c r="B78" t="s">
        <v>312</v>
      </c>
      <c r="C78" t="s">
        <v>391</v>
      </c>
      <c r="D78" t="s">
        <v>2</v>
      </c>
      <c r="E78" t="s">
        <v>391</v>
      </c>
      <c r="F78" t="s">
        <v>13</v>
      </c>
      <c r="G78" t="s">
        <v>525</v>
      </c>
    </row>
    <row r="79" spans="1:7" x14ac:dyDescent="0.3">
      <c r="A79">
        <v>0</v>
      </c>
      <c r="B79" t="s">
        <v>312</v>
      </c>
      <c r="C79" t="s">
        <v>235</v>
      </c>
      <c r="D79" t="s">
        <v>2</v>
      </c>
      <c r="E79" t="s">
        <v>235</v>
      </c>
      <c r="F79" t="s">
        <v>13</v>
      </c>
      <c r="G79" t="s">
        <v>525</v>
      </c>
    </row>
    <row r="80" spans="1:7" x14ac:dyDescent="0.3">
      <c r="A80">
        <v>0</v>
      </c>
      <c r="B80" t="s">
        <v>312</v>
      </c>
      <c r="C80" t="s">
        <v>493</v>
      </c>
      <c r="D80" t="s">
        <v>2</v>
      </c>
      <c r="E80" t="s">
        <v>493</v>
      </c>
      <c r="F80" t="s">
        <v>13</v>
      </c>
      <c r="G80" t="s">
        <v>525</v>
      </c>
    </row>
    <row r="81" spans="1:7" x14ac:dyDescent="0.3">
      <c r="A81">
        <v>0</v>
      </c>
      <c r="B81" t="s">
        <v>312</v>
      </c>
      <c r="C81" t="s">
        <v>335</v>
      </c>
      <c r="D81" t="s">
        <v>2</v>
      </c>
      <c r="E81" t="s">
        <v>335</v>
      </c>
      <c r="F81" t="s">
        <v>13</v>
      </c>
      <c r="G81" t="s">
        <v>525</v>
      </c>
    </row>
    <row r="82" spans="1:7" x14ac:dyDescent="0.3">
      <c r="A82">
        <v>0</v>
      </c>
      <c r="B82" t="s">
        <v>312</v>
      </c>
      <c r="C82" t="s">
        <v>354</v>
      </c>
      <c r="D82" t="s">
        <v>2</v>
      </c>
      <c r="E82" t="s">
        <v>354</v>
      </c>
      <c r="F82" t="s">
        <v>13</v>
      </c>
      <c r="G82" t="s">
        <v>525</v>
      </c>
    </row>
    <row r="83" spans="1:7" x14ac:dyDescent="0.3">
      <c r="A83">
        <v>0</v>
      </c>
      <c r="B83" t="s">
        <v>319</v>
      </c>
      <c r="C83" t="s">
        <v>360</v>
      </c>
      <c r="D83" t="s">
        <v>2</v>
      </c>
      <c r="E83" t="s">
        <v>360</v>
      </c>
      <c r="F83" t="s">
        <v>13</v>
      </c>
      <c r="G83" t="s">
        <v>525</v>
      </c>
    </row>
    <row r="84" spans="1:7" x14ac:dyDescent="0.3">
      <c r="A84">
        <v>0</v>
      </c>
      <c r="B84" t="s">
        <v>314</v>
      </c>
      <c r="C84" t="s">
        <v>356</v>
      </c>
      <c r="D84" t="s">
        <v>2</v>
      </c>
      <c r="E84" t="s">
        <v>356</v>
      </c>
      <c r="F84" t="s">
        <v>13</v>
      </c>
      <c r="G84" t="s">
        <v>525</v>
      </c>
    </row>
    <row r="85" spans="1:7" x14ac:dyDescent="0.3">
      <c r="A85">
        <v>0</v>
      </c>
      <c r="B85" t="s">
        <v>312</v>
      </c>
      <c r="C85" t="s">
        <v>405</v>
      </c>
      <c r="D85" t="s">
        <v>2</v>
      </c>
      <c r="E85" t="s">
        <v>405</v>
      </c>
      <c r="F85" t="s">
        <v>13</v>
      </c>
      <c r="G85" t="s">
        <v>525</v>
      </c>
    </row>
    <row r="86" spans="1:7" x14ac:dyDescent="0.3">
      <c r="A86">
        <v>0</v>
      </c>
      <c r="B86" t="s">
        <v>312</v>
      </c>
      <c r="C86" t="s">
        <v>471</v>
      </c>
      <c r="D86" t="s">
        <v>2</v>
      </c>
      <c r="E86" t="s">
        <v>471</v>
      </c>
      <c r="F86" t="s">
        <v>13</v>
      </c>
      <c r="G86" t="s">
        <v>525</v>
      </c>
    </row>
    <row r="87" spans="1:7" x14ac:dyDescent="0.3">
      <c r="A87">
        <v>0</v>
      </c>
      <c r="B87" t="s">
        <v>319</v>
      </c>
      <c r="C87" t="s">
        <v>421</v>
      </c>
      <c r="D87" t="s">
        <v>2</v>
      </c>
      <c r="E87" t="s">
        <v>421</v>
      </c>
      <c r="F87" t="s">
        <v>13</v>
      </c>
      <c r="G87" t="s">
        <v>525</v>
      </c>
    </row>
    <row r="88" spans="1:7" x14ac:dyDescent="0.3">
      <c r="A88">
        <v>0</v>
      </c>
      <c r="B88" t="s">
        <v>312</v>
      </c>
      <c r="C88" t="s">
        <v>321</v>
      </c>
      <c r="D88" t="s">
        <v>2</v>
      </c>
      <c r="E88" t="s">
        <v>321</v>
      </c>
      <c r="F88" t="s">
        <v>13</v>
      </c>
      <c r="G88" t="s">
        <v>525</v>
      </c>
    </row>
    <row r="89" spans="1:7" x14ac:dyDescent="0.3">
      <c r="A89">
        <v>0</v>
      </c>
      <c r="B89" t="s">
        <v>105</v>
      </c>
      <c r="C89" t="s">
        <v>113</v>
      </c>
      <c r="D89" t="s">
        <v>2</v>
      </c>
      <c r="E89" t="s">
        <v>113</v>
      </c>
      <c r="F89" t="s">
        <v>13</v>
      </c>
      <c r="G89" t="s">
        <v>525</v>
      </c>
    </row>
    <row r="90" spans="1:7" x14ac:dyDescent="0.3">
      <c r="A90">
        <v>0</v>
      </c>
      <c r="B90" t="s">
        <v>312</v>
      </c>
      <c r="C90" t="s">
        <v>348</v>
      </c>
      <c r="D90" t="s">
        <v>2</v>
      </c>
      <c r="E90" t="s">
        <v>348</v>
      </c>
      <c r="F90" t="s">
        <v>13</v>
      </c>
      <c r="G90" t="s">
        <v>525</v>
      </c>
    </row>
    <row r="91" spans="1:7" x14ac:dyDescent="0.3">
      <c r="A91">
        <v>0</v>
      </c>
      <c r="B91" t="s">
        <v>105</v>
      </c>
      <c r="C91" t="s">
        <v>469</v>
      </c>
      <c r="D91" t="s">
        <v>2</v>
      </c>
      <c r="E91" t="s">
        <v>469</v>
      </c>
      <c r="F91" t="s">
        <v>13</v>
      </c>
      <c r="G91" t="s">
        <v>525</v>
      </c>
    </row>
    <row r="92" spans="1:7" x14ac:dyDescent="0.3">
      <c r="A92">
        <v>0</v>
      </c>
      <c r="B92" t="s">
        <v>314</v>
      </c>
      <c r="C92" t="s">
        <v>481</v>
      </c>
      <c r="D92" t="s">
        <v>2</v>
      </c>
      <c r="E92" t="s">
        <v>481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398</v>
      </c>
      <c r="D93" t="s">
        <v>2</v>
      </c>
      <c r="E93" t="s">
        <v>398</v>
      </c>
      <c r="F93" t="s">
        <v>13</v>
      </c>
      <c r="G93" t="s">
        <v>525</v>
      </c>
    </row>
    <row r="94" spans="1:7" x14ac:dyDescent="0.3">
      <c r="A94">
        <v>0</v>
      </c>
      <c r="B94" t="s">
        <v>314</v>
      </c>
      <c r="C94" t="s">
        <v>342</v>
      </c>
      <c r="D94" t="s">
        <v>2</v>
      </c>
      <c r="E94" t="s">
        <v>342</v>
      </c>
      <c r="F94" t="s">
        <v>13</v>
      </c>
      <c r="G94" t="s">
        <v>525</v>
      </c>
    </row>
    <row r="95" spans="1:7" x14ac:dyDescent="0.3">
      <c r="A95">
        <v>0</v>
      </c>
      <c r="B95" t="s">
        <v>312</v>
      </c>
      <c r="C95" t="s">
        <v>322</v>
      </c>
      <c r="D95" t="s">
        <v>2</v>
      </c>
      <c r="E95" t="s">
        <v>322</v>
      </c>
      <c r="F95" t="s">
        <v>13</v>
      </c>
      <c r="G95" t="s">
        <v>525</v>
      </c>
    </row>
    <row r="96" spans="1:7" x14ac:dyDescent="0.3">
      <c r="A96">
        <v>0</v>
      </c>
      <c r="B96" t="s">
        <v>314</v>
      </c>
      <c r="C96" t="s">
        <v>409</v>
      </c>
      <c r="D96" t="s">
        <v>2</v>
      </c>
      <c r="E96" t="s">
        <v>409</v>
      </c>
      <c r="F96" t="s">
        <v>13</v>
      </c>
      <c r="G96" t="s">
        <v>525</v>
      </c>
    </row>
    <row r="97" spans="1:7" x14ac:dyDescent="0.3">
      <c r="A97">
        <v>0</v>
      </c>
      <c r="B97" t="s">
        <v>314</v>
      </c>
      <c r="C97" t="s">
        <v>480</v>
      </c>
      <c r="D97" t="s">
        <v>2</v>
      </c>
      <c r="E97" t="s">
        <v>480</v>
      </c>
      <c r="F97" t="s">
        <v>13</v>
      </c>
      <c r="G97" t="s">
        <v>525</v>
      </c>
    </row>
    <row r="98" spans="1:7" x14ac:dyDescent="0.3">
      <c r="A98">
        <v>0</v>
      </c>
      <c r="B98" t="s">
        <v>105</v>
      </c>
      <c r="C98" t="s">
        <v>121</v>
      </c>
      <c r="D98" t="s">
        <v>2</v>
      </c>
      <c r="E98" t="s">
        <v>121</v>
      </c>
      <c r="F98" t="s">
        <v>13</v>
      </c>
      <c r="G98" t="s">
        <v>525</v>
      </c>
    </row>
    <row r="99" spans="1:7" x14ac:dyDescent="0.3">
      <c r="A99">
        <v>0</v>
      </c>
      <c r="B99" t="s">
        <v>312</v>
      </c>
      <c r="C99" t="s">
        <v>359</v>
      </c>
      <c r="D99" t="s">
        <v>2</v>
      </c>
      <c r="E99" t="s">
        <v>359</v>
      </c>
      <c r="F99" t="s">
        <v>13</v>
      </c>
      <c r="G99" t="s">
        <v>525</v>
      </c>
    </row>
    <row r="100" spans="1:7" x14ac:dyDescent="0.3">
      <c r="A100">
        <v>0</v>
      </c>
      <c r="B100" t="s">
        <v>319</v>
      </c>
      <c r="C100" t="s">
        <v>468</v>
      </c>
      <c r="D100" t="s">
        <v>2</v>
      </c>
      <c r="E100" t="s">
        <v>468</v>
      </c>
      <c r="F100" t="s">
        <v>13</v>
      </c>
      <c r="G100" t="s">
        <v>525</v>
      </c>
    </row>
    <row r="101" spans="1:7" x14ac:dyDescent="0.3">
      <c r="A101">
        <v>0</v>
      </c>
      <c r="B101" t="s">
        <v>319</v>
      </c>
      <c r="C101" t="s">
        <v>458</v>
      </c>
      <c r="D101" t="s">
        <v>2</v>
      </c>
      <c r="E101" t="s">
        <v>458</v>
      </c>
      <c r="F101" t="s">
        <v>13</v>
      </c>
      <c r="G101" t="s">
        <v>525</v>
      </c>
    </row>
    <row r="102" spans="1:7" x14ac:dyDescent="0.3">
      <c r="A102">
        <v>0</v>
      </c>
      <c r="B102" t="s">
        <v>312</v>
      </c>
      <c r="C102" t="s">
        <v>370</v>
      </c>
      <c r="D102" t="s">
        <v>2</v>
      </c>
      <c r="E102" t="s">
        <v>370</v>
      </c>
      <c r="F102" t="s">
        <v>13</v>
      </c>
      <c r="G102" t="s">
        <v>525</v>
      </c>
    </row>
    <row r="103" spans="1:7" x14ac:dyDescent="0.3">
      <c r="A103">
        <v>0</v>
      </c>
      <c r="B103" t="s">
        <v>57</v>
      </c>
      <c r="C103" t="s">
        <v>114</v>
      </c>
      <c r="D103" t="s">
        <v>2</v>
      </c>
      <c r="E103" t="s">
        <v>114</v>
      </c>
      <c r="F103" t="s">
        <v>13</v>
      </c>
      <c r="G103" t="s">
        <v>525</v>
      </c>
    </row>
    <row r="104" spans="1:7" x14ac:dyDescent="0.3">
      <c r="A104">
        <v>0</v>
      </c>
      <c r="B104" t="s">
        <v>319</v>
      </c>
      <c r="C104" t="s">
        <v>404</v>
      </c>
      <c r="D104" t="s">
        <v>2</v>
      </c>
      <c r="E104" t="s">
        <v>404</v>
      </c>
      <c r="F104" t="s">
        <v>13</v>
      </c>
      <c r="G104" t="s">
        <v>525</v>
      </c>
    </row>
    <row r="105" spans="1:7" x14ac:dyDescent="0.3">
      <c r="A105">
        <v>0</v>
      </c>
      <c r="B105" t="s">
        <v>312</v>
      </c>
      <c r="C105" t="s">
        <v>369</v>
      </c>
      <c r="D105" t="s">
        <v>2</v>
      </c>
      <c r="E105" t="s">
        <v>369</v>
      </c>
      <c r="F105" t="s">
        <v>13</v>
      </c>
      <c r="G105" t="s">
        <v>525</v>
      </c>
    </row>
    <row r="106" spans="1:7" x14ac:dyDescent="0.3">
      <c r="A106">
        <v>0</v>
      </c>
      <c r="B106" t="s">
        <v>57</v>
      </c>
      <c r="C106" t="s">
        <v>122</v>
      </c>
      <c r="D106" t="s">
        <v>2</v>
      </c>
      <c r="E106" t="s">
        <v>122</v>
      </c>
      <c r="F106" t="s">
        <v>13</v>
      </c>
      <c r="G106" t="s">
        <v>525</v>
      </c>
    </row>
    <row r="107" spans="1:7" x14ac:dyDescent="0.3">
      <c r="A107">
        <v>0</v>
      </c>
      <c r="B107" t="s">
        <v>319</v>
      </c>
      <c r="C107" t="s">
        <v>390</v>
      </c>
      <c r="D107" t="s">
        <v>2</v>
      </c>
      <c r="E107" t="s">
        <v>390</v>
      </c>
      <c r="F107" t="s">
        <v>13</v>
      </c>
      <c r="G107" t="s">
        <v>525</v>
      </c>
    </row>
    <row r="108" spans="1:7" x14ac:dyDescent="0.3">
      <c r="A108">
        <v>0</v>
      </c>
      <c r="B108" t="s">
        <v>312</v>
      </c>
      <c r="C108" t="s">
        <v>492</v>
      </c>
      <c r="D108" t="s">
        <v>2</v>
      </c>
      <c r="E108" t="s">
        <v>492</v>
      </c>
      <c r="F108" t="s">
        <v>13</v>
      </c>
      <c r="G108" t="s">
        <v>525</v>
      </c>
    </row>
    <row r="109" spans="1:7" x14ac:dyDescent="0.3">
      <c r="A109">
        <v>0</v>
      </c>
      <c r="B109" t="s">
        <v>312</v>
      </c>
      <c r="C109" t="s">
        <v>345</v>
      </c>
      <c r="D109" t="s">
        <v>2</v>
      </c>
      <c r="E109" t="s">
        <v>345</v>
      </c>
      <c r="F109" t="s">
        <v>13</v>
      </c>
      <c r="G109" t="s">
        <v>525</v>
      </c>
    </row>
    <row r="110" spans="1:7" x14ac:dyDescent="0.3">
      <c r="A110">
        <v>0</v>
      </c>
      <c r="B110" t="s">
        <v>314</v>
      </c>
      <c r="C110" t="s">
        <v>374</v>
      </c>
      <c r="D110" t="s">
        <v>2</v>
      </c>
      <c r="E110" t="s">
        <v>374</v>
      </c>
      <c r="F110" t="s">
        <v>13</v>
      </c>
      <c r="G110" t="s">
        <v>525</v>
      </c>
    </row>
    <row r="111" spans="1:7" x14ac:dyDescent="0.3">
      <c r="A111">
        <v>0</v>
      </c>
      <c r="B111" t="s">
        <v>105</v>
      </c>
      <c r="C111" t="s">
        <v>124</v>
      </c>
      <c r="D111" t="s">
        <v>2</v>
      </c>
      <c r="E111" t="s">
        <v>124</v>
      </c>
      <c r="F111" t="s">
        <v>13</v>
      </c>
      <c r="G111" t="s">
        <v>525</v>
      </c>
    </row>
    <row r="112" spans="1:7" x14ac:dyDescent="0.3">
      <c r="A112">
        <v>0</v>
      </c>
      <c r="B112" t="s">
        <v>312</v>
      </c>
      <c r="C112" t="s">
        <v>440</v>
      </c>
      <c r="D112" t="s">
        <v>2</v>
      </c>
      <c r="E112" t="s">
        <v>440</v>
      </c>
      <c r="F112" t="s">
        <v>13</v>
      </c>
      <c r="G112" t="s">
        <v>525</v>
      </c>
    </row>
    <row r="113" spans="1:7" x14ac:dyDescent="0.3">
      <c r="A113">
        <v>0</v>
      </c>
      <c r="B113" t="s">
        <v>312</v>
      </c>
      <c r="C113" t="s">
        <v>316</v>
      </c>
      <c r="D113" t="s">
        <v>2</v>
      </c>
      <c r="E113" t="s">
        <v>316</v>
      </c>
      <c r="F113" t="s">
        <v>13</v>
      </c>
      <c r="G113" t="s">
        <v>525</v>
      </c>
    </row>
    <row r="114" spans="1:7" x14ac:dyDescent="0.3">
      <c r="A114">
        <v>0</v>
      </c>
      <c r="B114" t="s">
        <v>312</v>
      </c>
      <c r="C114" t="s">
        <v>427</v>
      </c>
      <c r="D114" t="s">
        <v>2</v>
      </c>
      <c r="E114" t="s">
        <v>427</v>
      </c>
      <c r="F114" t="s">
        <v>13</v>
      </c>
      <c r="G114" t="s">
        <v>525</v>
      </c>
    </row>
    <row r="115" spans="1:7" x14ac:dyDescent="0.3">
      <c r="A115">
        <v>0</v>
      </c>
      <c r="B115" t="s">
        <v>312</v>
      </c>
      <c r="C115" t="s">
        <v>332</v>
      </c>
      <c r="D115" t="s">
        <v>2</v>
      </c>
      <c r="E115" t="s">
        <v>332</v>
      </c>
      <c r="F115" t="s">
        <v>13</v>
      </c>
      <c r="G115" t="s">
        <v>525</v>
      </c>
    </row>
    <row r="116" spans="1:7" x14ac:dyDescent="0.3">
      <c r="A116">
        <v>0</v>
      </c>
      <c r="B116" t="s">
        <v>312</v>
      </c>
      <c r="C116" t="s">
        <v>336</v>
      </c>
      <c r="D116" t="s">
        <v>2</v>
      </c>
      <c r="E116" t="s">
        <v>336</v>
      </c>
      <c r="F116" t="s">
        <v>13</v>
      </c>
      <c r="G116" t="s">
        <v>525</v>
      </c>
    </row>
    <row r="117" spans="1:7" x14ac:dyDescent="0.3">
      <c r="A117">
        <v>0</v>
      </c>
      <c r="B117" t="s">
        <v>314</v>
      </c>
      <c r="C117" t="s">
        <v>393</v>
      </c>
      <c r="D117" t="s">
        <v>2</v>
      </c>
      <c r="E117" t="s">
        <v>393</v>
      </c>
      <c r="F117" t="s">
        <v>13</v>
      </c>
      <c r="G117" t="s">
        <v>525</v>
      </c>
    </row>
    <row r="118" spans="1:7" x14ac:dyDescent="0.3">
      <c r="A118">
        <v>0</v>
      </c>
      <c r="B118" t="s">
        <v>312</v>
      </c>
      <c r="C118" t="s">
        <v>339</v>
      </c>
      <c r="D118" t="s">
        <v>2</v>
      </c>
      <c r="E118" t="s">
        <v>339</v>
      </c>
      <c r="F118" t="s">
        <v>13</v>
      </c>
      <c r="G118" t="s">
        <v>525</v>
      </c>
    </row>
    <row r="119" spans="1:7" x14ac:dyDescent="0.3">
      <c r="A119">
        <v>0</v>
      </c>
      <c r="B119" t="s">
        <v>312</v>
      </c>
      <c r="C119" t="s">
        <v>400</v>
      </c>
      <c r="D119" t="s">
        <v>2</v>
      </c>
      <c r="E119" t="s">
        <v>400</v>
      </c>
      <c r="F119" t="s">
        <v>13</v>
      </c>
      <c r="G119" t="s">
        <v>525</v>
      </c>
    </row>
    <row r="120" spans="1:7" x14ac:dyDescent="0.3">
      <c r="A120">
        <v>0</v>
      </c>
      <c r="B120" t="s">
        <v>312</v>
      </c>
      <c r="C120" t="s">
        <v>380</v>
      </c>
      <c r="D120" t="s">
        <v>2</v>
      </c>
      <c r="E120" t="s">
        <v>380</v>
      </c>
      <c r="F120" t="s">
        <v>13</v>
      </c>
      <c r="G120" t="s">
        <v>525</v>
      </c>
    </row>
    <row r="121" spans="1:7" x14ac:dyDescent="0.3">
      <c r="A121">
        <v>0</v>
      </c>
      <c r="B121" t="s">
        <v>312</v>
      </c>
      <c r="C121" t="s">
        <v>442</v>
      </c>
      <c r="D121" t="s">
        <v>2</v>
      </c>
      <c r="E121" t="s">
        <v>442</v>
      </c>
      <c r="F121" t="s">
        <v>13</v>
      </c>
      <c r="G121" t="s">
        <v>525</v>
      </c>
    </row>
    <row r="122" spans="1:7" x14ac:dyDescent="0.3">
      <c r="A122">
        <v>0</v>
      </c>
      <c r="B122" t="s">
        <v>314</v>
      </c>
      <c r="C122" t="s">
        <v>349</v>
      </c>
      <c r="D122" t="s">
        <v>2</v>
      </c>
      <c r="E122" t="s">
        <v>349</v>
      </c>
      <c r="F122" t="s">
        <v>13</v>
      </c>
      <c r="G122" t="s">
        <v>525</v>
      </c>
    </row>
    <row r="123" spans="1:7" x14ac:dyDescent="0.3">
      <c r="A123">
        <v>0</v>
      </c>
      <c r="B123" t="s">
        <v>57</v>
      </c>
      <c r="C123" t="s">
        <v>470</v>
      </c>
      <c r="D123" t="s">
        <v>2</v>
      </c>
      <c r="E123" t="s">
        <v>470</v>
      </c>
      <c r="F123" t="s">
        <v>13</v>
      </c>
      <c r="G123" t="s">
        <v>525</v>
      </c>
    </row>
    <row r="124" spans="1:7" x14ac:dyDescent="0.3">
      <c r="A124">
        <v>0</v>
      </c>
      <c r="B124" t="s">
        <v>319</v>
      </c>
      <c r="C124" t="s">
        <v>463</v>
      </c>
      <c r="D124" t="s">
        <v>2</v>
      </c>
      <c r="E124" t="s">
        <v>463</v>
      </c>
      <c r="F124" t="s">
        <v>13</v>
      </c>
      <c r="G124" t="s">
        <v>525</v>
      </c>
    </row>
    <row r="125" spans="1:7" x14ac:dyDescent="0.3">
      <c r="A125">
        <v>0</v>
      </c>
      <c r="B125" t="s">
        <v>314</v>
      </c>
      <c r="C125" t="s">
        <v>343</v>
      </c>
      <c r="D125" t="s">
        <v>2</v>
      </c>
      <c r="E125" t="s">
        <v>343</v>
      </c>
      <c r="F125" t="s">
        <v>13</v>
      </c>
      <c r="G125" t="s">
        <v>525</v>
      </c>
    </row>
    <row r="126" spans="1:7" x14ac:dyDescent="0.3">
      <c r="A126">
        <v>0</v>
      </c>
      <c r="B126" t="s">
        <v>312</v>
      </c>
      <c r="C126" t="s">
        <v>371</v>
      </c>
      <c r="D126" t="s">
        <v>2</v>
      </c>
      <c r="E126" t="s">
        <v>371</v>
      </c>
      <c r="F126" t="s">
        <v>13</v>
      </c>
      <c r="G126" t="s">
        <v>525</v>
      </c>
    </row>
    <row r="127" spans="1:7" x14ac:dyDescent="0.3">
      <c r="A127">
        <v>0</v>
      </c>
      <c r="B127" t="s">
        <v>312</v>
      </c>
      <c r="C127" t="s">
        <v>366</v>
      </c>
      <c r="D127" t="s">
        <v>2</v>
      </c>
      <c r="E127" t="s">
        <v>366</v>
      </c>
      <c r="F127" t="s">
        <v>13</v>
      </c>
      <c r="G127" t="s">
        <v>525</v>
      </c>
    </row>
    <row r="128" spans="1:7" x14ac:dyDescent="0.3">
      <c r="A128">
        <v>0</v>
      </c>
      <c r="B128" t="s">
        <v>312</v>
      </c>
      <c r="C128" t="s">
        <v>384</v>
      </c>
      <c r="D128" t="s">
        <v>2</v>
      </c>
      <c r="E128" t="s">
        <v>384</v>
      </c>
      <c r="F128" t="s">
        <v>13</v>
      </c>
      <c r="G128" t="s">
        <v>525</v>
      </c>
    </row>
    <row r="129" spans="1:7" x14ac:dyDescent="0.3">
      <c r="A129">
        <v>0</v>
      </c>
      <c r="B129" t="s">
        <v>319</v>
      </c>
      <c r="C129" t="s">
        <v>464</v>
      </c>
      <c r="D129" t="s">
        <v>2</v>
      </c>
      <c r="E129" t="s">
        <v>464</v>
      </c>
      <c r="F129" t="s">
        <v>13</v>
      </c>
      <c r="G129" t="s">
        <v>525</v>
      </c>
    </row>
    <row r="130" spans="1:7" x14ac:dyDescent="0.3">
      <c r="A130">
        <v>0</v>
      </c>
      <c r="B130" t="s">
        <v>312</v>
      </c>
      <c r="C130" t="s">
        <v>323</v>
      </c>
      <c r="D130" t="s">
        <v>2</v>
      </c>
      <c r="E130" t="s">
        <v>323</v>
      </c>
      <c r="F130" t="s">
        <v>13</v>
      </c>
      <c r="G130" t="s">
        <v>525</v>
      </c>
    </row>
    <row r="131" spans="1:7" x14ac:dyDescent="0.3">
      <c r="A131">
        <v>0</v>
      </c>
      <c r="B131" t="s">
        <v>314</v>
      </c>
      <c r="C131" t="s">
        <v>414</v>
      </c>
      <c r="D131" t="s">
        <v>2</v>
      </c>
      <c r="E131" t="s">
        <v>414</v>
      </c>
      <c r="F131" t="s">
        <v>13</v>
      </c>
      <c r="G131" t="s">
        <v>525</v>
      </c>
    </row>
    <row r="132" spans="1:7" x14ac:dyDescent="0.3">
      <c r="A132">
        <v>0</v>
      </c>
      <c r="B132" t="s">
        <v>312</v>
      </c>
      <c r="C132" t="s">
        <v>261</v>
      </c>
      <c r="D132" t="s">
        <v>2</v>
      </c>
      <c r="E132" t="s">
        <v>261</v>
      </c>
      <c r="F132" t="s">
        <v>13</v>
      </c>
      <c r="G132" t="s">
        <v>525</v>
      </c>
    </row>
    <row r="133" spans="1:7" x14ac:dyDescent="0.3">
      <c r="A133">
        <v>0</v>
      </c>
      <c r="B133" t="s">
        <v>319</v>
      </c>
      <c r="C133" t="s">
        <v>364</v>
      </c>
      <c r="D133" t="s">
        <v>2</v>
      </c>
      <c r="E133" t="s">
        <v>364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373</v>
      </c>
      <c r="D134" t="s">
        <v>2</v>
      </c>
      <c r="E134" t="s">
        <v>373</v>
      </c>
      <c r="F134" t="s">
        <v>13</v>
      </c>
      <c r="G134" t="s">
        <v>525</v>
      </c>
    </row>
    <row r="135" spans="1:7" x14ac:dyDescent="0.3">
      <c r="A135">
        <v>0</v>
      </c>
      <c r="B135" t="s">
        <v>312</v>
      </c>
      <c r="C135" t="s">
        <v>482</v>
      </c>
      <c r="D135" t="s">
        <v>2</v>
      </c>
      <c r="E135" t="s">
        <v>482</v>
      </c>
      <c r="F135" t="s">
        <v>13</v>
      </c>
      <c r="G135" t="s">
        <v>525</v>
      </c>
    </row>
    <row r="136" spans="1:7" x14ac:dyDescent="0.3">
      <c r="A136">
        <v>0</v>
      </c>
      <c r="B136" t="s">
        <v>312</v>
      </c>
      <c r="C136" t="s">
        <v>412</v>
      </c>
      <c r="D136" t="s">
        <v>2</v>
      </c>
      <c r="E136" t="s">
        <v>412</v>
      </c>
      <c r="F136" t="s">
        <v>13</v>
      </c>
      <c r="G136" t="s">
        <v>525</v>
      </c>
    </row>
    <row r="137" spans="1:7" x14ac:dyDescent="0.3">
      <c r="A137">
        <v>0</v>
      </c>
      <c r="B137" t="s">
        <v>312</v>
      </c>
      <c r="C137" t="s">
        <v>434</v>
      </c>
      <c r="D137" t="s">
        <v>2</v>
      </c>
      <c r="E137" t="s">
        <v>434</v>
      </c>
      <c r="F137" t="s">
        <v>13</v>
      </c>
      <c r="G137" t="s">
        <v>525</v>
      </c>
    </row>
    <row r="138" spans="1:7" x14ac:dyDescent="0.3">
      <c r="A138">
        <v>0</v>
      </c>
      <c r="B138" t="s">
        <v>314</v>
      </c>
      <c r="C138" t="s">
        <v>443</v>
      </c>
      <c r="D138" t="s">
        <v>2</v>
      </c>
      <c r="E138" t="s">
        <v>443</v>
      </c>
      <c r="F138" t="s">
        <v>13</v>
      </c>
      <c r="G138" t="s">
        <v>525</v>
      </c>
    </row>
    <row r="139" spans="1:7" x14ac:dyDescent="0.3">
      <c r="A139">
        <v>0</v>
      </c>
      <c r="B139" t="s">
        <v>319</v>
      </c>
      <c r="C139" t="s">
        <v>430</v>
      </c>
      <c r="D139" t="s">
        <v>2</v>
      </c>
      <c r="E139" t="s">
        <v>430</v>
      </c>
      <c r="F139" t="s">
        <v>13</v>
      </c>
      <c r="G139" t="s">
        <v>525</v>
      </c>
    </row>
    <row r="140" spans="1:7" x14ac:dyDescent="0.3">
      <c r="A140">
        <v>0</v>
      </c>
      <c r="B140" t="s">
        <v>314</v>
      </c>
      <c r="C140" t="s">
        <v>408</v>
      </c>
      <c r="D140" t="s">
        <v>2</v>
      </c>
      <c r="E140" t="s">
        <v>408</v>
      </c>
      <c r="F140" t="s">
        <v>13</v>
      </c>
      <c r="G140" t="s">
        <v>525</v>
      </c>
    </row>
    <row r="141" spans="1:7" x14ac:dyDescent="0.3">
      <c r="A141">
        <v>0</v>
      </c>
      <c r="B141" t="s">
        <v>312</v>
      </c>
      <c r="C141" t="s">
        <v>138</v>
      </c>
      <c r="D141" t="s">
        <v>2</v>
      </c>
      <c r="E141" t="s">
        <v>138</v>
      </c>
      <c r="F141" t="s">
        <v>13</v>
      </c>
      <c r="G141" t="s">
        <v>525</v>
      </c>
    </row>
    <row r="142" spans="1:7" x14ac:dyDescent="0.3">
      <c r="A142">
        <v>0</v>
      </c>
      <c r="B142" t="s">
        <v>312</v>
      </c>
      <c r="C142" t="s">
        <v>275</v>
      </c>
      <c r="D142" t="s">
        <v>2</v>
      </c>
      <c r="E142" t="s">
        <v>275</v>
      </c>
      <c r="F142" t="s">
        <v>13</v>
      </c>
      <c r="G142" t="s">
        <v>525</v>
      </c>
    </row>
    <row r="143" spans="1:7" x14ac:dyDescent="0.3">
      <c r="A143">
        <v>0</v>
      </c>
      <c r="B143" t="s">
        <v>312</v>
      </c>
      <c r="C143" t="s">
        <v>337</v>
      </c>
      <c r="D143" t="s">
        <v>2</v>
      </c>
      <c r="E143" t="s">
        <v>337</v>
      </c>
      <c r="F143" t="s">
        <v>13</v>
      </c>
      <c r="G143" t="s">
        <v>525</v>
      </c>
    </row>
    <row r="144" spans="1:7" x14ac:dyDescent="0.3">
      <c r="A144">
        <v>0</v>
      </c>
      <c r="B144" t="s">
        <v>312</v>
      </c>
      <c r="C144" t="s">
        <v>331</v>
      </c>
      <c r="D144" t="s">
        <v>2</v>
      </c>
      <c r="E144" t="s">
        <v>331</v>
      </c>
      <c r="F144" t="s">
        <v>13</v>
      </c>
      <c r="G144" t="s">
        <v>525</v>
      </c>
    </row>
    <row r="145" spans="1:7" x14ac:dyDescent="0.3">
      <c r="A145">
        <v>0</v>
      </c>
      <c r="B145" t="s">
        <v>312</v>
      </c>
      <c r="C145" t="s">
        <v>452</v>
      </c>
      <c r="D145" t="s">
        <v>2</v>
      </c>
      <c r="E145" t="s">
        <v>452</v>
      </c>
      <c r="F145" t="s">
        <v>13</v>
      </c>
      <c r="G145" t="s">
        <v>525</v>
      </c>
    </row>
    <row r="146" spans="1:7" x14ac:dyDescent="0.3">
      <c r="A146">
        <v>0</v>
      </c>
      <c r="B146" t="s">
        <v>319</v>
      </c>
      <c r="C146" t="s">
        <v>477</v>
      </c>
      <c r="D146" t="s">
        <v>2</v>
      </c>
      <c r="E146" t="s">
        <v>477</v>
      </c>
      <c r="F146" t="s">
        <v>13</v>
      </c>
      <c r="G146" t="s">
        <v>525</v>
      </c>
    </row>
    <row r="147" spans="1:7" x14ac:dyDescent="0.3">
      <c r="A147">
        <v>0</v>
      </c>
      <c r="B147" t="s">
        <v>312</v>
      </c>
      <c r="C147" t="s">
        <v>446</v>
      </c>
      <c r="D147" t="s">
        <v>2</v>
      </c>
      <c r="E147" t="s">
        <v>446</v>
      </c>
      <c r="F147" t="s">
        <v>13</v>
      </c>
      <c r="G147" t="s">
        <v>525</v>
      </c>
    </row>
    <row r="148" spans="1:7" x14ac:dyDescent="0.3">
      <c r="A148">
        <v>0</v>
      </c>
      <c r="B148" t="s">
        <v>319</v>
      </c>
      <c r="C148" t="s">
        <v>491</v>
      </c>
      <c r="D148" t="s">
        <v>2</v>
      </c>
      <c r="E148" t="s">
        <v>491</v>
      </c>
      <c r="F148" t="s">
        <v>13</v>
      </c>
      <c r="G148" t="s">
        <v>525</v>
      </c>
    </row>
    <row r="149" spans="1:7" x14ac:dyDescent="0.3">
      <c r="A149">
        <v>0</v>
      </c>
      <c r="B149" t="s">
        <v>312</v>
      </c>
      <c r="C149" t="s">
        <v>326</v>
      </c>
      <c r="D149" t="s">
        <v>2</v>
      </c>
      <c r="E149" t="s">
        <v>326</v>
      </c>
      <c r="F149" t="s">
        <v>13</v>
      </c>
      <c r="G149" t="s">
        <v>525</v>
      </c>
    </row>
    <row r="150" spans="1:7" x14ac:dyDescent="0.3">
      <c r="A150">
        <v>0</v>
      </c>
      <c r="B150" t="s">
        <v>319</v>
      </c>
      <c r="C150" t="s">
        <v>415</v>
      </c>
      <c r="D150" t="s">
        <v>2</v>
      </c>
      <c r="E150" t="s">
        <v>415</v>
      </c>
      <c r="F150" t="s">
        <v>13</v>
      </c>
      <c r="G150" t="s">
        <v>525</v>
      </c>
    </row>
    <row r="151" spans="1:7" x14ac:dyDescent="0.3">
      <c r="A151">
        <v>0</v>
      </c>
      <c r="B151" t="s">
        <v>314</v>
      </c>
      <c r="C151" t="s">
        <v>451</v>
      </c>
      <c r="D151" t="s">
        <v>2</v>
      </c>
      <c r="E151" t="s">
        <v>451</v>
      </c>
      <c r="F151" t="s">
        <v>13</v>
      </c>
      <c r="G151" t="s">
        <v>525</v>
      </c>
    </row>
    <row r="152" spans="1:7" x14ac:dyDescent="0.3">
      <c r="A152">
        <v>0</v>
      </c>
      <c r="B152" t="s">
        <v>314</v>
      </c>
      <c r="C152" t="s">
        <v>448</v>
      </c>
      <c r="D152" t="s">
        <v>2</v>
      </c>
      <c r="E152" t="s">
        <v>448</v>
      </c>
      <c r="F152" t="s">
        <v>13</v>
      </c>
      <c r="G152" t="s">
        <v>525</v>
      </c>
    </row>
    <row r="153" spans="1:7" x14ac:dyDescent="0.3">
      <c r="A153">
        <v>0</v>
      </c>
      <c r="B153" t="s">
        <v>312</v>
      </c>
      <c r="C153" t="s">
        <v>423</v>
      </c>
      <c r="D153" t="s">
        <v>2</v>
      </c>
      <c r="E153" t="s">
        <v>423</v>
      </c>
      <c r="F153" t="s">
        <v>13</v>
      </c>
      <c r="G153" t="s">
        <v>525</v>
      </c>
    </row>
    <row r="154" spans="1:7" x14ac:dyDescent="0.3">
      <c r="A154">
        <v>0</v>
      </c>
      <c r="B154" t="s">
        <v>319</v>
      </c>
      <c r="C154" t="s">
        <v>361</v>
      </c>
      <c r="D154" t="s">
        <v>2</v>
      </c>
      <c r="E154" t="s">
        <v>361</v>
      </c>
      <c r="F154" t="s">
        <v>13</v>
      </c>
      <c r="G154" t="s">
        <v>525</v>
      </c>
    </row>
    <row r="155" spans="1:7" x14ac:dyDescent="0.3">
      <c r="A155">
        <v>0</v>
      </c>
      <c r="B155" t="s">
        <v>314</v>
      </c>
      <c r="C155" t="s">
        <v>467</v>
      </c>
      <c r="D155" t="s">
        <v>2</v>
      </c>
      <c r="E155" t="s">
        <v>467</v>
      </c>
      <c r="F155" t="s">
        <v>13</v>
      </c>
      <c r="G155" t="s">
        <v>525</v>
      </c>
    </row>
    <row r="156" spans="1:7" x14ac:dyDescent="0.3">
      <c r="A156">
        <v>0</v>
      </c>
      <c r="B156" t="s">
        <v>319</v>
      </c>
      <c r="C156" t="s">
        <v>420</v>
      </c>
      <c r="D156" t="s">
        <v>2</v>
      </c>
      <c r="E156" t="s">
        <v>420</v>
      </c>
      <c r="F156" t="s">
        <v>13</v>
      </c>
      <c r="G156" t="s">
        <v>525</v>
      </c>
    </row>
    <row r="157" spans="1:7" x14ac:dyDescent="0.3">
      <c r="A157">
        <v>0</v>
      </c>
      <c r="B157" t="s">
        <v>314</v>
      </c>
      <c r="C157" t="s">
        <v>487</v>
      </c>
      <c r="D157" t="s">
        <v>2</v>
      </c>
      <c r="E157" t="s">
        <v>487</v>
      </c>
      <c r="F157" t="s">
        <v>13</v>
      </c>
      <c r="G157" t="s">
        <v>525</v>
      </c>
    </row>
    <row r="158" spans="1:7" x14ac:dyDescent="0.3">
      <c r="A158">
        <v>0</v>
      </c>
      <c r="B158" t="s">
        <v>312</v>
      </c>
      <c r="C158" t="s">
        <v>149</v>
      </c>
      <c r="D158" t="s">
        <v>2</v>
      </c>
      <c r="E158" t="s">
        <v>149</v>
      </c>
      <c r="F158" t="s">
        <v>13</v>
      </c>
      <c r="G158" t="s">
        <v>525</v>
      </c>
    </row>
    <row r="159" spans="1:7" x14ac:dyDescent="0.3">
      <c r="A159">
        <v>0</v>
      </c>
      <c r="B159" t="s">
        <v>314</v>
      </c>
      <c r="C159" t="s">
        <v>377</v>
      </c>
      <c r="D159" t="s">
        <v>2</v>
      </c>
      <c r="E159" t="s">
        <v>377</v>
      </c>
      <c r="F159" t="s">
        <v>13</v>
      </c>
      <c r="G159" t="s">
        <v>525</v>
      </c>
    </row>
    <row r="160" spans="1:7" x14ac:dyDescent="0.3">
      <c r="A160">
        <v>0</v>
      </c>
      <c r="B160" t="s">
        <v>312</v>
      </c>
      <c r="C160" t="s">
        <v>403</v>
      </c>
      <c r="D160" t="s">
        <v>2</v>
      </c>
      <c r="E160" t="s">
        <v>403</v>
      </c>
      <c r="F160" t="s">
        <v>13</v>
      </c>
      <c r="G160" t="s">
        <v>525</v>
      </c>
    </row>
    <row r="161" spans="1:7" x14ac:dyDescent="0.3">
      <c r="A161">
        <v>0</v>
      </c>
      <c r="B161" t="s">
        <v>312</v>
      </c>
      <c r="C161" t="s">
        <v>387</v>
      </c>
      <c r="D161" t="s">
        <v>2</v>
      </c>
      <c r="E161" t="s">
        <v>387</v>
      </c>
      <c r="F161" t="s">
        <v>13</v>
      </c>
      <c r="G161" t="s">
        <v>525</v>
      </c>
    </row>
    <row r="162" spans="1:7" x14ac:dyDescent="0.3">
      <c r="A162">
        <v>0</v>
      </c>
      <c r="B162" t="s">
        <v>312</v>
      </c>
      <c r="C162" t="s">
        <v>431</v>
      </c>
      <c r="D162" t="s">
        <v>2</v>
      </c>
      <c r="E162" t="s">
        <v>431</v>
      </c>
      <c r="F162" t="s">
        <v>13</v>
      </c>
      <c r="G162" t="s">
        <v>525</v>
      </c>
    </row>
    <row r="163" spans="1:7" x14ac:dyDescent="0.3">
      <c r="A163">
        <v>0</v>
      </c>
      <c r="B163" t="s">
        <v>319</v>
      </c>
      <c r="C163" t="s">
        <v>459</v>
      </c>
      <c r="D163" t="s">
        <v>2</v>
      </c>
      <c r="E163" t="s">
        <v>459</v>
      </c>
      <c r="F163" t="s">
        <v>13</v>
      </c>
      <c r="G163" t="s">
        <v>525</v>
      </c>
    </row>
    <row r="164" spans="1:7" x14ac:dyDescent="0.3">
      <c r="A164">
        <v>0</v>
      </c>
      <c r="B164" t="s">
        <v>314</v>
      </c>
      <c r="C164" t="s">
        <v>376</v>
      </c>
      <c r="D164" t="s">
        <v>2</v>
      </c>
      <c r="E164" t="s">
        <v>376</v>
      </c>
      <c r="F164" t="s">
        <v>13</v>
      </c>
      <c r="G164" t="s">
        <v>525</v>
      </c>
    </row>
    <row r="165" spans="1:7" x14ac:dyDescent="0.3">
      <c r="A165">
        <v>0</v>
      </c>
      <c r="B165" t="s">
        <v>312</v>
      </c>
      <c r="C165" t="s">
        <v>379</v>
      </c>
      <c r="D165" t="s">
        <v>2</v>
      </c>
      <c r="E165" t="s">
        <v>379</v>
      </c>
      <c r="F165" t="s">
        <v>13</v>
      </c>
      <c r="G165" t="s">
        <v>525</v>
      </c>
    </row>
    <row r="166" spans="1:7" x14ac:dyDescent="0.3">
      <c r="A166">
        <v>0</v>
      </c>
      <c r="B166" t="s">
        <v>314</v>
      </c>
      <c r="C166" t="s">
        <v>445</v>
      </c>
      <c r="D166" t="s">
        <v>2</v>
      </c>
      <c r="E166" t="s">
        <v>445</v>
      </c>
      <c r="F166" t="s">
        <v>13</v>
      </c>
      <c r="G166" t="s">
        <v>525</v>
      </c>
    </row>
    <row r="167" spans="1:7" x14ac:dyDescent="0.3">
      <c r="A167">
        <v>0</v>
      </c>
      <c r="B167" t="s">
        <v>319</v>
      </c>
      <c r="C167" t="s">
        <v>460</v>
      </c>
      <c r="D167" t="s">
        <v>2</v>
      </c>
      <c r="E167" t="s">
        <v>460</v>
      </c>
      <c r="F167" t="s">
        <v>13</v>
      </c>
      <c r="G167" t="s">
        <v>525</v>
      </c>
    </row>
    <row r="168" spans="1:7" x14ac:dyDescent="0.3">
      <c r="A168">
        <v>0</v>
      </c>
      <c r="B168" t="s">
        <v>314</v>
      </c>
      <c r="C168" t="s">
        <v>450</v>
      </c>
      <c r="D168" t="s">
        <v>2</v>
      </c>
      <c r="E168" t="s">
        <v>450</v>
      </c>
      <c r="F168" t="s">
        <v>13</v>
      </c>
      <c r="G168" t="s">
        <v>525</v>
      </c>
    </row>
    <row r="169" spans="1:7" x14ac:dyDescent="0.3">
      <c r="A169">
        <v>0</v>
      </c>
      <c r="B169" t="s">
        <v>312</v>
      </c>
      <c r="C169" t="s">
        <v>473</v>
      </c>
      <c r="D169" t="s">
        <v>2</v>
      </c>
      <c r="E169" t="s">
        <v>473</v>
      </c>
      <c r="F169" t="s">
        <v>13</v>
      </c>
      <c r="G169" t="s">
        <v>525</v>
      </c>
    </row>
    <row r="170" spans="1:7" x14ac:dyDescent="0.3">
      <c r="A170">
        <v>0</v>
      </c>
      <c r="B170" t="s">
        <v>314</v>
      </c>
      <c r="C170" t="s">
        <v>313</v>
      </c>
      <c r="D170" t="s">
        <v>2</v>
      </c>
      <c r="E170" t="s">
        <v>313</v>
      </c>
      <c r="F170" t="s">
        <v>13</v>
      </c>
      <c r="G170" t="s">
        <v>525</v>
      </c>
    </row>
    <row r="171" spans="1:7" x14ac:dyDescent="0.3">
      <c r="A171">
        <v>0</v>
      </c>
      <c r="B171" t="s">
        <v>312</v>
      </c>
      <c r="C171" t="s">
        <v>472</v>
      </c>
      <c r="D171" t="s">
        <v>2</v>
      </c>
      <c r="E171" t="s">
        <v>472</v>
      </c>
      <c r="F171" t="s">
        <v>13</v>
      </c>
      <c r="G171" t="s">
        <v>525</v>
      </c>
    </row>
    <row r="172" spans="1:7" x14ac:dyDescent="0.3">
      <c r="A172">
        <v>0</v>
      </c>
      <c r="B172" t="s">
        <v>312</v>
      </c>
      <c r="C172" t="s">
        <v>402</v>
      </c>
      <c r="D172" t="s">
        <v>2</v>
      </c>
      <c r="E172" t="s">
        <v>402</v>
      </c>
      <c r="F172" t="s">
        <v>13</v>
      </c>
      <c r="G172" t="s">
        <v>525</v>
      </c>
    </row>
    <row r="173" spans="1:7" x14ac:dyDescent="0.3">
      <c r="A173">
        <v>0</v>
      </c>
      <c r="B173" t="s">
        <v>314</v>
      </c>
      <c r="C173" t="s">
        <v>455</v>
      </c>
      <c r="D173" t="s">
        <v>2</v>
      </c>
      <c r="E173" t="s">
        <v>455</v>
      </c>
      <c r="F173" t="s">
        <v>13</v>
      </c>
      <c r="G173" t="s">
        <v>525</v>
      </c>
    </row>
    <row r="174" spans="1:7" x14ac:dyDescent="0.3">
      <c r="A174">
        <v>0</v>
      </c>
      <c r="B174" t="s">
        <v>312</v>
      </c>
      <c r="C174" t="s">
        <v>411</v>
      </c>
      <c r="D174" t="s">
        <v>2</v>
      </c>
      <c r="E174" t="s">
        <v>411</v>
      </c>
      <c r="F174" t="s">
        <v>13</v>
      </c>
      <c r="G174" t="s">
        <v>525</v>
      </c>
    </row>
    <row r="175" spans="1:7" x14ac:dyDescent="0.3">
      <c r="A175">
        <v>0</v>
      </c>
      <c r="B175" t="s">
        <v>312</v>
      </c>
      <c r="C175" t="s">
        <v>488</v>
      </c>
      <c r="D175" t="s">
        <v>2</v>
      </c>
      <c r="E175" t="s">
        <v>488</v>
      </c>
      <c r="F175" t="s">
        <v>13</v>
      </c>
      <c r="G175" t="s">
        <v>525</v>
      </c>
    </row>
    <row r="176" spans="1:7" x14ac:dyDescent="0.3">
      <c r="A176">
        <v>0</v>
      </c>
      <c r="B176" t="s">
        <v>319</v>
      </c>
      <c r="C176" t="s">
        <v>462</v>
      </c>
      <c r="D176" t="s">
        <v>2</v>
      </c>
      <c r="E176" t="s">
        <v>462</v>
      </c>
      <c r="F176" t="s">
        <v>13</v>
      </c>
      <c r="G176" t="s">
        <v>525</v>
      </c>
    </row>
    <row r="177" spans="1:7" x14ac:dyDescent="0.3">
      <c r="A177">
        <v>0</v>
      </c>
      <c r="B177" t="s">
        <v>312</v>
      </c>
      <c r="C177" t="s">
        <v>246</v>
      </c>
      <c r="D177" t="s">
        <v>2</v>
      </c>
      <c r="E177" t="s">
        <v>246</v>
      </c>
      <c r="F177" t="s">
        <v>13</v>
      </c>
      <c r="G177" t="s">
        <v>525</v>
      </c>
    </row>
    <row r="178" spans="1:7" x14ac:dyDescent="0.3">
      <c r="A178">
        <v>0</v>
      </c>
      <c r="B178" t="s">
        <v>312</v>
      </c>
      <c r="C178" t="s">
        <v>357</v>
      </c>
      <c r="D178" t="s">
        <v>2</v>
      </c>
      <c r="E178" t="s">
        <v>357</v>
      </c>
      <c r="F178" t="s">
        <v>13</v>
      </c>
      <c r="G178" t="s">
        <v>525</v>
      </c>
    </row>
    <row r="179" spans="1:7" x14ac:dyDescent="0.3">
      <c r="A179">
        <v>0</v>
      </c>
      <c r="B179" t="s">
        <v>314</v>
      </c>
      <c r="C179" t="s">
        <v>341</v>
      </c>
      <c r="D179" t="s">
        <v>2</v>
      </c>
      <c r="E179" t="s">
        <v>341</v>
      </c>
      <c r="F179" t="s">
        <v>13</v>
      </c>
      <c r="G179" t="s">
        <v>525</v>
      </c>
    </row>
    <row r="180" spans="1:7" x14ac:dyDescent="0.3">
      <c r="A180">
        <v>0</v>
      </c>
      <c r="B180" t="s">
        <v>319</v>
      </c>
      <c r="C180" t="s">
        <v>466</v>
      </c>
      <c r="D180" t="s">
        <v>2</v>
      </c>
      <c r="E180" t="s">
        <v>466</v>
      </c>
      <c r="F180" t="s">
        <v>13</v>
      </c>
      <c r="G180" t="s">
        <v>525</v>
      </c>
    </row>
    <row r="181" spans="1:7" x14ac:dyDescent="0.3">
      <c r="A181">
        <v>0</v>
      </c>
      <c r="B181" t="s">
        <v>319</v>
      </c>
      <c r="C181" t="s">
        <v>362</v>
      </c>
      <c r="D181" t="s">
        <v>2</v>
      </c>
      <c r="E181" t="s">
        <v>362</v>
      </c>
      <c r="F181" t="s">
        <v>13</v>
      </c>
      <c r="G181" t="s">
        <v>525</v>
      </c>
    </row>
    <row r="182" spans="1:7" x14ac:dyDescent="0.3">
      <c r="A182">
        <v>0</v>
      </c>
      <c r="B182" t="s">
        <v>312</v>
      </c>
      <c r="C182" t="s">
        <v>433</v>
      </c>
      <c r="D182" t="s">
        <v>2</v>
      </c>
      <c r="E182" t="s">
        <v>433</v>
      </c>
      <c r="F182" t="s">
        <v>13</v>
      </c>
      <c r="G182" t="s">
        <v>525</v>
      </c>
    </row>
    <row r="183" spans="1:7" x14ac:dyDescent="0.3">
      <c r="A183">
        <v>0</v>
      </c>
      <c r="B183" t="s">
        <v>312</v>
      </c>
      <c r="C183" t="s">
        <v>397</v>
      </c>
      <c r="D183" t="s">
        <v>2</v>
      </c>
      <c r="E183" t="s">
        <v>397</v>
      </c>
      <c r="F183" t="s">
        <v>13</v>
      </c>
      <c r="G183" t="s">
        <v>525</v>
      </c>
    </row>
    <row r="184" spans="1:7" x14ac:dyDescent="0.3">
      <c r="A184">
        <v>0</v>
      </c>
      <c r="B184" t="s">
        <v>319</v>
      </c>
      <c r="C184" t="s">
        <v>378</v>
      </c>
      <c r="D184" t="s">
        <v>2</v>
      </c>
      <c r="E184" t="s">
        <v>378</v>
      </c>
      <c r="F184" t="s">
        <v>13</v>
      </c>
      <c r="G184" t="s">
        <v>525</v>
      </c>
    </row>
    <row r="185" spans="1:7" x14ac:dyDescent="0.3">
      <c r="A185">
        <v>0</v>
      </c>
      <c r="B185" t="s">
        <v>105</v>
      </c>
      <c r="C185" t="s">
        <v>117</v>
      </c>
      <c r="D185" t="s">
        <v>2</v>
      </c>
      <c r="E185" t="s">
        <v>117</v>
      </c>
      <c r="F185" t="s">
        <v>13</v>
      </c>
      <c r="G185" t="s">
        <v>525</v>
      </c>
    </row>
    <row r="186" spans="1:7" x14ac:dyDescent="0.3">
      <c r="A186">
        <v>0</v>
      </c>
      <c r="B186" t="s">
        <v>312</v>
      </c>
      <c r="C186" t="s">
        <v>476</v>
      </c>
      <c r="D186" t="s">
        <v>2</v>
      </c>
      <c r="E186" t="s">
        <v>476</v>
      </c>
      <c r="F186" t="s">
        <v>13</v>
      </c>
      <c r="G186" t="s">
        <v>525</v>
      </c>
    </row>
    <row r="187" spans="1:7" x14ac:dyDescent="0.3">
      <c r="A187">
        <v>0</v>
      </c>
      <c r="B187" t="s">
        <v>319</v>
      </c>
      <c r="C187" t="s">
        <v>478</v>
      </c>
      <c r="D187" t="s">
        <v>2</v>
      </c>
      <c r="E187" t="s">
        <v>478</v>
      </c>
      <c r="F187" t="s">
        <v>13</v>
      </c>
      <c r="G187" t="s">
        <v>525</v>
      </c>
    </row>
    <row r="188" spans="1:7" x14ac:dyDescent="0.3">
      <c r="A188">
        <v>0</v>
      </c>
      <c r="B188" t="s">
        <v>312</v>
      </c>
      <c r="C188" t="s">
        <v>367</v>
      </c>
      <c r="D188" t="s">
        <v>2</v>
      </c>
      <c r="E188" t="s">
        <v>367</v>
      </c>
      <c r="F188" t="s">
        <v>13</v>
      </c>
      <c r="G188" t="s">
        <v>525</v>
      </c>
    </row>
    <row r="189" spans="1:7" x14ac:dyDescent="0.3">
      <c r="A189">
        <v>0</v>
      </c>
      <c r="B189" t="s">
        <v>312</v>
      </c>
      <c r="C189" t="s">
        <v>346</v>
      </c>
      <c r="D189" t="s">
        <v>2</v>
      </c>
      <c r="E189" t="s">
        <v>346</v>
      </c>
      <c r="F189" t="s">
        <v>13</v>
      </c>
      <c r="G189" t="s">
        <v>525</v>
      </c>
    </row>
    <row r="190" spans="1:7" x14ac:dyDescent="0.3">
      <c r="A190">
        <v>0</v>
      </c>
      <c r="B190" t="s">
        <v>105</v>
      </c>
      <c r="C190" t="s">
        <v>119</v>
      </c>
      <c r="D190" t="s">
        <v>2</v>
      </c>
      <c r="E190" t="s">
        <v>119</v>
      </c>
      <c r="F190" t="s">
        <v>13</v>
      </c>
      <c r="G190" t="s">
        <v>525</v>
      </c>
    </row>
    <row r="191" spans="1:7" x14ac:dyDescent="0.3">
      <c r="A191">
        <v>0</v>
      </c>
      <c r="B191" t="s">
        <v>312</v>
      </c>
      <c r="C191" t="s">
        <v>385</v>
      </c>
      <c r="D191" t="s">
        <v>2</v>
      </c>
      <c r="E191" t="s">
        <v>385</v>
      </c>
      <c r="F191" t="s">
        <v>13</v>
      </c>
      <c r="G191" t="s">
        <v>525</v>
      </c>
    </row>
    <row r="192" spans="1:7" x14ac:dyDescent="0.3">
      <c r="A192">
        <v>0</v>
      </c>
      <c r="B192" t="s">
        <v>57</v>
      </c>
      <c r="C192" t="s">
        <v>120</v>
      </c>
      <c r="D192" t="s">
        <v>2</v>
      </c>
      <c r="E192" t="s">
        <v>120</v>
      </c>
      <c r="F192" t="s">
        <v>13</v>
      </c>
      <c r="G192" t="s">
        <v>525</v>
      </c>
    </row>
    <row r="193" spans="1:7" x14ac:dyDescent="0.3">
      <c r="A193">
        <v>0</v>
      </c>
      <c r="B193" t="s">
        <v>312</v>
      </c>
      <c r="C193" t="s">
        <v>324</v>
      </c>
      <c r="D193" t="s">
        <v>2</v>
      </c>
      <c r="E193" t="s">
        <v>324</v>
      </c>
      <c r="F193" t="s">
        <v>13</v>
      </c>
      <c r="G193" t="s">
        <v>525</v>
      </c>
    </row>
    <row r="194" spans="1:7" x14ac:dyDescent="0.3">
      <c r="A194">
        <v>0</v>
      </c>
      <c r="B194" t="s">
        <v>312</v>
      </c>
      <c r="C194" t="s">
        <v>327</v>
      </c>
      <c r="D194" t="s">
        <v>2</v>
      </c>
      <c r="E194" t="s">
        <v>327</v>
      </c>
      <c r="F194" t="s">
        <v>13</v>
      </c>
      <c r="G194" t="s">
        <v>525</v>
      </c>
    </row>
    <row r="195" spans="1:7" x14ac:dyDescent="0.3">
      <c r="A195">
        <v>0</v>
      </c>
      <c r="B195" t="s">
        <v>314</v>
      </c>
      <c r="C195" t="s">
        <v>441</v>
      </c>
      <c r="D195" t="s">
        <v>2</v>
      </c>
      <c r="E195" t="s">
        <v>441</v>
      </c>
      <c r="F195" t="s">
        <v>13</v>
      </c>
      <c r="G195" t="s">
        <v>525</v>
      </c>
    </row>
    <row r="196" spans="1:7" x14ac:dyDescent="0.3">
      <c r="A196">
        <v>0</v>
      </c>
      <c r="B196" t="s">
        <v>105</v>
      </c>
      <c r="C196" t="s">
        <v>115</v>
      </c>
      <c r="D196" t="s">
        <v>2</v>
      </c>
      <c r="E196" t="s">
        <v>115</v>
      </c>
      <c r="F196" t="s">
        <v>13</v>
      </c>
      <c r="G196" t="s">
        <v>525</v>
      </c>
    </row>
    <row r="197" spans="1:7" x14ac:dyDescent="0.3">
      <c r="A197">
        <v>0</v>
      </c>
      <c r="B197" t="s">
        <v>312</v>
      </c>
      <c r="C197" t="s">
        <v>484</v>
      </c>
      <c r="D197" t="s">
        <v>2</v>
      </c>
      <c r="E197" t="s">
        <v>484</v>
      </c>
      <c r="F197" t="s">
        <v>13</v>
      </c>
      <c r="G197" t="s">
        <v>525</v>
      </c>
    </row>
    <row r="198" spans="1:7" x14ac:dyDescent="0.3">
      <c r="A198">
        <v>0</v>
      </c>
      <c r="B198" t="s">
        <v>312</v>
      </c>
      <c r="C198" t="s">
        <v>311</v>
      </c>
      <c r="D198" t="s">
        <v>2</v>
      </c>
      <c r="E198" t="s">
        <v>311</v>
      </c>
      <c r="F198" t="s">
        <v>13</v>
      </c>
      <c r="G198" t="s">
        <v>525</v>
      </c>
    </row>
    <row r="199" spans="1:7" x14ac:dyDescent="0.3">
      <c r="A199">
        <v>0</v>
      </c>
      <c r="B199" t="s">
        <v>312</v>
      </c>
      <c r="C199" t="s">
        <v>365</v>
      </c>
      <c r="D199" t="s">
        <v>2</v>
      </c>
      <c r="E199" t="s">
        <v>365</v>
      </c>
      <c r="F199" t="s">
        <v>13</v>
      </c>
      <c r="G199" t="s">
        <v>525</v>
      </c>
    </row>
    <row r="200" spans="1:7" x14ac:dyDescent="0.3">
      <c r="A200">
        <v>0</v>
      </c>
      <c r="B200" t="s">
        <v>314</v>
      </c>
      <c r="C200" t="s">
        <v>350</v>
      </c>
      <c r="D200" t="s">
        <v>2</v>
      </c>
      <c r="E200" t="s">
        <v>350</v>
      </c>
      <c r="F200" t="s">
        <v>13</v>
      </c>
      <c r="G200" t="s">
        <v>525</v>
      </c>
    </row>
    <row r="201" spans="1:7" x14ac:dyDescent="0.3">
      <c r="A201">
        <v>0</v>
      </c>
      <c r="B201" t="s">
        <v>105</v>
      </c>
      <c r="C201" t="s">
        <v>123</v>
      </c>
      <c r="D201" t="s">
        <v>2</v>
      </c>
      <c r="E201" t="s">
        <v>123</v>
      </c>
      <c r="F201" t="s">
        <v>13</v>
      </c>
      <c r="G201" t="s">
        <v>525</v>
      </c>
    </row>
    <row r="202" spans="1:7" x14ac:dyDescent="0.3">
      <c r="A202">
        <v>0</v>
      </c>
      <c r="B202" t="s">
        <v>312</v>
      </c>
      <c r="C202" t="s">
        <v>396</v>
      </c>
      <c r="D202" t="s">
        <v>2</v>
      </c>
      <c r="E202" t="s">
        <v>396</v>
      </c>
      <c r="F202" t="s">
        <v>13</v>
      </c>
      <c r="G202" t="s">
        <v>525</v>
      </c>
    </row>
    <row r="203" spans="1:7" x14ac:dyDescent="0.3">
      <c r="A203">
        <v>0</v>
      </c>
      <c r="B203" t="s">
        <v>312</v>
      </c>
      <c r="C203" t="s">
        <v>428</v>
      </c>
      <c r="D203" t="s">
        <v>2</v>
      </c>
      <c r="E203" t="s">
        <v>428</v>
      </c>
      <c r="F203" t="s">
        <v>13</v>
      </c>
      <c r="G203" t="s">
        <v>525</v>
      </c>
    </row>
    <row r="204" spans="1:7" x14ac:dyDescent="0.3">
      <c r="A204">
        <v>0</v>
      </c>
      <c r="B204" t="s">
        <v>312</v>
      </c>
      <c r="C204" t="s">
        <v>383</v>
      </c>
      <c r="D204" t="s">
        <v>2</v>
      </c>
      <c r="E204" t="s">
        <v>383</v>
      </c>
      <c r="F204" t="s">
        <v>13</v>
      </c>
      <c r="G204" t="s">
        <v>525</v>
      </c>
    </row>
    <row r="205" spans="1:7" x14ac:dyDescent="0.3">
      <c r="A205">
        <v>0</v>
      </c>
      <c r="B205" t="s">
        <v>312</v>
      </c>
      <c r="C205" t="s">
        <v>426</v>
      </c>
      <c r="D205" t="s">
        <v>2</v>
      </c>
      <c r="E205" t="s">
        <v>426</v>
      </c>
      <c r="F205" t="s">
        <v>13</v>
      </c>
      <c r="G205" t="s">
        <v>525</v>
      </c>
    </row>
    <row r="206" spans="1:7" x14ac:dyDescent="0.3">
      <c r="A206">
        <v>0</v>
      </c>
      <c r="B206" t="s">
        <v>312</v>
      </c>
      <c r="C206" t="s">
        <v>437</v>
      </c>
      <c r="D206" t="s">
        <v>2</v>
      </c>
      <c r="E206" t="s">
        <v>437</v>
      </c>
      <c r="F206" t="s">
        <v>13</v>
      </c>
      <c r="G206" t="s">
        <v>525</v>
      </c>
    </row>
    <row r="207" spans="1:7" x14ac:dyDescent="0.3">
      <c r="A207">
        <v>0</v>
      </c>
      <c r="B207" t="s">
        <v>312</v>
      </c>
      <c r="C207" t="s">
        <v>454</v>
      </c>
      <c r="D207" t="s">
        <v>2</v>
      </c>
      <c r="E207" t="s">
        <v>454</v>
      </c>
      <c r="F207" t="s">
        <v>13</v>
      </c>
      <c r="G207" t="s">
        <v>525</v>
      </c>
    </row>
    <row r="208" spans="1:7" x14ac:dyDescent="0.3">
      <c r="A208">
        <v>0</v>
      </c>
      <c r="B208" t="s">
        <v>312</v>
      </c>
      <c r="C208" t="s">
        <v>425</v>
      </c>
      <c r="D208" t="s">
        <v>2</v>
      </c>
      <c r="E208" t="s">
        <v>425</v>
      </c>
      <c r="F208" t="s">
        <v>13</v>
      </c>
      <c r="G208" t="s">
        <v>525</v>
      </c>
    </row>
    <row r="209" spans="1:7" x14ac:dyDescent="0.3">
      <c r="A209">
        <v>0</v>
      </c>
      <c r="B209" t="s">
        <v>312</v>
      </c>
      <c r="C209" t="s">
        <v>344</v>
      </c>
      <c r="D209" t="s">
        <v>2</v>
      </c>
      <c r="E209" t="s">
        <v>344</v>
      </c>
      <c r="F209" t="s">
        <v>13</v>
      </c>
      <c r="G209" t="s">
        <v>525</v>
      </c>
    </row>
    <row r="210" spans="1:7" x14ac:dyDescent="0.3">
      <c r="A210">
        <v>0</v>
      </c>
      <c r="B210" t="s">
        <v>312</v>
      </c>
      <c r="C210" t="s">
        <v>407</v>
      </c>
      <c r="D210" t="s">
        <v>2</v>
      </c>
      <c r="E210" t="s">
        <v>407</v>
      </c>
      <c r="F210" t="s">
        <v>13</v>
      </c>
      <c r="G210" t="s">
        <v>525</v>
      </c>
    </row>
    <row r="211" spans="1:7" x14ac:dyDescent="0.3">
      <c r="A211">
        <v>0</v>
      </c>
      <c r="B211" t="s">
        <v>314</v>
      </c>
      <c r="C211" t="s">
        <v>413</v>
      </c>
      <c r="D211" t="s">
        <v>2</v>
      </c>
      <c r="E211" t="s">
        <v>413</v>
      </c>
      <c r="F211" t="s">
        <v>13</v>
      </c>
      <c r="G211" t="s">
        <v>525</v>
      </c>
    </row>
    <row r="212" spans="1:7" x14ac:dyDescent="0.3">
      <c r="A212">
        <v>0</v>
      </c>
      <c r="B212" t="s">
        <v>312</v>
      </c>
      <c r="C212" t="s">
        <v>392</v>
      </c>
      <c r="D212" t="s">
        <v>2</v>
      </c>
      <c r="E212" t="s">
        <v>392</v>
      </c>
      <c r="F212" t="s">
        <v>13</v>
      </c>
      <c r="G212" t="s">
        <v>525</v>
      </c>
    </row>
    <row r="213" spans="1:7" x14ac:dyDescent="0.3">
      <c r="A213">
        <v>0</v>
      </c>
      <c r="B213" t="s">
        <v>319</v>
      </c>
      <c r="C213" t="s">
        <v>422</v>
      </c>
      <c r="D213" t="s">
        <v>2</v>
      </c>
      <c r="E213" t="s">
        <v>422</v>
      </c>
      <c r="F213" t="s">
        <v>13</v>
      </c>
      <c r="G213" t="s">
        <v>525</v>
      </c>
    </row>
    <row r="214" spans="1:7" x14ac:dyDescent="0.3">
      <c r="A214">
        <v>0</v>
      </c>
      <c r="B214" t="s">
        <v>314</v>
      </c>
      <c r="C214" t="s">
        <v>495</v>
      </c>
      <c r="D214" t="s">
        <v>494</v>
      </c>
      <c r="E214" t="s">
        <v>495</v>
      </c>
      <c r="F214" t="s">
        <v>13</v>
      </c>
      <c r="G214" t="s">
        <v>525</v>
      </c>
    </row>
    <row r="215" spans="1:7" x14ac:dyDescent="0.3">
      <c r="A215">
        <v>0</v>
      </c>
      <c r="B215" t="s">
        <v>314</v>
      </c>
      <c r="C215" t="s">
        <v>497</v>
      </c>
      <c r="D215" t="s">
        <v>494</v>
      </c>
      <c r="E215" t="s">
        <v>497</v>
      </c>
      <c r="F215" t="s">
        <v>13</v>
      </c>
      <c r="G215" t="s">
        <v>525</v>
      </c>
    </row>
    <row r="216" spans="1:7" x14ac:dyDescent="0.3">
      <c r="A216">
        <v>0</v>
      </c>
      <c r="B216" t="s">
        <v>314</v>
      </c>
      <c r="C216" t="s">
        <v>496</v>
      </c>
      <c r="D216" t="s">
        <v>494</v>
      </c>
      <c r="E216" t="s">
        <v>496</v>
      </c>
      <c r="F216" t="s">
        <v>13</v>
      </c>
      <c r="G216" t="s">
        <v>525</v>
      </c>
    </row>
    <row r="217" spans="1:7" x14ac:dyDescent="0.3">
      <c r="A217">
        <v>0</v>
      </c>
      <c r="B217" t="s">
        <v>312</v>
      </c>
      <c r="C217" t="s">
        <v>513</v>
      </c>
      <c r="D217" t="s">
        <v>498</v>
      </c>
      <c r="E217" t="s">
        <v>513</v>
      </c>
      <c r="F217" t="s">
        <v>13</v>
      </c>
      <c r="G217" t="s">
        <v>525</v>
      </c>
    </row>
    <row r="218" spans="1:7" x14ac:dyDescent="0.3">
      <c r="A218">
        <v>0</v>
      </c>
      <c r="B218" t="s">
        <v>312</v>
      </c>
      <c r="C218" t="s">
        <v>515</v>
      </c>
      <c r="D218" t="s">
        <v>498</v>
      </c>
      <c r="E218" t="s">
        <v>515</v>
      </c>
      <c r="F218" t="s">
        <v>13</v>
      </c>
      <c r="G218" t="s">
        <v>525</v>
      </c>
    </row>
    <row r="219" spans="1:7" x14ac:dyDescent="0.3">
      <c r="A219">
        <v>0</v>
      </c>
      <c r="B219" t="s">
        <v>312</v>
      </c>
      <c r="C219" t="s">
        <v>509</v>
      </c>
      <c r="D219" t="s">
        <v>498</v>
      </c>
      <c r="E219" t="s">
        <v>509</v>
      </c>
      <c r="F219" t="s">
        <v>13</v>
      </c>
      <c r="G219" t="s">
        <v>525</v>
      </c>
    </row>
    <row r="220" spans="1:7" x14ac:dyDescent="0.3">
      <c r="A220">
        <v>0</v>
      </c>
      <c r="B220" t="s">
        <v>312</v>
      </c>
      <c r="C220" t="s">
        <v>502</v>
      </c>
      <c r="D220" t="s">
        <v>498</v>
      </c>
      <c r="E220" t="s">
        <v>502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500</v>
      </c>
      <c r="D221" t="s">
        <v>498</v>
      </c>
      <c r="E221" t="s">
        <v>500</v>
      </c>
      <c r="F221" t="s">
        <v>13</v>
      </c>
      <c r="G221" t="s">
        <v>525</v>
      </c>
    </row>
    <row r="222" spans="1:7" x14ac:dyDescent="0.3">
      <c r="A222">
        <v>0</v>
      </c>
      <c r="B222" t="s">
        <v>507</v>
      </c>
      <c r="C222" t="s">
        <v>506</v>
      </c>
      <c r="D222" t="s">
        <v>498</v>
      </c>
      <c r="E222" t="s">
        <v>506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514</v>
      </c>
      <c r="D223" t="s">
        <v>498</v>
      </c>
      <c r="E223" t="s">
        <v>514</v>
      </c>
      <c r="F223" t="s">
        <v>13</v>
      </c>
      <c r="G223" t="s">
        <v>525</v>
      </c>
    </row>
    <row r="224" spans="1:7" x14ac:dyDescent="0.3">
      <c r="A224">
        <v>0</v>
      </c>
      <c r="B224" t="s">
        <v>312</v>
      </c>
      <c r="C224" t="s">
        <v>499</v>
      </c>
      <c r="D224" t="s">
        <v>498</v>
      </c>
      <c r="E224" t="s">
        <v>499</v>
      </c>
      <c r="F224" t="s">
        <v>13</v>
      </c>
      <c r="G224" t="s">
        <v>525</v>
      </c>
    </row>
    <row r="225" spans="1:7" x14ac:dyDescent="0.3">
      <c r="A225">
        <v>0</v>
      </c>
      <c r="B225" t="s">
        <v>312</v>
      </c>
      <c r="C225" t="s">
        <v>508</v>
      </c>
      <c r="D225" t="s">
        <v>498</v>
      </c>
      <c r="E225" t="s">
        <v>508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519</v>
      </c>
      <c r="D226" t="s">
        <v>498</v>
      </c>
      <c r="E226" t="s">
        <v>519</v>
      </c>
      <c r="F226" t="s">
        <v>13</v>
      </c>
      <c r="G226" t="s">
        <v>525</v>
      </c>
    </row>
    <row r="227" spans="1:7" x14ac:dyDescent="0.3">
      <c r="A227">
        <v>0</v>
      </c>
      <c r="B227" t="s">
        <v>312</v>
      </c>
      <c r="C227" t="s">
        <v>510</v>
      </c>
      <c r="D227" t="s">
        <v>498</v>
      </c>
      <c r="E227" t="s">
        <v>510</v>
      </c>
      <c r="F227" t="s">
        <v>13</v>
      </c>
      <c r="G227" t="s">
        <v>525</v>
      </c>
    </row>
    <row r="228" spans="1:7" x14ac:dyDescent="0.3">
      <c r="A228">
        <v>0</v>
      </c>
      <c r="B228" t="s">
        <v>312</v>
      </c>
      <c r="C228" t="s">
        <v>521</v>
      </c>
      <c r="D228" t="s">
        <v>498</v>
      </c>
      <c r="E228" t="s">
        <v>521</v>
      </c>
      <c r="F228" t="s">
        <v>13</v>
      </c>
      <c r="G228" t="s">
        <v>525</v>
      </c>
    </row>
    <row r="229" spans="1:7" x14ac:dyDescent="0.3">
      <c r="A229">
        <v>0</v>
      </c>
      <c r="B229" t="s">
        <v>312</v>
      </c>
      <c r="C229" t="s">
        <v>501</v>
      </c>
      <c r="D229" t="s">
        <v>498</v>
      </c>
      <c r="E229" t="s">
        <v>501</v>
      </c>
      <c r="F229" t="s">
        <v>13</v>
      </c>
      <c r="G229" t="s">
        <v>525</v>
      </c>
    </row>
    <row r="230" spans="1:7" x14ac:dyDescent="0.3">
      <c r="A230">
        <v>0</v>
      </c>
      <c r="B230" t="s">
        <v>312</v>
      </c>
      <c r="C230" t="s">
        <v>504</v>
      </c>
      <c r="D230" t="s">
        <v>498</v>
      </c>
      <c r="E230" t="s">
        <v>504</v>
      </c>
      <c r="F230" t="s">
        <v>13</v>
      </c>
      <c r="G230" t="s">
        <v>525</v>
      </c>
    </row>
    <row r="231" spans="1:7" x14ac:dyDescent="0.3">
      <c r="A231">
        <v>0</v>
      </c>
      <c r="B231" t="s">
        <v>312</v>
      </c>
      <c r="C231" t="s">
        <v>520</v>
      </c>
      <c r="D231" t="s">
        <v>498</v>
      </c>
      <c r="E231" t="s">
        <v>520</v>
      </c>
      <c r="F231" t="s">
        <v>13</v>
      </c>
      <c r="G231" t="s">
        <v>525</v>
      </c>
    </row>
    <row r="232" spans="1:7" x14ac:dyDescent="0.3">
      <c r="A232">
        <v>0</v>
      </c>
      <c r="B232" t="s">
        <v>312</v>
      </c>
      <c r="C232" t="s">
        <v>523</v>
      </c>
      <c r="D232" t="s">
        <v>498</v>
      </c>
      <c r="E232" t="s">
        <v>523</v>
      </c>
      <c r="F232" t="s">
        <v>13</v>
      </c>
      <c r="G232" t="s">
        <v>525</v>
      </c>
    </row>
    <row r="233" spans="1:7" x14ac:dyDescent="0.3">
      <c r="A233">
        <v>0</v>
      </c>
      <c r="B233" t="s">
        <v>312</v>
      </c>
      <c r="C233" t="s">
        <v>503</v>
      </c>
      <c r="D233" t="s">
        <v>498</v>
      </c>
      <c r="E233" t="s">
        <v>503</v>
      </c>
      <c r="F233" t="s">
        <v>13</v>
      </c>
      <c r="G233" t="s">
        <v>525</v>
      </c>
    </row>
    <row r="234" spans="1:7" x14ac:dyDescent="0.3">
      <c r="A234">
        <v>0</v>
      </c>
      <c r="B234" t="s">
        <v>312</v>
      </c>
      <c r="C234" t="s">
        <v>512</v>
      </c>
      <c r="D234" t="s">
        <v>498</v>
      </c>
      <c r="E234" t="s">
        <v>512</v>
      </c>
      <c r="F234" t="s">
        <v>13</v>
      </c>
      <c r="G234" t="s">
        <v>525</v>
      </c>
    </row>
    <row r="235" spans="1:7" x14ac:dyDescent="0.3">
      <c r="A235">
        <v>0</v>
      </c>
      <c r="B235" t="s">
        <v>312</v>
      </c>
      <c r="C235" t="s">
        <v>505</v>
      </c>
      <c r="D235" t="s">
        <v>498</v>
      </c>
      <c r="E235" t="s">
        <v>505</v>
      </c>
      <c r="F235" t="s">
        <v>13</v>
      </c>
      <c r="G235" t="s">
        <v>525</v>
      </c>
    </row>
    <row r="236" spans="1:7" x14ac:dyDescent="0.3">
      <c r="A236">
        <v>0</v>
      </c>
      <c r="B236" t="s">
        <v>312</v>
      </c>
      <c r="C236" t="s">
        <v>518</v>
      </c>
      <c r="D236" t="s">
        <v>498</v>
      </c>
      <c r="E236" t="s">
        <v>518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522</v>
      </c>
      <c r="D237" t="s">
        <v>498</v>
      </c>
      <c r="E237" t="s">
        <v>522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516</v>
      </c>
      <c r="D238" t="s">
        <v>498</v>
      </c>
      <c r="E238" t="s">
        <v>516</v>
      </c>
      <c r="F238" t="s">
        <v>13</v>
      </c>
      <c r="G238" t="s">
        <v>525</v>
      </c>
    </row>
    <row r="239" spans="1:7" x14ac:dyDescent="0.3">
      <c r="A239">
        <v>0</v>
      </c>
      <c r="B239" t="s">
        <v>312</v>
      </c>
      <c r="C239" t="s">
        <v>517</v>
      </c>
      <c r="D239" t="s">
        <v>498</v>
      </c>
      <c r="E239" t="s">
        <v>517</v>
      </c>
      <c r="F239" t="s">
        <v>13</v>
      </c>
      <c r="G239" t="s">
        <v>525</v>
      </c>
    </row>
    <row r="240" spans="1:7" x14ac:dyDescent="0.3">
      <c r="A240">
        <v>0</v>
      </c>
      <c r="B240" t="s">
        <v>16</v>
      </c>
      <c r="C240" s="2" t="s">
        <v>22</v>
      </c>
      <c r="D240" t="s">
        <v>2</v>
      </c>
      <c r="E240" s="2" t="s">
        <v>22</v>
      </c>
      <c r="F240" t="s">
        <v>13</v>
      </c>
      <c r="G240" t="s">
        <v>525</v>
      </c>
    </row>
    <row r="241" spans="1:7" x14ac:dyDescent="0.3">
      <c r="A241">
        <v>0</v>
      </c>
      <c r="B241" t="s">
        <v>16</v>
      </c>
      <c r="C241" s="2" t="s">
        <v>49</v>
      </c>
      <c r="D241" t="s">
        <v>2</v>
      </c>
      <c r="E241" s="2" t="s">
        <v>49</v>
      </c>
      <c r="F241" t="s">
        <v>13</v>
      </c>
      <c r="G241" t="s">
        <v>525</v>
      </c>
    </row>
    <row r="242" spans="1:7" x14ac:dyDescent="0.3">
      <c r="A242">
        <v>0</v>
      </c>
      <c r="B242" t="s">
        <v>312</v>
      </c>
      <c r="C242" s="2" t="s">
        <v>55</v>
      </c>
      <c r="D242" t="s">
        <v>2</v>
      </c>
      <c r="E242" s="2" t="s">
        <v>55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t="s">
        <v>59</v>
      </c>
      <c r="D243" t="s">
        <v>2</v>
      </c>
      <c r="E243" t="s">
        <v>59</v>
      </c>
      <c r="F243" t="s">
        <v>13</v>
      </c>
      <c r="G243" t="s">
        <v>525</v>
      </c>
    </row>
    <row r="244" spans="1:7" x14ac:dyDescent="0.3">
      <c r="A244">
        <v>0</v>
      </c>
      <c r="B244" t="s">
        <v>16</v>
      </c>
      <c r="C244" s="2" t="s">
        <v>61</v>
      </c>
      <c r="D244" t="s">
        <v>2</v>
      </c>
      <c r="E244" s="2" t="s">
        <v>61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s="2" t="s">
        <v>67</v>
      </c>
      <c r="D245" t="s">
        <v>2</v>
      </c>
      <c r="E245" s="2" t="s">
        <v>67</v>
      </c>
      <c r="F245" t="s">
        <v>13</v>
      </c>
      <c r="G245" t="s">
        <v>525</v>
      </c>
    </row>
    <row r="246" spans="1:7" x14ac:dyDescent="0.3">
      <c r="A246">
        <v>0</v>
      </c>
      <c r="B246" t="s">
        <v>312</v>
      </c>
      <c r="C246" t="s">
        <v>73</v>
      </c>
      <c r="D246" t="s">
        <v>2</v>
      </c>
      <c r="E246" t="s">
        <v>73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79</v>
      </c>
      <c r="D247" t="s">
        <v>2</v>
      </c>
      <c r="E247" t="s">
        <v>79</v>
      </c>
      <c r="F247" t="s">
        <v>13</v>
      </c>
      <c r="G247" t="s">
        <v>525</v>
      </c>
    </row>
    <row r="248" spans="1:7" x14ac:dyDescent="0.3">
      <c r="A248">
        <v>0</v>
      </c>
      <c r="B248" t="s">
        <v>312</v>
      </c>
      <c r="C248" t="s">
        <v>82</v>
      </c>
      <c r="D248" t="s">
        <v>2</v>
      </c>
      <c r="E248" t="s">
        <v>82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85</v>
      </c>
      <c r="D249" t="s">
        <v>2</v>
      </c>
      <c r="E249" t="s">
        <v>85</v>
      </c>
      <c r="F249" t="s">
        <v>13</v>
      </c>
      <c r="G249" t="s">
        <v>525</v>
      </c>
    </row>
    <row r="250" spans="1:7" x14ac:dyDescent="0.3">
      <c r="A250">
        <v>0</v>
      </c>
      <c r="B250" t="s">
        <v>312</v>
      </c>
      <c r="C250" t="s">
        <v>88</v>
      </c>
      <c r="D250" t="s">
        <v>2</v>
      </c>
      <c r="E250" t="s">
        <v>88</v>
      </c>
      <c r="F250" t="s">
        <v>13</v>
      </c>
      <c r="G250" t="s">
        <v>525</v>
      </c>
    </row>
    <row r="251" spans="1:7" x14ac:dyDescent="0.3">
      <c r="A251">
        <v>0</v>
      </c>
      <c r="B251" t="s">
        <v>312</v>
      </c>
      <c r="C251" t="s">
        <v>91</v>
      </c>
      <c r="D251" t="s">
        <v>2</v>
      </c>
      <c r="E251" t="s">
        <v>91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94</v>
      </c>
      <c r="D252" t="s">
        <v>2</v>
      </c>
      <c r="E252" t="s">
        <v>94</v>
      </c>
      <c r="F252" t="s">
        <v>13</v>
      </c>
      <c r="G252" t="s">
        <v>525</v>
      </c>
    </row>
    <row r="253" spans="1:7" x14ac:dyDescent="0.3">
      <c r="A253">
        <v>0</v>
      </c>
      <c r="B253" t="s">
        <v>312</v>
      </c>
      <c r="C253" t="s">
        <v>97</v>
      </c>
      <c r="D253" t="s">
        <v>2</v>
      </c>
      <c r="E253" t="s">
        <v>97</v>
      </c>
      <c r="F253" t="s">
        <v>13</v>
      </c>
      <c r="G253" t="s">
        <v>525</v>
      </c>
    </row>
    <row r="254" spans="1:7" x14ac:dyDescent="0.3">
      <c r="A254">
        <v>0</v>
      </c>
      <c r="B254" t="s">
        <v>312</v>
      </c>
      <c r="C254" t="s">
        <v>100</v>
      </c>
      <c r="D254" t="s">
        <v>2</v>
      </c>
      <c r="E254" t="s">
        <v>100</v>
      </c>
      <c r="F254" t="s">
        <v>13</v>
      </c>
      <c r="G254" t="s">
        <v>525</v>
      </c>
    </row>
  </sheetData>
  <pageMargins left="0.75" right="0.75" top="1" bottom="1" header="0.5" footer="0.5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252"/>
  <sheetViews>
    <sheetView workbookViewId="0">
      <selection activeCell="E7" sqref="E7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4.7636452241715403</v>
      </c>
      <c r="B2" t="s">
        <v>542</v>
      </c>
      <c r="C2" t="s">
        <v>648</v>
      </c>
      <c r="D2" t="s">
        <v>2</v>
      </c>
      <c r="E2" t="s">
        <v>111</v>
      </c>
      <c r="F2" t="s">
        <v>13</v>
      </c>
      <c r="G2" t="s">
        <v>525</v>
      </c>
      <c r="H2" t="s">
        <v>626</v>
      </c>
    </row>
    <row r="3" spans="1:9" x14ac:dyDescent="0.3">
      <c r="A3">
        <f>51.4473684210526/48</f>
        <v>1.0718201754385959</v>
      </c>
      <c r="B3" t="s">
        <v>57</v>
      </c>
      <c r="C3" t="s">
        <v>752</v>
      </c>
      <c r="D3" t="s">
        <v>2</v>
      </c>
      <c r="E3" t="s">
        <v>398</v>
      </c>
      <c r="F3" t="s">
        <v>13</v>
      </c>
      <c r="G3" t="s">
        <v>525</v>
      </c>
      <c r="H3" t="s">
        <v>626</v>
      </c>
    </row>
    <row r="4" spans="1:9" x14ac:dyDescent="0.3">
      <c r="A4">
        <v>1.0526315789473684</v>
      </c>
      <c r="B4" t="s">
        <v>57</v>
      </c>
      <c r="C4" t="s">
        <v>761</v>
      </c>
      <c r="D4" t="s">
        <v>2</v>
      </c>
      <c r="E4" t="s">
        <v>91</v>
      </c>
      <c r="F4" s="4" t="s">
        <v>13</v>
      </c>
      <c r="G4" t="s">
        <v>525</v>
      </c>
      <c r="H4" t="s">
        <v>626</v>
      </c>
    </row>
    <row r="5" spans="1:9" x14ac:dyDescent="0.3">
      <c r="A5">
        <v>2.8861973684210529</v>
      </c>
      <c r="B5" t="s">
        <v>57</v>
      </c>
      <c r="C5" t="s">
        <v>535</v>
      </c>
      <c r="D5" t="s">
        <v>498</v>
      </c>
      <c r="E5" t="s">
        <v>502</v>
      </c>
      <c r="F5" t="s">
        <v>13</v>
      </c>
      <c r="G5" t="s">
        <v>525</v>
      </c>
      <c r="H5" t="s">
        <v>658</v>
      </c>
    </row>
    <row r="6" spans="1:9" x14ac:dyDescent="0.3">
      <c r="A6">
        <v>2.5723684210526317E-4</v>
      </c>
      <c r="B6" t="s">
        <v>57</v>
      </c>
      <c r="C6" t="s">
        <v>500</v>
      </c>
      <c r="D6" t="s">
        <v>498</v>
      </c>
      <c r="E6" t="s">
        <v>500</v>
      </c>
      <c r="F6" t="s">
        <v>13</v>
      </c>
      <c r="G6" t="s">
        <v>525</v>
      </c>
      <c r="H6" t="s">
        <v>658</v>
      </c>
    </row>
    <row r="7" spans="1:9" x14ac:dyDescent="0.3">
      <c r="A7">
        <v>5.1447368421052638E-6</v>
      </c>
      <c r="B7" t="s">
        <v>57</v>
      </c>
      <c r="C7" t="s">
        <v>511</v>
      </c>
      <c r="D7" t="s">
        <v>498</v>
      </c>
      <c r="E7" t="s">
        <v>511</v>
      </c>
      <c r="F7" t="s">
        <v>13</v>
      </c>
      <c r="G7" t="s">
        <v>525</v>
      </c>
      <c r="H7" t="s">
        <v>658</v>
      </c>
    </row>
    <row r="8" spans="1:9" x14ac:dyDescent="0.3">
      <c r="A8">
        <v>0</v>
      </c>
      <c r="B8" t="s">
        <v>312</v>
      </c>
      <c r="C8" t="s">
        <v>483</v>
      </c>
      <c r="D8" t="s">
        <v>2</v>
      </c>
      <c r="E8" t="s">
        <v>483</v>
      </c>
      <c r="F8" t="s">
        <v>13</v>
      </c>
      <c r="G8" t="s">
        <v>525</v>
      </c>
    </row>
    <row r="9" spans="1:9" x14ac:dyDescent="0.3">
      <c r="A9">
        <v>0</v>
      </c>
      <c r="B9" t="s">
        <v>105</v>
      </c>
      <c r="C9" t="s">
        <v>125</v>
      </c>
      <c r="D9" t="s">
        <v>2</v>
      </c>
      <c r="E9" t="s">
        <v>125</v>
      </c>
      <c r="F9" t="s">
        <v>13</v>
      </c>
      <c r="G9" t="s">
        <v>525</v>
      </c>
    </row>
    <row r="10" spans="1:9" x14ac:dyDescent="0.3">
      <c r="A10">
        <v>0</v>
      </c>
      <c r="B10" t="s">
        <v>319</v>
      </c>
      <c r="C10" t="s">
        <v>461</v>
      </c>
      <c r="D10" t="s">
        <v>2</v>
      </c>
      <c r="E10" t="s">
        <v>461</v>
      </c>
      <c r="F10" t="s">
        <v>13</v>
      </c>
      <c r="G10" t="s">
        <v>525</v>
      </c>
    </row>
    <row r="11" spans="1:9" x14ac:dyDescent="0.3">
      <c r="A11">
        <v>0</v>
      </c>
      <c r="B11" t="s">
        <v>314</v>
      </c>
      <c r="C11" t="s">
        <v>395</v>
      </c>
      <c r="D11" t="s">
        <v>2</v>
      </c>
      <c r="E11" t="s">
        <v>395</v>
      </c>
      <c r="F11" t="s">
        <v>13</v>
      </c>
      <c r="G11" t="s">
        <v>525</v>
      </c>
    </row>
    <row r="12" spans="1:9" x14ac:dyDescent="0.3">
      <c r="A12">
        <v>0</v>
      </c>
      <c r="B12" t="s">
        <v>312</v>
      </c>
      <c r="C12" t="s">
        <v>399</v>
      </c>
      <c r="D12" t="s">
        <v>2</v>
      </c>
      <c r="E12" t="s">
        <v>399</v>
      </c>
      <c r="F12" t="s">
        <v>13</v>
      </c>
      <c r="G12" t="s">
        <v>525</v>
      </c>
    </row>
    <row r="13" spans="1:9" x14ac:dyDescent="0.3">
      <c r="A13">
        <v>0</v>
      </c>
      <c r="B13" t="s">
        <v>314</v>
      </c>
      <c r="C13" t="s">
        <v>432</v>
      </c>
      <c r="D13" t="s">
        <v>2</v>
      </c>
      <c r="E13" t="s">
        <v>432</v>
      </c>
      <c r="F13" t="s">
        <v>13</v>
      </c>
      <c r="G13" t="s">
        <v>525</v>
      </c>
    </row>
    <row r="14" spans="1:9" x14ac:dyDescent="0.3">
      <c r="A14">
        <v>0</v>
      </c>
      <c r="B14" t="s">
        <v>312</v>
      </c>
      <c r="C14" t="s">
        <v>325</v>
      </c>
      <c r="D14" t="s">
        <v>2</v>
      </c>
      <c r="E14" t="s">
        <v>325</v>
      </c>
      <c r="F14" t="s">
        <v>13</v>
      </c>
      <c r="G14" t="s">
        <v>525</v>
      </c>
    </row>
    <row r="15" spans="1:9" x14ac:dyDescent="0.3">
      <c r="A15">
        <v>0</v>
      </c>
      <c r="B15" t="s">
        <v>314</v>
      </c>
      <c r="C15" t="s">
        <v>372</v>
      </c>
      <c r="D15" t="s">
        <v>2</v>
      </c>
      <c r="E15" t="s">
        <v>372</v>
      </c>
      <c r="F15" t="s">
        <v>13</v>
      </c>
      <c r="G15" t="s">
        <v>525</v>
      </c>
    </row>
    <row r="16" spans="1:9" x14ac:dyDescent="0.3">
      <c r="A16">
        <v>0</v>
      </c>
      <c r="B16" t="s">
        <v>314</v>
      </c>
      <c r="C16" t="s">
        <v>260</v>
      </c>
      <c r="D16" t="s">
        <v>2</v>
      </c>
      <c r="E16" t="s">
        <v>260</v>
      </c>
      <c r="F16" t="s">
        <v>13</v>
      </c>
      <c r="G16" t="s">
        <v>525</v>
      </c>
    </row>
    <row r="17" spans="1:7" x14ac:dyDescent="0.3">
      <c r="A17">
        <v>0</v>
      </c>
      <c r="B17" t="s">
        <v>312</v>
      </c>
      <c r="C17" t="s">
        <v>330</v>
      </c>
      <c r="D17" t="s">
        <v>2</v>
      </c>
      <c r="E17" t="s">
        <v>330</v>
      </c>
      <c r="F17" t="s">
        <v>13</v>
      </c>
      <c r="G17" t="s">
        <v>525</v>
      </c>
    </row>
    <row r="18" spans="1:7" x14ac:dyDescent="0.3">
      <c r="A18">
        <v>0</v>
      </c>
      <c r="B18" t="s">
        <v>105</v>
      </c>
      <c r="C18" t="s">
        <v>401</v>
      </c>
      <c r="D18" t="s">
        <v>2</v>
      </c>
      <c r="E18" t="s">
        <v>401</v>
      </c>
      <c r="F18" t="s">
        <v>13</v>
      </c>
      <c r="G18" t="s">
        <v>525</v>
      </c>
    </row>
    <row r="19" spans="1:7" x14ac:dyDescent="0.3">
      <c r="A19">
        <v>0</v>
      </c>
      <c r="B19" t="s">
        <v>312</v>
      </c>
      <c r="C19" t="s">
        <v>416</v>
      </c>
      <c r="D19" t="s">
        <v>2</v>
      </c>
      <c r="E19" t="s">
        <v>416</v>
      </c>
      <c r="F19" t="s">
        <v>13</v>
      </c>
      <c r="G19" t="s">
        <v>525</v>
      </c>
    </row>
    <row r="20" spans="1:7" x14ac:dyDescent="0.3">
      <c r="A20">
        <v>0</v>
      </c>
      <c r="B20" t="s">
        <v>319</v>
      </c>
      <c r="C20" t="s">
        <v>375</v>
      </c>
      <c r="D20" t="s">
        <v>2</v>
      </c>
      <c r="E20" t="s">
        <v>375</v>
      </c>
      <c r="F20" t="s">
        <v>13</v>
      </c>
      <c r="G20" t="s">
        <v>525</v>
      </c>
    </row>
    <row r="21" spans="1:7" x14ac:dyDescent="0.3">
      <c r="A21">
        <v>0</v>
      </c>
      <c r="B21" t="s">
        <v>312</v>
      </c>
      <c r="C21" t="s">
        <v>333</v>
      </c>
      <c r="D21" t="s">
        <v>2</v>
      </c>
      <c r="E21" t="s">
        <v>333</v>
      </c>
      <c r="F21" t="s">
        <v>13</v>
      </c>
      <c r="G21" t="s">
        <v>525</v>
      </c>
    </row>
    <row r="22" spans="1:7" x14ac:dyDescent="0.3">
      <c r="A22">
        <v>0</v>
      </c>
      <c r="B22" t="s">
        <v>57</v>
      </c>
      <c r="C22" t="s">
        <v>118</v>
      </c>
      <c r="D22" t="s">
        <v>2</v>
      </c>
      <c r="E22" t="s">
        <v>118</v>
      </c>
      <c r="F22" t="s">
        <v>13</v>
      </c>
      <c r="G22" t="s">
        <v>525</v>
      </c>
    </row>
    <row r="23" spans="1:7" x14ac:dyDescent="0.3">
      <c r="A23">
        <v>0</v>
      </c>
      <c r="B23" t="s">
        <v>312</v>
      </c>
      <c r="C23" t="s">
        <v>406</v>
      </c>
      <c r="D23" t="s">
        <v>2</v>
      </c>
      <c r="E23" t="s">
        <v>406</v>
      </c>
      <c r="F23" t="s">
        <v>13</v>
      </c>
      <c r="G23" t="s">
        <v>525</v>
      </c>
    </row>
    <row r="24" spans="1:7" x14ac:dyDescent="0.3">
      <c r="A24">
        <v>0</v>
      </c>
      <c r="B24" t="s">
        <v>312</v>
      </c>
      <c r="C24" t="s">
        <v>315</v>
      </c>
      <c r="D24" t="s">
        <v>2</v>
      </c>
      <c r="E24" t="s">
        <v>315</v>
      </c>
      <c r="F24" t="s">
        <v>13</v>
      </c>
      <c r="G24" t="s">
        <v>525</v>
      </c>
    </row>
    <row r="25" spans="1:7" x14ac:dyDescent="0.3">
      <c r="A25">
        <v>0</v>
      </c>
      <c r="B25" t="s">
        <v>312</v>
      </c>
      <c r="C25" t="s">
        <v>358</v>
      </c>
      <c r="D25" t="s">
        <v>2</v>
      </c>
      <c r="E25" t="s">
        <v>358</v>
      </c>
      <c r="F25" t="s">
        <v>13</v>
      </c>
      <c r="G25" t="s">
        <v>525</v>
      </c>
    </row>
    <row r="26" spans="1:7" x14ac:dyDescent="0.3">
      <c r="A26">
        <v>0</v>
      </c>
      <c r="B26" t="s">
        <v>314</v>
      </c>
      <c r="C26" t="s">
        <v>444</v>
      </c>
      <c r="D26" t="s">
        <v>2</v>
      </c>
      <c r="E26" t="s">
        <v>444</v>
      </c>
      <c r="F26" t="s">
        <v>13</v>
      </c>
      <c r="G26" t="s">
        <v>525</v>
      </c>
    </row>
    <row r="27" spans="1:7" x14ac:dyDescent="0.3">
      <c r="A27">
        <v>0</v>
      </c>
      <c r="B27" t="s">
        <v>312</v>
      </c>
      <c r="C27" t="s">
        <v>439</v>
      </c>
      <c r="D27" t="s">
        <v>2</v>
      </c>
      <c r="E27" t="s">
        <v>439</v>
      </c>
      <c r="F27" t="s">
        <v>13</v>
      </c>
      <c r="G27" t="s">
        <v>525</v>
      </c>
    </row>
    <row r="28" spans="1:7" x14ac:dyDescent="0.3">
      <c r="A28">
        <v>0</v>
      </c>
      <c r="B28" t="s">
        <v>312</v>
      </c>
      <c r="C28" t="s">
        <v>381</v>
      </c>
      <c r="D28" t="s">
        <v>2</v>
      </c>
      <c r="E28" t="s">
        <v>381</v>
      </c>
      <c r="F28" t="s">
        <v>13</v>
      </c>
      <c r="G28" t="s">
        <v>525</v>
      </c>
    </row>
    <row r="29" spans="1:7" x14ac:dyDescent="0.3">
      <c r="A29">
        <v>0</v>
      </c>
      <c r="B29" t="s">
        <v>312</v>
      </c>
      <c r="C29" t="s">
        <v>418</v>
      </c>
      <c r="D29" t="s">
        <v>2</v>
      </c>
      <c r="E29" t="s">
        <v>418</v>
      </c>
      <c r="F29" t="s">
        <v>13</v>
      </c>
      <c r="G29" t="s">
        <v>525</v>
      </c>
    </row>
    <row r="30" spans="1:7" x14ac:dyDescent="0.3">
      <c r="A30">
        <v>0</v>
      </c>
      <c r="B30" t="s">
        <v>314</v>
      </c>
      <c r="C30" t="s">
        <v>465</v>
      </c>
      <c r="D30" t="s">
        <v>2</v>
      </c>
      <c r="E30" t="s">
        <v>465</v>
      </c>
      <c r="F30" t="s">
        <v>13</v>
      </c>
      <c r="G30" t="s">
        <v>525</v>
      </c>
    </row>
    <row r="31" spans="1:7" x14ac:dyDescent="0.3">
      <c r="A31">
        <v>0</v>
      </c>
      <c r="B31" t="s">
        <v>105</v>
      </c>
      <c r="C31" t="s">
        <v>103</v>
      </c>
      <c r="D31" t="s">
        <v>2</v>
      </c>
      <c r="E31" t="s">
        <v>103</v>
      </c>
      <c r="F31" t="s">
        <v>13</v>
      </c>
      <c r="G31" t="s">
        <v>525</v>
      </c>
    </row>
    <row r="32" spans="1:7" x14ac:dyDescent="0.3">
      <c r="A32">
        <v>0</v>
      </c>
      <c r="B32" t="s">
        <v>312</v>
      </c>
      <c r="C32" t="s">
        <v>320</v>
      </c>
      <c r="D32" t="s">
        <v>2</v>
      </c>
      <c r="E32" t="s">
        <v>320</v>
      </c>
      <c r="F32" t="s">
        <v>13</v>
      </c>
      <c r="G32" t="s">
        <v>525</v>
      </c>
    </row>
    <row r="33" spans="1:7" x14ac:dyDescent="0.3">
      <c r="A33">
        <v>0</v>
      </c>
      <c r="B33" t="s">
        <v>312</v>
      </c>
      <c r="C33" t="s">
        <v>334</v>
      </c>
      <c r="D33" t="s">
        <v>2</v>
      </c>
      <c r="E33" t="s">
        <v>334</v>
      </c>
      <c r="F33" t="s">
        <v>13</v>
      </c>
      <c r="G33" t="s">
        <v>525</v>
      </c>
    </row>
    <row r="34" spans="1:7" x14ac:dyDescent="0.3">
      <c r="A34">
        <v>0</v>
      </c>
      <c r="B34" t="s">
        <v>312</v>
      </c>
      <c r="C34" t="s">
        <v>435</v>
      </c>
      <c r="D34" t="s">
        <v>2</v>
      </c>
      <c r="E34" t="s">
        <v>435</v>
      </c>
      <c r="F34" t="s">
        <v>13</v>
      </c>
      <c r="G34" t="s">
        <v>525</v>
      </c>
    </row>
    <row r="35" spans="1:7" x14ac:dyDescent="0.3">
      <c r="A35">
        <v>0</v>
      </c>
      <c r="B35" t="s">
        <v>319</v>
      </c>
      <c r="C35" t="s">
        <v>456</v>
      </c>
      <c r="D35" t="s">
        <v>2</v>
      </c>
      <c r="E35" t="s">
        <v>456</v>
      </c>
      <c r="F35" t="s">
        <v>13</v>
      </c>
      <c r="G35" t="s">
        <v>525</v>
      </c>
    </row>
    <row r="36" spans="1:7" x14ac:dyDescent="0.3">
      <c r="A36">
        <v>0</v>
      </c>
      <c r="B36" t="s">
        <v>312</v>
      </c>
      <c r="C36" t="s">
        <v>474</v>
      </c>
      <c r="D36" t="s">
        <v>2</v>
      </c>
      <c r="E36" t="s">
        <v>474</v>
      </c>
      <c r="F36" t="s">
        <v>13</v>
      </c>
      <c r="G36" t="s">
        <v>525</v>
      </c>
    </row>
    <row r="37" spans="1:7" x14ac:dyDescent="0.3">
      <c r="A37">
        <v>0</v>
      </c>
      <c r="B37" t="s">
        <v>319</v>
      </c>
      <c r="C37" t="s">
        <v>318</v>
      </c>
      <c r="D37" t="s">
        <v>2</v>
      </c>
      <c r="E37" t="s">
        <v>318</v>
      </c>
      <c r="F37" t="s">
        <v>13</v>
      </c>
      <c r="G37" t="s">
        <v>525</v>
      </c>
    </row>
    <row r="38" spans="1:7" x14ac:dyDescent="0.3">
      <c r="A38">
        <v>0</v>
      </c>
      <c r="B38" t="s">
        <v>314</v>
      </c>
      <c r="C38" t="s">
        <v>475</v>
      </c>
      <c r="D38" t="s">
        <v>2</v>
      </c>
      <c r="E38" t="s">
        <v>475</v>
      </c>
      <c r="F38" t="s">
        <v>13</v>
      </c>
      <c r="G38" t="s">
        <v>525</v>
      </c>
    </row>
    <row r="39" spans="1:7" x14ac:dyDescent="0.3">
      <c r="A39">
        <v>0</v>
      </c>
      <c r="B39" t="s">
        <v>314</v>
      </c>
      <c r="C39" t="s">
        <v>449</v>
      </c>
      <c r="D39" t="s">
        <v>2</v>
      </c>
      <c r="E39" t="s">
        <v>449</v>
      </c>
      <c r="F39" t="s">
        <v>13</v>
      </c>
      <c r="G39" t="s">
        <v>525</v>
      </c>
    </row>
    <row r="40" spans="1:7" x14ac:dyDescent="0.3">
      <c r="A40">
        <v>0</v>
      </c>
      <c r="B40" t="s">
        <v>314</v>
      </c>
      <c r="C40" t="s">
        <v>176</v>
      </c>
      <c r="D40" t="s">
        <v>2</v>
      </c>
      <c r="E40" t="s">
        <v>176</v>
      </c>
      <c r="F40" t="s">
        <v>13</v>
      </c>
      <c r="G40" t="s">
        <v>525</v>
      </c>
    </row>
    <row r="41" spans="1:7" x14ac:dyDescent="0.3">
      <c r="A41">
        <v>0</v>
      </c>
      <c r="B41" t="s">
        <v>312</v>
      </c>
      <c r="C41" t="s">
        <v>388</v>
      </c>
      <c r="D41" t="s">
        <v>2</v>
      </c>
      <c r="E41" t="s">
        <v>388</v>
      </c>
      <c r="F41" t="s">
        <v>13</v>
      </c>
      <c r="G41" t="s">
        <v>525</v>
      </c>
    </row>
    <row r="42" spans="1:7" x14ac:dyDescent="0.3">
      <c r="A42">
        <v>0</v>
      </c>
      <c r="B42" t="s">
        <v>319</v>
      </c>
      <c r="C42" t="s">
        <v>429</v>
      </c>
      <c r="D42" t="s">
        <v>2</v>
      </c>
      <c r="E42" t="s">
        <v>429</v>
      </c>
      <c r="F42" t="s">
        <v>13</v>
      </c>
      <c r="G42" t="s">
        <v>525</v>
      </c>
    </row>
    <row r="43" spans="1:7" x14ac:dyDescent="0.3">
      <c r="A43">
        <v>0</v>
      </c>
      <c r="B43" t="s">
        <v>312</v>
      </c>
      <c r="C43" t="s">
        <v>272</v>
      </c>
      <c r="D43" t="s">
        <v>2</v>
      </c>
      <c r="E43" t="s">
        <v>272</v>
      </c>
      <c r="F43" t="s">
        <v>13</v>
      </c>
      <c r="G43" t="s">
        <v>525</v>
      </c>
    </row>
    <row r="44" spans="1:7" x14ac:dyDescent="0.3">
      <c r="A44">
        <v>0</v>
      </c>
      <c r="B44" t="s">
        <v>312</v>
      </c>
      <c r="C44" t="s">
        <v>410</v>
      </c>
      <c r="D44" t="s">
        <v>2</v>
      </c>
      <c r="E44" t="s">
        <v>410</v>
      </c>
      <c r="F44" t="s">
        <v>13</v>
      </c>
      <c r="G44" t="s">
        <v>525</v>
      </c>
    </row>
    <row r="45" spans="1:7" x14ac:dyDescent="0.3">
      <c r="A45">
        <v>0</v>
      </c>
      <c r="B45" t="s">
        <v>319</v>
      </c>
      <c r="C45" t="s">
        <v>363</v>
      </c>
      <c r="D45" t="s">
        <v>2</v>
      </c>
      <c r="E45" t="s">
        <v>363</v>
      </c>
      <c r="F45" t="s">
        <v>13</v>
      </c>
      <c r="G45" t="s">
        <v>525</v>
      </c>
    </row>
    <row r="46" spans="1:7" x14ac:dyDescent="0.3">
      <c r="A46">
        <v>0</v>
      </c>
      <c r="B46" t="s">
        <v>312</v>
      </c>
      <c r="C46" t="s">
        <v>382</v>
      </c>
      <c r="D46" t="s">
        <v>2</v>
      </c>
      <c r="E46" t="s">
        <v>382</v>
      </c>
      <c r="F46" t="s">
        <v>13</v>
      </c>
      <c r="G46" t="s">
        <v>525</v>
      </c>
    </row>
    <row r="47" spans="1:7" x14ac:dyDescent="0.3">
      <c r="A47">
        <v>0</v>
      </c>
      <c r="B47" t="s">
        <v>312</v>
      </c>
      <c r="C47" t="s">
        <v>424</v>
      </c>
      <c r="D47" t="s">
        <v>2</v>
      </c>
      <c r="E47" t="s">
        <v>424</v>
      </c>
      <c r="F47" t="s">
        <v>13</v>
      </c>
      <c r="G47" t="s">
        <v>525</v>
      </c>
    </row>
    <row r="48" spans="1:7" x14ac:dyDescent="0.3">
      <c r="A48">
        <v>0</v>
      </c>
      <c r="B48" t="s">
        <v>314</v>
      </c>
      <c r="C48" t="s">
        <v>351</v>
      </c>
      <c r="D48" t="s">
        <v>2</v>
      </c>
      <c r="E48" t="s">
        <v>351</v>
      </c>
      <c r="F48" t="s">
        <v>13</v>
      </c>
      <c r="G48" t="s">
        <v>525</v>
      </c>
    </row>
    <row r="49" spans="1:7" x14ac:dyDescent="0.3">
      <c r="A49">
        <v>0</v>
      </c>
      <c r="B49" t="s">
        <v>312</v>
      </c>
      <c r="C49" t="s">
        <v>347</v>
      </c>
      <c r="D49" t="s">
        <v>2</v>
      </c>
      <c r="E49" t="s">
        <v>347</v>
      </c>
      <c r="F49" t="s">
        <v>13</v>
      </c>
      <c r="G49" t="s">
        <v>525</v>
      </c>
    </row>
    <row r="50" spans="1:7" x14ac:dyDescent="0.3">
      <c r="A50">
        <v>0</v>
      </c>
      <c r="B50" t="s">
        <v>314</v>
      </c>
      <c r="C50" t="s">
        <v>453</v>
      </c>
      <c r="D50" t="s">
        <v>2</v>
      </c>
      <c r="E50" t="s">
        <v>453</v>
      </c>
      <c r="F50" t="s">
        <v>13</v>
      </c>
      <c r="G50" t="s">
        <v>525</v>
      </c>
    </row>
    <row r="51" spans="1:7" x14ac:dyDescent="0.3">
      <c r="A51">
        <v>0</v>
      </c>
      <c r="B51" t="s">
        <v>319</v>
      </c>
      <c r="C51" t="s">
        <v>457</v>
      </c>
      <c r="D51" t="s">
        <v>2</v>
      </c>
      <c r="E51" t="s">
        <v>457</v>
      </c>
      <c r="F51" t="s">
        <v>13</v>
      </c>
      <c r="G51" t="s">
        <v>525</v>
      </c>
    </row>
    <row r="52" spans="1:7" x14ac:dyDescent="0.3">
      <c r="A52">
        <v>0</v>
      </c>
      <c r="B52" t="s">
        <v>312</v>
      </c>
      <c r="C52" t="s">
        <v>485</v>
      </c>
      <c r="D52" t="s">
        <v>2</v>
      </c>
      <c r="E52" t="s">
        <v>485</v>
      </c>
      <c r="F52" t="s">
        <v>13</v>
      </c>
      <c r="G52" t="s">
        <v>525</v>
      </c>
    </row>
    <row r="53" spans="1:7" x14ac:dyDescent="0.3">
      <c r="A53">
        <v>0</v>
      </c>
      <c r="B53" t="s">
        <v>312</v>
      </c>
      <c r="C53" t="s">
        <v>355</v>
      </c>
      <c r="D53" t="s">
        <v>2</v>
      </c>
      <c r="E53" t="s">
        <v>355</v>
      </c>
      <c r="F53" t="s">
        <v>13</v>
      </c>
      <c r="G53" t="s">
        <v>525</v>
      </c>
    </row>
    <row r="54" spans="1:7" x14ac:dyDescent="0.3">
      <c r="A54">
        <v>0</v>
      </c>
      <c r="B54" t="s">
        <v>312</v>
      </c>
      <c r="C54" t="s">
        <v>338</v>
      </c>
      <c r="D54" t="s">
        <v>2</v>
      </c>
      <c r="E54" t="s">
        <v>338</v>
      </c>
      <c r="F54" t="s">
        <v>13</v>
      </c>
      <c r="G54" t="s">
        <v>525</v>
      </c>
    </row>
    <row r="55" spans="1:7" x14ac:dyDescent="0.3">
      <c r="A55">
        <v>0</v>
      </c>
      <c r="B55" t="s">
        <v>312</v>
      </c>
      <c r="C55" t="s">
        <v>394</v>
      </c>
      <c r="D55" t="s">
        <v>2</v>
      </c>
      <c r="E55" t="s">
        <v>394</v>
      </c>
      <c r="F55" t="s">
        <v>13</v>
      </c>
      <c r="G55" t="s">
        <v>525</v>
      </c>
    </row>
    <row r="56" spans="1:7" x14ac:dyDescent="0.3">
      <c r="A56">
        <v>0</v>
      </c>
      <c r="B56" t="s">
        <v>312</v>
      </c>
      <c r="C56" t="s">
        <v>438</v>
      </c>
      <c r="D56" t="s">
        <v>2</v>
      </c>
      <c r="E56" t="s">
        <v>438</v>
      </c>
      <c r="F56" t="s">
        <v>13</v>
      </c>
      <c r="G56" t="s">
        <v>525</v>
      </c>
    </row>
    <row r="57" spans="1:7" x14ac:dyDescent="0.3">
      <c r="A57">
        <v>0</v>
      </c>
      <c r="B57" t="s">
        <v>312</v>
      </c>
      <c r="C57" t="s">
        <v>486</v>
      </c>
      <c r="D57" t="s">
        <v>2</v>
      </c>
      <c r="E57" t="s">
        <v>486</v>
      </c>
      <c r="F57" t="s">
        <v>13</v>
      </c>
      <c r="G57" t="s">
        <v>525</v>
      </c>
    </row>
    <row r="58" spans="1:7" x14ac:dyDescent="0.3">
      <c r="A58">
        <v>0</v>
      </c>
      <c r="B58" t="s">
        <v>319</v>
      </c>
      <c r="C58" t="s">
        <v>419</v>
      </c>
      <c r="D58" t="s">
        <v>2</v>
      </c>
      <c r="E58" t="s">
        <v>419</v>
      </c>
      <c r="F58" t="s">
        <v>13</v>
      </c>
      <c r="G58" t="s">
        <v>525</v>
      </c>
    </row>
    <row r="59" spans="1:7" x14ac:dyDescent="0.3">
      <c r="A59">
        <v>0</v>
      </c>
      <c r="B59" t="s">
        <v>57</v>
      </c>
      <c r="C59" t="s">
        <v>353</v>
      </c>
      <c r="D59" t="s">
        <v>2</v>
      </c>
      <c r="E59" t="s">
        <v>353</v>
      </c>
      <c r="F59" t="s">
        <v>13</v>
      </c>
      <c r="G59" t="s">
        <v>525</v>
      </c>
    </row>
    <row r="60" spans="1:7" x14ac:dyDescent="0.3">
      <c r="A60">
        <v>0</v>
      </c>
      <c r="B60" t="s">
        <v>319</v>
      </c>
      <c r="C60" t="s">
        <v>489</v>
      </c>
      <c r="D60" t="s">
        <v>2</v>
      </c>
      <c r="E60" t="s">
        <v>489</v>
      </c>
      <c r="F60" t="s">
        <v>13</v>
      </c>
      <c r="G60" t="s">
        <v>525</v>
      </c>
    </row>
    <row r="61" spans="1:7" x14ac:dyDescent="0.3">
      <c r="A61">
        <v>0</v>
      </c>
      <c r="B61" t="s">
        <v>312</v>
      </c>
      <c r="C61" t="s">
        <v>386</v>
      </c>
      <c r="D61" t="s">
        <v>2</v>
      </c>
      <c r="E61" t="s">
        <v>386</v>
      </c>
      <c r="F61" t="s">
        <v>13</v>
      </c>
      <c r="G61" t="s">
        <v>525</v>
      </c>
    </row>
    <row r="62" spans="1:7" x14ac:dyDescent="0.3">
      <c r="A62">
        <v>0</v>
      </c>
      <c r="B62" t="s">
        <v>319</v>
      </c>
      <c r="C62" t="s">
        <v>389</v>
      </c>
      <c r="D62" t="s">
        <v>2</v>
      </c>
      <c r="E62" t="s">
        <v>389</v>
      </c>
      <c r="F62" t="s">
        <v>13</v>
      </c>
      <c r="G62" t="s">
        <v>525</v>
      </c>
    </row>
    <row r="63" spans="1:7" x14ac:dyDescent="0.3">
      <c r="A63">
        <v>0</v>
      </c>
      <c r="B63" t="s">
        <v>312</v>
      </c>
      <c r="C63" t="s">
        <v>340</v>
      </c>
      <c r="D63" t="s">
        <v>2</v>
      </c>
      <c r="E63" t="s">
        <v>340</v>
      </c>
      <c r="F63" t="s">
        <v>13</v>
      </c>
      <c r="G63" t="s">
        <v>525</v>
      </c>
    </row>
    <row r="64" spans="1:7" x14ac:dyDescent="0.3">
      <c r="A64">
        <v>0</v>
      </c>
      <c r="B64" t="s">
        <v>312</v>
      </c>
      <c r="C64" t="s">
        <v>368</v>
      </c>
      <c r="D64" t="s">
        <v>2</v>
      </c>
      <c r="E64" t="s">
        <v>368</v>
      </c>
      <c r="F64" t="s">
        <v>13</v>
      </c>
      <c r="G64" t="s">
        <v>525</v>
      </c>
    </row>
    <row r="65" spans="1:7" x14ac:dyDescent="0.3">
      <c r="A65">
        <v>0</v>
      </c>
      <c r="B65" t="s">
        <v>312</v>
      </c>
      <c r="C65" t="s">
        <v>328</v>
      </c>
      <c r="D65" t="s">
        <v>2</v>
      </c>
      <c r="E65" t="s">
        <v>328</v>
      </c>
      <c r="F65" t="s">
        <v>13</v>
      </c>
      <c r="G65" t="s">
        <v>525</v>
      </c>
    </row>
    <row r="66" spans="1:7" x14ac:dyDescent="0.3">
      <c r="A66">
        <v>0</v>
      </c>
      <c r="B66" t="s">
        <v>312</v>
      </c>
      <c r="C66" t="s">
        <v>479</v>
      </c>
      <c r="D66" t="s">
        <v>2</v>
      </c>
      <c r="E66" t="s">
        <v>479</v>
      </c>
      <c r="F66" t="s">
        <v>13</v>
      </c>
      <c r="G66" t="s">
        <v>525</v>
      </c>
    </row>
    <row r="67" spans="1:7" x14ac:dyDescent="0.3">
      <c r="A67">
        <v>0</v>
      </c>
      <c r="B67" t="s">
        <v>57</v>
      </c>
      <c r="C67" t="s">
        <v>116</v>
      </c>
      <c r="D67" t="s">
        <v>2</v>
      </c>
      <c r="E67" t="s">
        <v>116</v>
      </c>
      <c r="F67" t="s">
        <v>13</v>
      </c>
      <c r="G67" t="s">
        <v>525</v>
      </c>
    </row>
    <row r="68" spans="1:7" x14ac:dyDescent="0.3">
      <c r="A68">
        <v>0</v>
      </c>
      <c r="B68" t="s">
        <v>312</v>
      </c>
      <c r="C68" t="s">
        <v>352</v>
      </c>
      <c r="D68" t="s">
        <v>2</v>
      </c>
      <c r="E68" t="s">
        <v>352</v>
      </c>
      <c r="F68" t="s">
        <v>13</v>
      </c>
      <c r="G68" t="s">
        <v>525</v>
      </c>
    </row>
    <row r="69" spans="1:7" x14ac:dyDescent="0.3">
      <c r="A69">
        <v>0</v>
      </c>
      <c r="B69" t="s">
        <v>312</v>
      </c>
      <c r="C69" t="s">
        <v>417</v>
      </c>
      <c r="D69" t="s">
        <v>2</v>
      </c>
      <c r="E69" t="s">
        <v>417</v>
      </c>
      <c r="F69" t="s">
        <v>13</v>
      </c>
      <c r="G69" t="s">
        <v>525</v>
      </c>
    </row>
    <row r="70" spans="1:7" x14ac:dyDescent="0.3">
      <c r="A70">
        <v>0</v>
      </c>
      <c r="B70" t="s">
        <v>312</v>
      </c>
      <c r="C70" t="s">
        <v>447</v>
      </c>
      <c r="D70" t="s">
        <v>2</v>
      </c>
      <c r="E70" t="s">
        <v>447</v>
      </c>
      <c r="F70" t="s">
        <v>13</v>
      </c>
      <c r="G70" t="s">
        <v>525</v>
      </c>
    </row>
    <row r="71" spans="1:7" x14ac:dyDescent="0.3">
      <c r="A71">
        <v>0</v>
      </c>
      <c r="B71" t="s">
        <v>319</v>
      </c>
      <c r="C71" t="s">
        <v>329</v>
      </c>
      <c r="D71" t="s">
        <v>2</v>
      </c>
      <c r="E71" t="s">
        <v>329</v>
      </c>
      <c r="F71" t="s">
        <v>13</v>
      </c>
      <c r="G71" t="s">
        <v>525</v>
      </c>
    </row>
    <row r="72" spans="1:7" x14ac:dyDescent="0.3">
      <c r="A72">
        <v>0</v>
      </c>
      <c r="B72" t="s">
        <v>312</v>
      </c>
      <c r="C72" t="s">
        <v>252</v>
      </c>
      <c r="D72" t="s">
        <v>2</v>
      </c>
      <c r="E72" t="s">
        <v>252</v>
      </c>
      <c r="F72" t="s">
        <v>13</v>
      </c>
      <c r="G72" t="s">
        <v>525</v>
      </c>
    </row>
    <row r="73" spans="1:7" x14ac:dyDescent="0.3">
      <c r="A73">
        <v>0</v>
      </c>
      <c r="B73" t="s">
        <v>312</v>
      </c>
      <c r="C73" t="s">
        <v>317</v>
      </c>
      <c r="D73" t="s">
        <v>2</v>
      </c>
      <c r="E73" t="s">
        <v>317</v>
      </c>
      <c r="F73" t="s">
        <v>13</v>
      </c>
      <c r="G73" t="s">
        <v>525</v>
      </c>
    </row>
    <row r="74" spans="1:7" x14ac:dyDescent="0.3">
      <c r="A74">
        <v>0</v>
      </c>
      <c r="B74" t="s">
        <v>312</v>
      </c>
      <c r="C74" t="s">
        <v>436</v>
      </c>
      <c r="D74" t="s">
        <v>2</v>
      </c>
      <c r="E74" t="s">
        <v>436</v>
      </c>
      <c r="F74" t="s">
        <v>13</v>
      </c>
      <c r="G74" t="s">
        <v>525</v>
      </c>
    </row>
    <row r="75" spans="1:7" x14ac:dyDescent="0.3">
      <c r="A75">
        <v>0</v>
      </c>
      <c r="B75" t="s">
        <v>319</v>
      </c>
      <c r="C75" t="s">
        <v>490</v>
      </c>
      <c r="D75" t="s">
        <v>2</v>
      </c>
      <c r="E75" t="s">
        <v>490</v>
      </c>
      <c r="F75" t="s">
        <v>13</v>
      </c>
      <c r="G75" t="s">
        <v>525</v>
      </c>
    </row>
    <row r="76" spans="1:7" x14ac:dyDescent="0.3">
      <c r="A76">
        <v>0</v>
      </c>
      <c r="B76" t="s">
        <v>312</v>
      </c>
      <c r="C76" t="s">
        <v>391</v>
      </c>
      <c r="D76" t="s">
        <v>2</v>
      </c>
      <c r="E76" t="s">
        <v>391</v>
      </c>
      <c r="F76" t="s">
        <v>13</v>
      </c>
      <c r="G76" t="s">
        <v>525</v>
      </c>
    </row>
    <row r="77" spans="1:7" x14ac:dyDescent="0.3">
      <c r="A77">
        <v>0</v>
      </c>
      <c r="B77" t="s">
        <v>312</v>
      </c>
      <c r="C77" t="s">
        <v>235</v>
      </c>
      <c r="D77" t="s">
        <v>2</v>
      </c>
      <c r="E77" t="s">
        <v>235</v>
      </c>
      <c r="F77" t="s">
        <v>13</v>
      </c>
      <c r="G77" t="s">
        <v>525</v>
      </c>
    </row>
    <row r="78" spans="1:7" x14ac:dyDescent="0.3">
      <c r="A78">
        <v>0</v>
      </c>
      <c r="B78" t="s">
        <v>312</v>
      </c>
      <c r="C78" t="s">
        <v>493</v>
      </c>
      <c r="D78" t="s">
        <v>2</v>
      </c>
      <c r="E78" t="s">
        <v>493</v>
      </c>
      <c r="F78" t="s">
        <v>13</v>
      </c>
      <c r="G78" t="s">
        <v>525</v>
      </c>
    </row>
    <row r="79" spans="1:7" x14ac:dyDescent="0.3">
      <c r="A79">
        <v>0</v>
      </c>
      <c r="B79" t="s">
        <v>312</v>
      </c>
      <c r="C79" t="s">
        <v>335</v>
      </c>
      <c r="D79" t="s">
        <v>2</v>
      </c>
      <c r="E79" t="s">
        <v>335</v>
      </c>
      <c r="F79" t="s">
        <v>13</v>
      </c>
      <c r="G79" t="s">
        <v>525</v>
      </c>
    </row>
    <row r="80" spans="1:7" x14ac:dyDescent="0.3">
      <c r="A80">
        <v>0</v>
      </c>
      <c r="B80" t="s">
        <v>312</v>
      </c>
      <c r="C80" t="s">
        <v>354</v>
      </c>
      <c r="D80" t="s">
        <v>2</v>
      </c>
      <c r="E80" t="s">
        <v>354</v>
      </c>
      <c r="F80" t="s">
        <v>13</v>
      </c>
      <c r="G80" t="s">
        <v>525</v>
      </c>
    </row>
    <row r="81" spans="1:7" x14ac:dyDescent="0.3">
      <c r="A81">
        <v>0</v>
      </c>
      <c r="B81" t="s">
        <v>319</v>
      </c>
      <c r="C81" t="s">
        <v>360</v>
      </c>
      <c r="D81" t="s">
        <v>2</v>
      </c>
      <c r="E81" t="s">
        <v>360</v>
      </c>
      <c r="F81" t="s">
        <v>13</v>
      </c>
      <c r="G81" t="s">
        <v>525</v>
      </c>
    </row>
    <row r="82" spans="1:7" x14ac:dyDescent="0.3">
      <c r="A82">
        <v>0</v>
      </c>
      <c r="B82" t="s">
        <v>314</v>
      </c>
      <c r="C82" t="s">
        <v>356</v>
      </c>
      <c r="D82" t="s">
        <v>2</v>
      </c>
      <c r="E82" t="s">
        <v>356</v>
      </c>
      <c r="F82" t="s">
        <v>13</v>
      </c>
      <c r="G82" t="s">
        <v>525</v>
      </c>
    </row>
    <row r="83" spans="1:7" x14ac:dyDescent="0.3">
      <c r="A83">
        <v>0</v>
      </c>
      <c r="B83" t="s">
        <v>312</v>
      </c>
      <c r="C83" t="s">
        <v>405</v>
      </c>
      <c r="D83" t="s">
        <v>2</v>
      </c>
      <c r="E83" t="s">
        <v>405</v>
      </c>
      <c r="F83" t="s">
        <v>13</v>
      </c>
      <c r="G83" t="s">
        <v>525</v>
      </c>
    </row>
    <row r="84" spans="1:7" x14ac:dyDescent="0.3">
      <c r="A84">
        <v>0</v>
      </c>
      <c r="B84" t="s">
        <v>312</v>
      </c>
      <c r="C84" t="s">
        <v>471</v>
      </c>
      <c r="D84" t="s">
        <v>2</v>
      </c>
      <c r="E84" t="s">
        <v>471</v>
      </c>
      <c r="F84" t="s">
        <v>13</v>
      </c>
      <c r="G84" t="s">
        <v>525</v>
      </c>
    </row>
    <row r="85" spans="1:7" x14ac:dyDescent="0.3">
      <c r="A85">
        <v>0</v>
      </c>
      <c r="B85" t="s">
        <v>319</v>
      </c>
      <c r="C85" t="s">
        <v>421</v>
      </c>
      <c r="D85" t="s">
        <v>2</v>
      </c>
      <c r="E85" t="s">
        <v>421</v>
      </c>
      <c r="F85" t="s">
        <v>13</v>
      </c>
      <c r="G85" t="s">
        <v>525</v>
      </c>
    </row>
    <row r="86" spans="1:7" x14ac:dyDescent="0.3">
      <c r="A86">
        <v>0</v>
      </c>
      <c r="B86" t="s">
        <v>312</v>
      </c>
      <c r="C86" t="s">
        <v>321</v>
      </c>
      <c r="D86" t="s">
        <v>2</v>
      </c>
      <c r="E86" t="s">
        <v>321</v>
      </c>
      <c r="F86" t="s">
        <v>13</v>
      </c>
      <c r="G86" t="s">
        <v>525</v>
      </c>
    </row>
    <row r="87" spans="1:7" x14ac:dyDescent="0.3">
      <c r="A87">
        <v>0</v>
      </c>
      <c r="B87" t="s">
        <v>105</v>
      </c>
      <c r="C87" t="s">
        <v>113</v>
      </c>
      <c r="D87" t="s">
        <v>2</v>
      </c>
      <c r="E87" t="s">
        <v>113</v>
      </c>
      <c r="F87" t="s">
        <v>13</v>
      </c>
      <c r="G87" t="s">
        <v>525</v>
      </c>
    </row>
    <row r="88" spans="1:7" x14ac:dyDescent="0.3">
      <c r="A88">
        <v>0</v>
      </c>
      <c r="B88" t="s">
        <v>312</v>
      </c>
      <c r="C88" t="s">
        <v>348</v>
      </c>
      <c r="D88" t="s">
        <v>2</v>
      </c>
      <c r="E88" t="s">
        <v>348</v>
      </c>
      <c r="F88" t="s">
        <v>13</v>
      </c>
      <c r="G88" t="s">
        <v>525</v>
      </c>
    </row>
    <row r="89" spans="1:7" x14ac:dyDescent="0.3">
      <c r="A89">
        <v>0</v>
      </c>
      <c r="B89" t="s">
        <v>105</v>
      </c>
      <c r="C89" t="s">
        <v>469</v>
      </c>
      <c r="D89" t="s">
        <v>2</v>
      </c>
      <c r="E89" t="s">
        <v>469</v>
      </c>
      <c r="F89" t="s">
        <v>13</v>
      </c>
      <c r="G89" t="s">
        <v>525</v>
      </c>
    </row>
    <row r="90" spans="1:7" x14ac:dyDescent="0.3">
      <c r="A90">
        <v>0</v>
      </c>
      <c r="B90" t="s">
        <v>314</v>
      </c>
      <c r="C90" t="s">
        <v>481</v>
      </c>
      <c r="D90" t="s">
        <v>2</v>
      </c>
      <c r="E90" t="s">
        <v>481</v>
      </c>
      <c r="F90" t="s">
        <v>13</v>
      </c>
      <c r="G90" t="s">
        <v>525</v>
      </c>
    </row>
    <row r="91" spans="1:7" x14ac:dyDescent="0.3">
      <c r="A91">
        <v>0</v>
      </c>
      <c r="B91" t="s">
        <v>312</v>
      </c>
      <c r="C91" t="s">
        <v>398</v>
      </c>
      <c r="D91" t="s">
        <v>2</v>
      </c>
      <c r="E91" t="s">
        <v>398</v>
      </c>
      <c r="F91" t="s">
        <v>13</v>
      </c>
      <c r="G91" t="s">
        <v>525</v>
      </c>
    </row>
    <row r="92" spans="1:7" x14ac:dyDescent="0.3">
      <c r="A92">
        <v>0</v>
      </c>
      <c r="B92" t="s">
        <v>314</v>
      </c>
      <c r="C92" t="s">
        <v>342</v>
      </c>
      <c r="D92" t="s">
        <v>2</v>
      </c>
      <c r="E92" t="s">
        <v>342</v>
      </c>
      <c r="F92" t="s">
        <v>13</v>
      </c>
      <c r="G92" t="s">
        <v>525</v>
      </c>
    </row>
    <row r="93" spans="1:7" x14ac:dyDescent="0.3">
      <c r="A93">
        <v>0</v>
      </c>
      <c r="B93" t="s">
        <v>312</v>
      </c>
      <c r="C93" t="s">
        <v>322</v>
      </c>
      <c r="D93" t="s">
        <v>2</v>
      </c>
      <c r="E93" t="s">
        <v>322</v>
      </c>
      <c r="F93" t="s">
        <v>13</v>
      </c>
      <c r="G93" t="s">
        <v>525</v>
      </c>
    </row>
    <row r="94" spans="1:7" x14ac:dyDescent="0.3">
      <c r="A94">
        <v>0</v>
      </c>
      <c r="B94" t="s">
        <v>314</v>
      </c>
      <c r="C94" t="s">
        <v>409</v>
      </c>
      <c r="D94" t="s">
        <v>2</v>
      </c>
      <c r="E94" t="s">
        <v>409</v>
      </c>
      <c r="F94" t="s">
        <v>13</v>
      </c>
      <c r="G94" t="s">
        <v>525</v>
      </c>
    </row>
    <row r="95" spans="1:7" x14ac:dyDescent="0.3">
      <c r="A95">
        <v>0</v>
      </c>
      <c r="B95" t="s">
        <v>314</v>
      </c>
      <c r="C95" t="s">
        <v>480</v>
      </c>
      <c r="D95" t="s">
        <v>2</v>
      </c>
      <c r="E95" t="s">
        <v>480</v>
      </c>
      <c r="F95" t="s">
        <v>13</v>
      </c>
      <c r="G95" t="s">
        <v>525</v>
      </c>
    </row>
    <row r="96" spans="1:7" x14ac:dyDescent="0.3">
      <c r="A96">
        <v>0</v>
      </c>
      <c r="B96" t="s">
        <v>105</v>
      </c>
      <c r="C96" t="s">
        <v>121</v>
      </c>
      <c r="D96" t="s">
        <v>2</v>
      </c>
      <c r="E96" t="s">
        <v>121</v>
      </c>
      <c r="F96" t="s">
        <v>13</v>
      </c>
      <c r="G96" t="s">
        <v>525</v>
      </c>
    </row>
    <row r="97" spans="1:7" x14ac:dyDescent="0.3">
      <c r="A97">
        <v>0</v>
      </c>
      <c r="B97" t="s">
        <v>312</v>
      </c>
      <c r="C97" t="s">
        <v>359</v>
      </c>
      <c r="D97" t="s">
        <v>2</v>
      </c>
      <c r="E97" t="s">
        <v>359</v>
      </c>
      <c r="F97" t="s">
        <v>13</v>
      </c>
      <c r="G97" t="s">
        <v>525</v>
      </c>
    </row>
    <row r="98" spans="1:7" x14ac:dyDescent="0.3">
      <c r="A98">
        <v>0</v>
      </c>
      <c r="B98" t="s">
        <v>319</v>
      </c>
      <c r="C98" t="s">
        <v>468</v>
      </c>
      <c r="D98" t="s">
        <v>2</v>
      </c>
      <c r="E98" t="s">
        <v>468</v>
      </c>
      <c r="F98" t="s">
        <v>13</v>
      </c>
      <c r="G98" t="s">
        <v>525</v>
      </c>
    </row>
    <row r="99" spans="1:7" x14ac:dyDescent="0.3">
      <c r="A99">
        <v>0</v>
      </c>
      <c r="B99" t="s">
        <v>319</v>
      </c>
      <c r="C99" t="s">
        <v>458</v>
      </c>
      <c r="D99" t="s">
        <v>2</v>
      </c>
      <c r="E99" t="s">
        <v>458</v>
      </c>
      <c r="F99" t="s">
        <v>13</v>
      </c>
      <c r="G99" t="s">
        <v>525</v>
      </c>
    </row>
    <row r="100" spans="1:7" x14ac:dyDescent="0.3">
      <c r="A100">
        <v>0</v>
      </c>
      <c r="B100" t="s">
        <v>312</v>
      </c>
      <c r="C100" t="s">
        <v>370</v>
      </c>
      <c r="D100" t="s">
        <v>2</v>
      </c>
      <c r="E100" t="s">
        <v>370</v>
      </c>
      <c r="F100" t="s">
        <v>13</v>
      </c>
      <c r="G100" t="s">
        <v>525</v>
      </c>
    </row>
    <row r="101" spans="1:7" x14ac:dyDescent="0.3">
      <c r="A101">
        <v>0</v>
      </c>
      <c r="B101" t="s">
        <v>57</v>
      </c>
      <c r="C101" t="s">
        <v>114</v>
      </c>
      <c r="D101" t="s">
        <v>2</v>
      </c>
      <c r="E101" t="s">
        <v>114</v>
      </c>
      <c r="F101" t="s">
        <v>13</v>
      </c>
      <c r="G101" t="s">
        <v>525</v>
      </c>
    </row>
    <row r="102" spans="1:7" x14ac:dyDescent="0.3">
      <c r="A102">
        <v>0</v>
      </c>
      <c r="B102" t="s">
        <v>319</v>
      </c>
      <c r="C102" t="s">
        <v>404</v>
      </c>
      <c r="D102" t="s">
        <v>2</v>
      </c>
      <c r="E102" t="s">
        <v>404</v>
      </c>
      <c r="F102" t="s">
        <v>13</v>
      </c>
      <c r="G102" t="s">
        <v>525</v>
      </c>
    </row>
    <row r="103" spans="1:7" x14ac:dyDescent="0.3">
      <c r="A103">
        <v>0</v>
      </c>
      <c r="B103" t="s">
        <v>312</v>
      </c>
      <c r="C103" t="s">
        <v>369</v>
      </c>
      <c r="D103" t="s">
        <v>2</v>
      </c>
      <c r="E103" t="s">
        <v>369</v>
      </c>
      <c r="F103" t="s">
        <v>13</v>
      </c>
      <c r="G103" t="s">
        <v>525</v>
      </c>
    </row>
    <row r="104" spans="1:7" x14ac:dyDescent="0.3">
      <c r="A104">
        <v>0</v>
      </c>
      <c r="B104" t="s">
        <v>57</v>
      </c>
      <c r="C104" t="s">
        <v>122</v>
      </c>
      <c r="D104" t="s">
        <v>2</v>
      </c>
      <c r="E104" t="s">
        <v>122</v>
      </c>
      <c r="F104" t="s">
        <v>13</v>
      </c>
      <c r="G104" t="s">
        <v>525</v>
      </c>
    </row>
    <row r="105" spans="1:7" x14ac:dyDescent="0.3">
      <c r="A105">
        <v>0</v>
      </c>
      <c r="B105" t="s">
        <v>319</v>
      </c>
      <c r="C105" t="s">
        <v>390</v>
      </c>
      <c r="D105" t="s">
        <v>2</v>
      </c>
      <c r="E105" t="s">
        <v>390</v>
      </c>
      <c r="F105" t="s">
        <v>13</v>
      </c>
      <c r="G105" t="s">
        <v>525</v>
      </c>
    </row>
    <row r="106" spans="1:7" x14ac:dyDescent="0.3">
      <c r="A106">
        <v>0</v>
      </c>
      <c r="B106" t="s">
        <v>312</v>
      </c>
      <c r="C106" t="s">
        <v>492</v>
      </c>
      <c r="D106" t="s">
        <v>2</v>
      </c>
      <c r="E106" t="s">
        <v>492</v>
      </c>
      <c r="F106" t="s">
        <v>13</v>
      </c>
      <c r="G106" t="s">
        <v>525</v>
      </c>
    </row>
    <row r="107" spans="1:7" x14ac:dyDescent="0.3">
      <c r="A107">
        <v>0</v>
      </c>
      <c r="B107" t="s">
        <v>312</v>
      </c>
      <c r="C107" t="s">
        <v>345</v>
      </c>
      <c r="D107" t="s">
        <v>2</v>
      </c>
      <c r="E107" t="s">
        <v>345</v>
      </c>
      <c r="F107" t="s">
        <v>13</v>
      </c>
      <c r="G107" t="s">
        <v>525</v>
      </c>
    </row>
    <row r="108" spans="1:7" x14ac:dyDescent="0.3">
      <c r="A108">
        <v>0</v>
      </c>
      <c r="B108" t="s">
        <v>314</v>
      </c>
      <c r="C108" t="s">
        <v>374</v>
      </c>
      <c r="D108" t="s">
        <v>2</v>
      </c>
      <c r="E108" t="s">
        <v>374</v>
      </c>
      <c r="F108" t="s">
        <v>13</v>
      </c>
      <c r="G108" t="s">
        <v>525</v>
      </c>
    </row>
    <row r="109" spans="1:7" x14ac:dyDescent="0.3">
      <c r="A109">
        <v>0</v>
      </c>
      <c r="B109" t="s">
        <v>105</v>
      </c>
      <c r="C109" t="s">
        <v>124</v>
      </c>
      <c r="D109" t="s">
        <v>2</v>
      </c>
      <c r="E109" t="s">
        <v>124</v>
      </c>
      <c r="F109" t="s">
        <v>13</v>
      </c>
      <c r="G109" t="s">
        <v>525</v>
      </c>
    </row>
    <row r="110" spans="1:7" x14ac:dyDescent="0.3">
      <c r="A110">
        <v>0</v>
      </c>
      <c r="B110" t="s">
        <v>312</v>
      </c>
      <c r="C110" t="s">
        <v>440</v>
      </c>
      <c r="D110" t="s">
        <v>2</v>
      </c>
      <c r="E110" t="s">
        <v>440</v>
      </c>
      <c r="F110" t="s">
        <v>13</v>
      </c>
      <c r="G110" t="s">
        <v>525</v>
      </c>
    </row>
    <row r="111" spans="1:7" x14ac:dyDescent="0.3">
      <c r="A111">
        <v>0</v>
      </c>
      <c r="B111" t="s">
        <v>312</v>
      </c>
      <c r="C111" t="s">
        <v>316</v>
      </c>
      <c r="D111" t="s">
        <v>2</v>
      </c>
      <c r="E111" t="s">
        <v>316</v>
      </c>
      <c r="F111" t="s">
        <v>13</v>
      </c>
      <c r="G111" t="s">
        <v>525</v>
      </c>
    </row>
    <row r="112" spans="1:7" x14ac:dyDescent="0.3">
      <c r="A112">
        <v>0</v>
      </c>
      <c r="B112" t="s">
        <v>312</v>
      </c>
      <c r="C112" t="s">
        <v>427</v>
      </c>
      <c r="D112" t="s">
        <v>2</v>
      </c>
      <c r="E112" t="s">
        <v>427</v>
      </c>
      <c r="F112" t="s">
        <v>13</v>
      </c>
      <c r="G112" t="s">
        <v>525</v>
      </c>
    </row>
    <row r="113" spans="1:7" x14ac:dyDescent="0.3">
      <c r="A113">
        <v>0</v>
      </c>
      <c r="B113" t="s">
        <v>312</v>
      </c>
      <c r="C113" t="s">
        <v>332</v>
      </c>
      <c r="D113" t="s">
        <v>2</v>
      </c>
      <c r="E113" t="s">
        <v>332</v>
      </c>
      <c r="F113" t="s">
        <v>13</v>
      </c>
      <c r="G113" t="s">
        <v>525</v>
      </c>
    </row>
    <row r="114" spans="1:7" x14ac:dyDescent="0.3">
      <c r="A114">
        <v>0</v>
      </c>
      <c r="B114" t="s">
        <v>312</v>
      </c>
      <c r="C114" t="s">
        <v>336</v>
      </c>
      <c r="D114" t="s">
        <v>2</v>
      </c>
      <c r="E114" t="s">
        <v>336</v>
      </c>
      <c r="F114" t="s">
        <v>13</v>
      </c>
      <c r="G114" t="s">
        <v>525</v>
      </c>
    </row>
    <row r="115" spans="1:7" x14ac:dyDescent="0.3">
      <c r="A115">
        <v>0</v>
      </c>
      <c r="B115" t="s">
        <v>314</v>
      </c>
      <c r="C115" t="s">
        <v>393</v>
      </c>
      <c r="D115" t="s">
        <v>2</v>
      </c>
      <c r="E115" t="s">
        <v>393</v>
      </c>
      <c r="F115" t="s">
        <v>13</v>
      </c>
      <c r="G115" t="s">
        <v>525</v>
      </c>
    </row>
    <row r="116" spans="1:7" x14ac:dyDescent="0.3">
      <c r="A116">
        <v>0</v>
      </c>
      <c r="B116" t="s">
        <v>312</v>
      </c>
      <c r="C116" t="s">
        <v>339</v>
      </c>
      <c r="D116" t="s">
        <v>2</v>
      </c>
      <c r="E116" t="s">
        <v>339</v>
      </c>
      <c r="F116" t="s">
        <v>13</v>
      </c>
      <c r="G116" t="s">
        <v>525</v>
      </c>
    </row>
    <row r="117" spans="1:7" x14ac:dyDescent="0.3">
      <c r="A117">
        <v>0</v>
      </c>
      <c r="B117" t="s">
        <v>312</v>
      </c>
      <c r="C117" t="s">
        <v>400</v>
      </c>
      <c r="D117" t="s">
        <v>2</v>
      </c>
      <c r="E117" t="s">
        <v>400</v>
      </c>
      <c r="F117" t="s">
        <v>13</v>
      </c>
      <c r="G117" t="s">
        <v>525</v>
      </c>
    </row>
    <row r="118" spans="1:7" x14ac:dyDescent="0.3">
      <c r="A118">
        <v>0</v>
      </c>
      <c r="B118" t="s">
        <v>312</v>
      </c>
      <c r="C118" t="s">
        <v>380</v>
      </c>
      <c r="D118" t="s">
        <v>2</v>
      </c>
      <c r="E118" t="s">
        <v>380</v>
      </c>
      <c r="F118" t="s">
        <v>13</v>
      </c>
      <c r="G118" t="s">
        <v>525</v>
      </c>
    </row>
    <row r="119" spans="1:7" x14ac:dyDescent="0.3">
      <c r="A119">
        <v>0</v>
      </c>
      <c r="B119" t="s">
        <v>312</v>
      </c>
      <c r="C119" t="s">
        <v>442</v>
      </c>
      <c r="D119" t="s">
        <v>2</v>
      </c>
      <c r="E119" t="s">
        <v>442</v>
      </c>
      <c r="F119" t="s">
        <v>13</v>
      </c>
      <c r="G119" t="s">
        <v>525</v>
      </c>
    </row>
    <row r="120" spans="1:7" x14ac:dyDescent="0.3">
      <c r="A120">
        <v>0</v>
      </c>
      <c r="B120" t="s">
        <v>314</v>
      </c>
      <c r="C120" t="s">
        <v>349</v>
      </c>
      <c r="D120" t="s">
        <v>2</v>
      </c>
      <c r="E120" t="s">
        <v>349</v>
      </c>
      <c r="F120" t="s">
        <v>13</v>
      </c>
      <c r="G120" t="s">
        <v>525</v>
      </c>
    </row>
    <row r="121" spans="1:7" x14ac:dyDescent="0.3">
      <c r="A121">
        <v>0</v>
      </c>
      <c r="B121" t="s">
        <v>57</v>
      </c>
      <c r="C121" t="s">
        <v>470</v>
      </c>
      <c r="D121" t="s">
        <v>2</v>
      </c>
      <c r="E121" t="s">
        <v>470</v>
      </c>
      <c r="F121" t="s">
        <v>13</v>
      </c>
      <c r="G121" t="s">
        <v>525</v>
      </c>
    </row>
    <row r="122" spans="1:7" x14ac:dyDescent="0.3">
      <c r="A122">
        <v>0</v>
      </c>
      <c r="B122" t="s">
        <v>319</v>
      </c>
      <c r="C122" t="s">
        <v>463</v>
      </c>
      <c r="D122" t="s">
        <v>2</v>
      </c>
      <c r="E122" t="s">
        <v>463</v>
      </c>
      <c r="F122" t="s">
        <v>13</v>
      </c>
      <c r="G122" t="s">
        <v>525</v>
      </c>
    </row>
    <row r="123" spans="1:7" x14ac:dyDescent="0.3">
      <c r="A123">
        <v>0</v>
      </c>
      <c r="B123" t="s">
        <v>314</v>
      </c>
      <c r="C123" t="s">
        <v>343</v>
      </c>
      <c r="D123" t="s">
        <v>2</v>
      </c>
      <c r="E123" t="s">
        <v>343</v>
      </c>
      <c r="F123" t="s">
        <v>13</v>
      </c>
      <c r="G123" t="s">
        <v>525</v>
      </c>
    </row>
    <row r="124" spans="1:7" x14ac:dyDescent="0.3">
      <c r="A124">
        <v>0</v>
      </c>
      <c r="B124" t="s">
        <v>312</v>
      </c>
      <c r="C124" t="s">
        <v>371</v>
      </c>
      <c r="D124" t="s">
        <v>2</v>
      </c>
      <c r="E124" t="s">
        <v>371</v>
      </c>
      <c r="F124" t="s">
        <v>13</v>
      </c>
      <c r="G124" t="s">
        <v>525</v>
      </c>
    </row>
    <row r="125" spans="1:7" x14ac:dyDescent="0.3">
      <c r="A125">
        <v>0</v>
      </c>
      <c r="B125" t="s">
        <v>312</v>
      </c>
      <c r="C125" t="s">
        <v>366</v>
      </c>
      <c r="D125" t="s">
        <v>2</v>
      </c>
      <c r="E125" t="s">
        <v>366</v>
      </c>
      <c r="F125" t="s">
        <v>13</v>
      </c>
      <c r="G125" t="s">
        <v>525</v>
      </c>
    </row>
    <row r="126" spans="1:7" x14ac:dyDescent="0.3">
      <c r="A126">
        <v>0</v>
      </c>
      <c r="B126" t="s">
        <v>312</v>
      </c>
      <c r="C126" t="s">
        <v>384</v>
      </c>
      <c r="D126" t="s">
        <v>2</v>
      </c>
      <c r="E126" t="s">
        <v>384</v>
      </c>
      <c r="F126" t="s">
        <v>13</v>
      </c>
      <c r="G126" t="s">
        <v>525</v>
      </c>
    </row>
    <row r="127" spans="1:7" x14ac:dyDescent="0.3">
      <c r="A127">
        <v>0</v>
      </c>
      <c r="B127" t="s">
        <v>319</v>
      </c>
      <c r="C127" t="s">
        <v>464</v>
      </c>
      <c r="D127" t="s">
        <v>2</v>
      </c>
      <c r="E127" t="s">
        <v>464</v>
      </c>
      <c r="F127" t="s">
        <v>13</v>
      </c>
      <c r="G127" t="s">
        <v>525</v>
      </c>
    </row>
    <row r="128" spans="1:7" x14ac:dyDescent="0.3">
      <c r="A128">
        <v>0</v>
      </c>
      <c r="B128" t="s">
        <v>312</v>
      </c>
      <c r="C128" t="s">
        <v>323</v>
      </c>
      <c r="D128" t="s">
        <v>2</v>
      </c>
      <c r="E128" t="s">
        <v>323</v>
      </c>
      <c r="F128" t="s">
        <v>13</v>
      </c>
      <c r="G128" t="s">
        <v>525</v>
      </c>
    </row>
    <row r="129" spans="1:7" x14ac:dyDescent="0.3">
      <c r="A129">
        <v>0</v>
      </c>
      <c r="B129" t="s">
        <v>314</v>
      </c>
      <c r="C129" t="s">
        <v>414</v>
      </c>
      <c r="D129" t="s">
        <v>2</v>
      </c>
      <c r="E129" t="s">
        <v>414</v>
      </c>
      <c r="F129" t="s">
        <v>13</v>
      </c>
      <c r="G129" t="s">
        <v>525</v>
      </c>
    </row>
    <row r="130" spans="1:7" x14ac:dyDescent="0.3">
      <c r="A130">
        <v>0</v>
      </c>
      <c r="B130" t="s">
        <v>312</v>
      </c>
      <c r="C130" t="s">
        <v>261</v>
      </c>
      <c r="D130" t="s">
        <v>2</v>
      </c>
      <c r="E130" t="s">
        <v>261</v>
      </c>
      <c r="F130" t="s">
        <v>13</v>
      </c>
      <c r="G130" t="s">
        <v>525</v>
      </c>
    </row>
    <row r="131" spans="1:7" x14ac:dyDescent="0.3">
      <c r="A131">
        <v>0</v>
      </c>
      <c r="B131" t="s">
        <v>319</v>
      </c>
      <c r="C131" t="s">
        <v>364</v>
      </c>
      <c r="D131" t="s">
        <v>2</v>
      </c>
      <c r="E131" t="s">
        <v>364</v>
      </c>
      <c r="F131" t="s">
        <v>13</v>
      </c>
      <c r="G131" t="s">
        <v>525</v>
      </c>
    </row>
    <row r="132" spans="1:7" x14ac:dyDescent="0.3">
      <c r="A132">
        <v>0</v>
      </c>
      <c r="B132" t="s">
        <v>312</v>
      </c>
      <c r="C132" t="s">
        <v>373</v>
      </c>
      <c r="D132" t="s">
        <v>2</v>
      </c>
      <c r="E132" t="s">
        <v>373</v>
      </c>
      <c r="F132" t="s">
        <v>13</v>
      </c>
      <c r="G132" t="s">
        <v>525</v>
      </c>
    </row>
    <row r="133" spans="1:7" x14ac:dyDescent="0.3">
      <c r="A133">
        <v>0</v>
      </c>
      <c r="B133" t="s">
        <v>312</v>
      </c>
      <c r="C133" t="s">
        <v>482</v>
      </c>
      <c r="D133" t="s">
        <v>2</v>
      </c>
      <c r="E133" t="s">
        <v>482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412</v>
      </c>
      <c r="D134" t="s">
        <v>2</v>
      </c>
      <c r="E134" t="s">
        <v>412</v>
      </c>
      <c r="F134" t="s">
        <v>13</v>
      </c>
      <c r="G134" t="s">
        <v>525</v>
      </c>
    </row>
    <row r="135" spans="1:7" x14ac:dyDescent="0.3">
      <c r="A135">
        <v>0</v>
      </c>
      <c r="B135" t="s">
        <v>312</v>
      </c>
      <c r="C135" t="s">
        <v>434</v>
      </c>
      <c r="D135" t="s">
        <v>2</v>
      </c>
      <c r="E135" t="s">
        <v>434</v>
      </c>
      <c r="F135" t="s">
        <v>13</v>
      </c>
      <c r="G135" t="s">
        <v>525</v>
      </c>
    </row>
    <row r="136" spans="1:7" x14ac:dyDescent="0.3">
      <c r="A136">
        <v>0</v>
      </c>
      <c r="B136" t="s">
        <v>314</v>
      </c>
      <c r="C136" t="s">
        <v>443</v>
      </c>
      <c r="D136" t="s">
        <v>2</v>
      </c>
      <c r="E136" t="s">
        <v>443</v>
      </c>
      <c r="F136" t="s">
        <v>13</v>
      </c>
      <c r="G136" t="s">
        <v>525</v>
      </c>
    </row>
    <row r="137" spans="1:7" x14ac:dyDescent="0.3">
      <c r="A137">
        <v>0</v>
      </c>
      <c r="B137" t="s">
        <v>319</v>
      </c>
      <c r="C137" t="s">
        <v>430</v>
      </c>
      <c r="D137" t="s">
        <v>2</v>
      </c>
      <c r="E137" t="s">
        <v>430</v>
      </c>
      <c r="F137" t="s">
        <v>13</v>
      </c>
      <c r="G137" t="s">
        <v>525</v>
      </c>
    </row>
    <row r="138" spans="1:7" x14ac:dyDescent="0.3">
      <c r="A138">
        <v>0</v>
      </c>
      <c r="B138" t="s">
        <v>314</v>
      </c>
      <c r="C138" t="s">
        <v>408</v>
      </c>
      <c r="D138" t="s">
        <v>2</v>
      </c>
      <c r="E138" t="s">
        <v>408</v>
      </c>
      <c r="F138" t="s">
        <v>13</v>
      </c>
      <c r="G138" t="s">
        <v>525</v>
      </c>
    </row>
    <row r="139" spans="1:7" x14ac:dyDescent="0.3">
      <c r="A139">
        <v>0</v>
      </c>
      <c r="B139" t="s">
        <v>312</v>
      </c>
      <c r="C139" t="s">
        <v>138</v>
      </c>
      <c r="D139" t="s">
        <v>2</v>
      </c>
      <c r="E139" t="s">
        <v>138</v>
      </c>
      <c r="F139" t="s">
        <v>13</v>
      </c>
      <c r="G139" t="s">
        <v>525</v>
      </c>
    </row>
    <row r="140" spans="1:7" x14ac:dyDescent="0.3">
      <c r="A140">
        <v>0</v>
      </c>
      <c r="B140" t="s">
        <v>312</v>
      </c>
      <c r="C140" t="s">
        <v>275</v>
      </c>
      <c r="D140" t="s">
        <v>2</v>
      </c>
      <c r="E140" t="s">
        <v>275</v>
      </c>
      <c r="F140" t="s">
        <v>13</v>
      </c>
      <c r="G140" t="s">
        <v>525</v>
      </c>
    </row>
    <row r="141" spans="1:7" x14ac:dyDescent="0.3">
      <c r="A141">
        <v>0</v>
      </c>
      <c r="B141" t="s">
        <v>312</v>
      </c>
      <c r="C141" t="s">
        <v>337</v>
      </c>
      <c r="D141" t="s">
        <v>2</v>
      </c>
      <c r="E141" t="s">
        <v>337</v>
      </c>
      <c r="F141" t="s">
        <v>13</v>
      </c>
      <c r="G141" t="s">
        <v>525</v>
      </c>
    </row>
    <row r="142" spans="1:7" x14ac:dyDescent="0.3">
      <c r="A142">
        <v>0</v>
      </c>
      <c r="B142" t="s">
        <v>312</v>
      </c>
      <c r="C142" t="s">
        <v>331</v>
      </c>
      <c r="D142" t="s">
        <v>2</v>
      </c>
      <c r="E142" t="s">
        <v>331</v>
      </c>
      <c r="F142" t="s">
        <v>13</v>
      </c>
      <c r="G142" t="s">
        <v>525</v>
      </c>
    </row>
    <row r="143" spans="1:7" x14ac:dyDescent="0.3">
      <c r="A143">
        <v>0</v>
      </c>
      <c r="B143" t="s">
        <v>312</v>
      </c>
      <c r="C143" t="s">
        <v>452</v>
      </c>
      <c r="D143" t="s">
        <v>2</v>
      </c>
      <c r="E143" t="s">
        <v>452</v>
      </c>
      <c r="F143" t="s">
        <v>13</v>
      </c>
      <c r="G143" t="s">
        <v>525</v>
      </c>
    </row>
    <row r="144" spans="1:7" x14ac:dyDescent="0.3">
      <c r="A144">
        <v>0</v>
      </c>
      <c r="B144" t="s">
        <v>319</v>
      </c>
      <c r="C144" t="s">
        <v>477</v>
      </c>
      <c r="D144" t="s">
        <v>2</v>
      </c>
      <c r="E144" t="s">
        <v>477</v>
      </c>
      <c r="F144" t="s">
        <v>13</v>
      </c>
      <c r="G144" t="s">
        <v>525</v>
      </c>
    </row>
    <row r="145" spans="1:7" x14ac:dyDescent="0.3">
      <c r="A145">
        <v>0</v>
      </c>
      <c r="B145" t="s">
        <v>312</v>
      </c>
      <c r="C145" t="s">
        <v>446</v>
      </c>
      <c r="D145" t="s">
        <v>2</v>
      </c>
      <c r="E145" t="s">
        <v>446</v>
      </c>
      <c r="F145" t="s">
        <v>13</v>
      </c>
      <c r="G145" t="s">
        <v>525</v>
      </c>
    </row>
    <row r="146" spans="1:7" x14ac:dyDescent="0.3">
      <c r="A146">
        <v>0</v>
      </c>
      <c r="B146" t="s">
        <v>319</v>
      </c>
      <c r="C146" t="s">
        <v>491</v>
      </c>
      <c r="D146" t="s">
        <v>2</v>
      </c>
      <c r="E146" t="s">
        <v>491</v>
      </c>
      <c r="F146" t="s">
        <v>13</v>
      </c>
      <c r="G146" t="s">
        <v>525</v>
      </c>
    </row>
    <row r="147" spans="1:7" x14ac:dyDescent="0.3">
      <c r="A147">
        <v>0</v>
      </c>
      <c r="B147" t="s">
        <v>312</v>
      </c>
      <c r="C147" t="s">
        <v>326</v>
      </c>
      <c r="D147" t="s">
        <v>2</v>
      </c>
      <c r="E147" t="s">
        <v>326</v>
      </c>
      <c r="F147" t="s">
        <v>13</v>
      </c>
      <c r="G147" t="s">
        <v>525</v>
      </c>
    </row>
    <row r="148" spans="1:7" x14ac:dyDescent="0.3">
      <c r="A148">
        <v>0</v>
      </c>
      <c r="B148" t="s">
        <v>319</v>
      </c>
      <c r="C148" t="s">
        <v>415</v>
      </c>
      <c r="D148" t="s">
        <v>2</v>
      </c>
      <c r="E148" t="s">
        <v>415</v>
      </c>
      <c r="F148" t="s">
        <v>13</v>
      </c>
      <c r="G148" t="s">
        <v>525</v>
      </c>
    </row>
    <row r="149" spans="1:7" x14ac:dyDescent="0.3">
      <c r="A149">
        <v>0</v>
      </c>
      <c r="B149" t="s">
        <v>314</v>
      </c>
      <c r="C149" t="s">
        <v>451</v>
      </c>
      <c r="D149" t="s">
        <v>2</v>
      </c>
      <c r="E149" t="s">
        <v>451</v>
      </c>
      <c r="F149" t="s">
        <v>13</v>
      </c>
      <c r="G149" t="s">
        <v>525</v>
      </c>
    </row>
    <row r="150" spans="1:7" x14ac:dyDescent="0.3">
      <c r="A150">
        <v>0</v>
      </c>
      <c r="B150" t="s">
        <v>314</v>
      </c>
      <c r="C150" t="s">
        <v>448</v>
      </c>
      <c r="D150" t="s">
        <v>2</v>
      </c>
      <c r="E150" t="s">
        <v>448</v>
      </c>
      <c r="F150" t="s">
        <v>13</v>
      </c>
      <c r="G150" t="s">
        <v>525</v>
      </c>
    </row>
    <row r="151" spans="1:7" x14ac:dyDescent="0.3">
      <c r="A151">
        <v>0</v>
      </c>
      <c r="B151" t="s">
        <v>312</v>
      </c>
      <c r="C151" t="s">
        <v>423</v>
      </c>
      <c r="D151" t="s">
        <v>2</v>
      </c>
      <c r="E151" t="s">
        <v>423</v>
      </c>
      <c r="F151" t="s">
        <v>13</v>
      </c>
      <c r="G151" t="s">
        <v>525</v>
      </c>
    </row>
    <row r="152" spans="1:7" x14ac:dyDescent="0.3">
      <c r="A152">
        <v>0</v>
      </c>
      <c r="B152" t="s">
        <v>319</v>
      </c>
      <c r="C152" t="s">
        <v>361</v>
      </c>
      <c r="D152" t="s">
        <v>2</v>
      </c>
      <c r="E152" t="s">
        <v>361</v>
      </c>
      <c r="F152" t="s">
        <v>13</v>
      </c>
      <c r="G152" t="s">
        <v>525</v>
      </c>
    </row>
    <row r="153" spans="1:7" x14ac:dyDescent="0.3">
      <c r="A153">
        <v>0</v>
      </c>
      <c r="B153" t="s">
        <v>314</v>
      </c>
      <c r="C153" t="s">
        <v>467</v>
      </c>
      <c r="D153" t="s">
        <v>2</v>
      </c>
      <c r="E153" t="s">
        <v>467</v>
      </c>
      <c r="F153" t="s">
        <v>13</v>
      </c>
      <c r="G153" t="s">
        <v>525</v>
      </c>
    </row>
    <row r="154" spans="1:7" x14ac:dyDescent="0.3">
      <c r="A154">
        <v>0</v>
      </c>
      <c r="B154" t="s">
        <v>319</v>
      </c>
      <c r="C154" t="s">
        <v>420</v>
      </c>
      <c r="D154" t="s">
        <v>2</v>
      </c>
      <c r="E154" t="s">
        <v>420</v>
      </c>
      <c r="F154" t="s">
        <v>13</v>
      </c>
      <c r="G154" t="s">
        <v>525</v>
      </c>
    </row>
    <row r="155" spans="1:7" x14ac:dyDescent="0.3">
      <c r="A155">
        <v>0</v>
      </c>
      <c r="B155" t="s">
        <v>314</v>
      </c>
      <c r="C155" t="s">
        <v>487</v>
      </c>
      <c r="D155" t="s">
        <v>2</v>
      </c>
      <c r="E155" t="s">
        <v>487</v>
      </c>
      <c r="F155" t="s">
        <v>13</v>
      </c>
      <c r="G155" t="s">
        <v>525</v>
      </c>
    </row>
    <row r="156" spans="1:7" x14ac:dyDescent="0.3">
      <c r="A156">
        <v>0</v>
      </c>
      <c r="B156" t="s">
        <v>312</v>
      </c>
      <c r="C156" t="s">
        <v>149</v>
      </c>
      <c r="D156" t="s">
        <v>2</v>
      </c>
      <c r="E156" t="s">
        <v>149</v>
      </c>
      <c r="F156" t="s">
        <v>13</v>
      </c>
      <c r="G156" t="s">
        <v>525</v>
      </c>
    </row>
    <row r="157" spans="1:7" x14ac:dyDescent="0.3">
      <c r="A157">
        <v>0</v>
      </c>
      <c r="B157" t="s">
        <v>314</v>
      </c>
      <c r="C157" t="s">
        <v>377</v>
      </c>
      <c r="D157" t="s">
        <v>2</v>
      </c>
      <c r="E157" t="s">
        <v>377</v>
      </c>
      <c r="F157" t="s">
        <v>13</v>
      </c>
      <c r="G157" t="s">
        <v>525</v>
      </c>
    </row>
    <row r="158" spans="1:7" x14ac:dyDescent="0.3">
      <c r="A158">
        <v>0</v>
      </c>
      <c r="B158" t="s">
        <v>312</v>
      </c>
      <c r="C158" t="s">
        <v>403</v>
      </c>
      <c r="D158" t="s">
        <v>2</v>
      </c>
      <c r="E158" t="s">
        <v>403</v>
      </c>
      <c r="F158" t="s">
        <v>13</v>
      </c>
      <c r="G158" t="s">
        <v>525</v>
      </c>
    </row>
    <row r="159" spans="1:7" x14ac:dyDescent="0.3">
      <c r="A159">
        <v>0</v>
      </c>
      <c r="B159" t="s">
        <v>312</v>
      </c>
      <c r="C159" t="s">
        <v>387</v>
      </c>
      <c r="D159" t="s">
        <v>2</v>
      </c>
      <c r="E159" t="s">
        <v>387</v>
      </c>
      <c r="F159" t="s">
        <v>13</v>
      </c>
      <c r="G159" t="s">
        <v>525</v>
      </c>
    </row>
    <row r="160" spans="1:7" x14ac:dyDescent="0.3">
      <c r="A160">
        <v>0</v>
      </c>
      <c r="B160" t="s">
        <v>312</v>
      </c>
      <c r="C160" t="s">
        <v>431</v>
      </c>
      <c r="D160" t="s">
        <v>2</v>
      </c>
      <c r="E160" t="s">
        <v>431</v>
      </c>
      <c r="F160" t="s">
        <v>13</v>
      </c>
      <c r="G160" t="s">
        <v>525</v>
      </c>
    </row>
    <row r="161" spans="1:7" x14ac:dyDescent="0.3">
      <c r="A161">
        <v>0</v>
      </c>
      <c r="B161" t="s">
        <v>319</v>
      </c>
      <c r="C161" t="s">
        <v>459</v>
      </c>
      <c r="D161" t="s">
        <v>2</v>
      </c>
      <c r="E161" t="s">
        <v>459</v>
      </c>
      <c r="F161" t="s">
        <v>13</v>
      </c>
      <c r="G161" t="s">
        <v>525</v>
      </c>
    </row>
    <row r="162" spans="1:7" x14ac:dyDescent="0.3">
      <c r="A162">
        <v>0</v>
      </c>
      <c r="B162" t="s">
        <v>314</v>
      </c>
      <c r="C162" t="s">
        <v>376</v>
      </c>
      <c r="D162" t="s">
        <v>2</v>
      </c>
      <c r="E162" t="s">
        <v>376</v>
      </c>
      <c r="F162" t="s">
        <v>13</v>
      </c>
      <c r="G162" t="s">
        <v>525</v>
      </c>
    </row>
    <row r="163" spans="1:7" x14ac:dyDescent="0.3">
      <c r="A163">
        <v>0</v>
      </c>
      <c r="B163" t="s">
        <v>312</v>
      </c>
      <c r="C163" t="s">
        <v>379</v>
      </c>
      <c r="D163" t="s">
        <v>2</v>
      </c>
      <c r="E163" t="s">
        <v>379</v>
      </c>
      <c r="F163" t="s">
        <v>13</v>
      </c>
      <c r="G163" t="s">
        <v>525</v>
      </c>
    </row>
    <row r="164" spans="1:7" x14ac:dyDescent="0.3">
      <c r="A164">
        <v>0</v>
      </c>
      <c r="B164" t="s">
        <v>314</v>
      </c>
      <c r="C164" t="s">
        <v>445</v>
      </c>
      <c r="D164" t="s">
        <v>2</v>
      </c>
      <c r="E164" t="s">
        <v>445</v>
      </c>
      <c r="F164" t="s">
        <v>13</v>
      </c>
      <c r="G164" t="s">
        <v>525</v>
      </c>
    </row>
    <row r="165" spans="1:7" x14ac:dyDescent="0.3">
      <c r="A165">
        <v>0</v>
      </c>
      <c r="B165" t="s">
        <v>319</v>
      </c>
      <c r="C165" t="s">
        <v>460</v>
      </c>
      <c r="D165" t="s">
        <v>2</v>
      </c>
      <c r="E165" t="s">
        <v>460</v>
      </c>
      <c r="F165" t="s">
        <v>13</v>
      </c>
      <c r="G165" t="s">
        <v>525</v>
      </c>
    </row>
    <row r="166" spans="1:7" x14ac:dyDescent="0.3">
      <c r="A166">
        <v>0</v>
      </c>
      <c r="B166" t="s">
        <v>314</v>
      </c>
      <c r="C166" t="s">
        <v>450</v>
      </c>
      <c r="D166" t="s">
        <v>2</v>
      </c>
      <c r="E166" t="s">
        <v>450</v>
      </c>
      <c r="F166" t="s">
        <v>13</v>
      </c>
      <c r="G166" t="s">
        <v>525</v>
      </c>
    </row>
    <row r="167" spans="1:7" x14ac:dyDescent="0.3">
      <c r="A167">
        <v>0</v>
      </c>
      <c r="B167" t="s">
        <v>312</v>
      </c>
      <c r="C167" t="s">
        <v>473</v>
      </c>
      <c r="D167" t="s">
        <v>2</v>
      </c>
      <c r="E167" t="s">
        <v>473</v>
      </c>
      <c r="F167" t="s">
        <v>13</v>
      </c>
      <c r="G167" t="s">
        <v>525</v>
      </c>
    </row>
    <row r="168" spans="1:7" x14ac:dyDescent="0.3">
      <c r="A168">
        <v>0</v>
      </c>
      <c r="B168" t="s">
        <v>314</v>
      </c>
      <c r="C168" t="s">
        <v>313</v>
      </c>
      <c r="D168" t="s">
        <v>2</v>
      </c>
      <c r="E168" t="s">
        <v>313</v>
      </c>
      <c r="F168" t="s">
        <v>13</v>
      </c>
      <c r="G168" t="s">
        <v>525</v>
      </c>
    </row>
    <row r="169" spans="1:7" x14ac:dyDescent="0.3">
      <c r="A169">
        <v>0</v>
      </c>
      <c r="B169" t="s">
        <v>312</v>
      </c>
      <c r="C169" t="s">
        <v>472</v>
      </c>
      <c r="D169" t="s">
        <v>2</v>
      </c>
      <c r="E169" t="s">
        <v>472</v>
      </c>
      <c r="F169" t="s">
        <v>13</v>
      </c>
      <c r="G169" t="s">
        <v>525</v>
      </c>
    </row>
    <row r="170" spans="1:7" x14ac:dyDescent="0.3">
      <c r="A170">
        <v>0</v>
      </c>
      <c r="B170" t="s">
        <v>312</v>
      </c>
      <c r="C170" t="s">
        <v>402</v>
      </c>
      <c r="D170" t="s">
        <v>2</v>
      </c>
      <c r="E170" t="s">
        <v>402</v>
      </c>
      <c r="F170" t="s">
        <v>13</v>
      </c>
      <c r="G170" t="s">
        <v>525</v>
      </c>
    </row>
    <row r="171" spans="1:7" x14ac:dyDescent="0.3">
      <c r="A171">
        <v>0</v>
      </c>
      <c r="B171" t="s">
        <v>314</v>
      </c>
      <c r="C171" t="s">
        <v>455</v>
      </c>
      <c r="D171" t="s">
        <v>2</v>
      </c>
      <c r="E171" t="s">
        <v>455</v>
      </c>
      <c r="F171" t="s">
        <v>13</v>
      </c>
      <c r="G171" t="s">
        <v>525</v>
      </c>
    </row>
    <row r="172" spans="1:7" x14ac:dyDescent="0.3">
      <c r="A172">
        <v>0</v>
      </c>
      <c r="B172" t="s">
        <v>312</v>
      </c>
      <c r="C172" t="s">
        <v>411</v>
      </c>
      <c r="D172" t="s">
        <v>2</v>
      </c>
      <c r="E172" t="s">
        <v>411</v>
      </c>
      <c r="F172" t="s">
        <v>13</v>
      </c>
      <c r="G172" t="s">
        <v>525</v>
      </c>
    </row>
    <row r="173" spans="1:7" x14ac:dyDescent="0.3">
      <c r="A173">
        <v>0</v>
      </c>
      <c r="B173" t="s">
        <v>312</v>
      </c>
      <c r="C173" t="s">
        <v>488</v>
      </c>
      <c r="D173" t="s">
        <v>2</v>
      </c>
      <c r="E173" t="s">
        <v>488</v>
      </c>
      <c r="F173" t="s">
        <v>13</v>
      </c>
      <c r="G173" t="s">
        <v>525</v>
      </c>
    </row>
    <row r="174" spans="1:7" x14ac:dyDescent="0.3">
      <c r="A174">
        <v>0</v>
      </c>
      <c r="B174" t="s">
        <v>319</v>
      </c>
      <c r="C174" t="s">
        <v>462</v>
      </c>
      <c r="D174" t="s">
        <v>2</v>
      </c>
      <c r="E174" t="s">
        <v>462</v>
      </c>
      <c r="F174" t="s">
        <v>13</v>
      </c>
      <c r="G174" t="s">
        <v>525</v>
      </c>
    </row>
    <row r="175" spans="1:7" x14ac:dyDescent="0.3">
      <c r="A175">
        <v>0</v>
      </c>
      <c r="B175" t="s">
        <v>312</v>
      </c>
      <c r="C175" t="s">
        <v>246</v>
      </c>
      <c r="D175" t="s">
        <v>2</v>
      </c>
      <c r="E175" t="s">
        <v>246</v>
      </c>
      <c r="F175" t="s">
        <v>13</v>
      </c>
      <c r="G175" t="s">
        <v>525</v>
      </c>
    </row>
    <row r="176" spans="1:7" x14ac:dyDescent="0.3">
      <c r="A176">
        <v>0</v>
      </c>
      <c r="B176" t="s">
        <v>312</v>
      </c>
      <c r="C176" t="s">
        <v>357</v>
      </c>
      <c r="D176" t="s">
        <v>2</v>
      </c>
      <c r="E176" t="s">
        <v>357</v>
      </c>
      <c r="F176" t="s">
        <v>13</v>
      </c>
      <c r="G176" t="s">
        <v>525</v>
      </c>
    </row>
    <row r="177" spans="1:7" x14ac:dyDescent="0.3">
      <c r="A177">
        <v>0</v>
      </c>
      <c r="B177" t="s">
        <v>314</v>
      </c>
      <c r="C177" t="s">
        <v>341</v>
      </c>
      <c r="D177" t="s">
        <v>2</v>
      </c>
      <c r="E177" t="s">
        <v>341</v>
      </c>
      <c r="F177" t="s">
        <v>13</v>
      </c>
      <c r="G177" t="s">
        <v>525</v>
      </c>
    </row>
    <row r="178" spans="1:7" x14ac:dyDescent="0.3">
      <c r="A178">
        <v>0</v>
      </c>
      <c r="B178" t="s">
        <v>319</v>
      </c>
      <c r="C178" t="s">
        <v>466</v>
      </c>
      <c r="D178" t="s">
        <v>2</v>
      </c>
      <c r="E178" t="s">
        <v>466</v>
      </c>
      <c r="F178" t="s">
        <v>13</v>
      </c>
      <c r="G178" t="s">
        <v>525</v>
      </c>
    </row>
    <row r="179" spans="1:7" x14ac:dyDescent="0.3">
      <c r="A179">
        <v>0</v>
      </c>
      <c r="B179" t="s">
        <v>319</v>
      </c>
      <c r="C179" t="s">
        <v>362</v>
      </c>
      <c r="D179" t="s">
        <v>2</v>
      </c>
      <c r="E179" t="s">
        <v>362</v>
      </c>
      <c r="F179" t="s">
        <v>13</v>
      </c>
      <c r="G179" t="s">
        <v>525</v>
      </c>
    </row>
    <row r="180" spans="1:7" x14ac:dyDescent="0.3">
      <c r="A180">
        <v>0</v>
      </c>
      <c r="B180" t="s">
        <v>312</v>
      </c>
      <c r="C180" t="s">
        <v>433</v>
      </c>
      <c r="D180" t="s">
        <v>2</v>
      </c>
      <c r="E180" t="s">
        <v>433</v>
      </c>
      <c r="F180" t="s">
        <v>13</v>
      </c>
      <c r="G180" t="s">
        <v>525</v>
      </c>
    </row>
    <row r="181" spans="1:7" x14ac:dyDescent="0.3">
      <c r="A181">
        <v>0</v>
      </c>
      <c r="B181" t="s">
        <v>312</v>
      </c>
      <c r="C181" t="s">
        <v>397</v>
      </c>
      <c r="D181" t="s">
        <v>2</v>
      </c>
      <c r="E181" t="s">
        <v>397</v>
      </c>
      <c r="F181" t="s">
        <v>13</v>
      </c>
      <c r="G181" t="s">
        <v>525</v>
      </c>
    </row>
    <row r="182" spans="1:7" x14ac:dyDescent="0.3">
      <c r="A182">
        <v>0</v>
      </c>
      <c r="B182" t="s">
        <v>319</v>
      </c>
      <c r="C182" t="s">
        <v>378</v>
      </c>
      <c r="D182" t="s">
        <v>2</v>
      </c>
      <c r="E182" t="s">
        <v>378</v>
      </c>
      <c r="F182" t="s">
        <v>13</v>
      </c>
      <c r="G182" t="s">
        <v>525</v>
      </c>
    </row>
    <row r="183" spans="1:7" x14ac:dyDescent="0.3">
      <c r="A183">
        <v>0</v>
      </c>
      <c r="B183" t="s">
        <v>105</v>
      </c>
      <c r="C183" t="s">
        <v>117</v>
      </c>
      <c r="D183" t="s">
        <v>2</v>
      </c>
      <c r="E183" t="s">
        <v>117</v>
      </c>
      <c r="F183" t="s">
        <v>13</v>
      </c>
      <c r="G183" t="s">
        <v>525</v>
      </c>
    </row>
    <row r="184" spans="1:7" x14ac:dyDescent="0.3">
      <c r="A184">
        <v>0</v>
      </c>
      <c r="B184" t="s">
        <v>312</v>
      </c>
      <c r="C184" t="s">
        <v>476</v>
      </c>
      <c r="D184" t="s">
        <v>2</v>
      </c>
      <c r="E184" t="s">
        <v>476</v>
      </c>
      <c r="F184" t="s">
        <v>13</v>
      </c>
      <c r="G184" t="s">
        <v>525</v>
      </c>
    </row>
    <row r="185" spans="1:7" x14ac:dyDescent="0.3">
      <c r="A185">
        <v>0</v>
      </c>
      <c r="B185" t="s">
        <v>319</v>
      </c>
      <c r="C185" t="s">
        <v>478</v>
      </c>
      <c r="D185" t="s">
        <v>2</v>
      </c>
      <c r="E185" t="s">
        <v>478</v>
      </c>
      <c r="F185" t="s">
        <v>13</v>
      </c>
      <c r="G185" t="s">
        <v>525</v>
      </c>
    </row>
    <row r="186" spans="1:7" x14ac:dyDescent="0.3">
      <c r="A186">
        <v>0</v>
      </c>
      <c r="B186" t="s">
        <v>312</v>
      </c>
      <c r="C186" t="s">
        <v>367</v>
      </c>
      <c r="D186" t="s">
        <v>2</v>
      </c>
      <c r="E186" t="s">
        <v>367</v>
      </c>
      <c r="F186" t="s">
        <v>13</v>
      </c>
      <c r="G186" t="s">
        <v>525</v>
      </c>
    </row>
    <row r="187" spans="1:7" x14ac:dyDescent="0.3">
      <c r="A187">
        <v>0</v>
      </c>
      <c r="B187" t="s">
        <v>312</v>
      </c>
      <c r="C187" t="s">
        <v>346</v>
      </c>
      <c r="D187" t="s">
        <v>2</v>
      </c>
      <c r="E187" t="s">
        <v>346</v>
      </c>
      <c r="F187" t="s">
        <v>13</v>
      </c>
      <c r="G187" t="s">
        <v>525</v>
      </c>
    </row>
    <row r="188" spans="1:7" x14ac:dyDescent="0.3">
      <c r="A188">
        <v>0</v>
      </c>
      <c r="B188" t="s">
        <v>105</v>
      </c>
      <c r="C188" t="s">
        <v>119</v>
      </c>
      <c r="D188" t="s">
        <v>2</v>
      </c>
      <c r="E188" t="s">
        <v>119</v>
      </c>
      <c r="F188" t="s">
        <v>13</v>
      </c>
      <c r="G188" t="s">
        <v>525</v>
      </c>
    </row>
    <row r="189" spans="1:7" x14ac:dyDescent="0.3">
      <c r="A189">
        <v>0</v>
      </c>
      <c r="B189" t="s">
        <v>312</v>
      </c>
      <c r="C189" t="s">
        <v>385</v>
      </c>
      <c r="D189" t="s">
        <v>2</v>
      </c>
      <c r="E189" t="s">
        <v>385</v>
      </c>
      <c r="F189" t="s">
        <v>13</v>
      </c>
      <c r="G189" t="s">
        <v>525</v>
      </c>
    </row>
    <row r="190" spans="1:7" x14ac:dyDescent="0.3">
      <c r="A190">
        <v>0</v>
      </c>
      <c r="B190" t="s">
        <v>57</v>
      </c>
      <c r="C190" t="s">
        <v>120</v>
      </c>
      <c r="D190" t="s">
        <v>2</v>
      </c>
      <c r="E190" t="s">
        <v>120</v>
      </c>
      <c r="F190" t="s">
        <v>13</v>
      </c>
      <c r="G190" t="s">
        <v>525</v>
      </c>
    </row>
    <row r="191" spans="1:7" x14ac:dyDescent="0.3">
      <c r="A191">
        <v>0</v>
      </c>
      <c r="B191" t="s">
        <v>312</v>
      </c>
      <c r="C191" t="s">
        <v>324</v>
      </c>
      <c r="D191" t="s">
        <v>2</v>
      </c>
      <c r="E191" t="s">
        <v>324</v>
      </c>
      <c r="F191" t="s">
        <v>13</v>
      </c>
      <c r="G191" t="s">
        <v>525</v>
      </c>
    </row>
    <row r="192" spans="1:7" x14ac:dyDescent="0.3">
      <c r="A192">
        <v>0</v>
      </c>
      <c r="B192" t="s">
        <v>312</v>
      </c>
      <c r="C192" t="s">
        <v>327</v>
      </c>
      <c r="D192" t="s">
        <v>2</v>
      </c>
      <c r="E192" t="s">
        <v>327</v>
      </c>
      <c r="F192" t="s">
        <v>13</v>
      </c>
      <c r="G192" t="s">
        <v>525</v>
      </c>
    </row>
    <row r="193" spans="1:7" x14ac:dyDescent="0.3">
      <c r="A193">
        <v>0</v>
      </c>
      <c r="B193" t="s">
        <v>314</v>
      </c>
      <c r="C193" t="s">
        <v>441</v>
      </c>
      <c r="D193" t="s">
        <v>2</v>
      </c>
      <c r="E193" t="s">
        <v>441</v>
      </c>
      <c r="F193" t="s">
        <v>13</v>
      </c>
      <c r="G193" t="s">
        <v>525</v>
      </c>
    </row>
    <row r="194" spans="1:7" x14ac:dyDescent="0.3">
      <c r="A194">
        <v>0</v>
      </c>
      <c r="B194" t="s">
        <v>105</v>
      </c>
      <c r="C194" t="s">
        <v>115</v>
      </c>
      <c r="D194" t="s">
        <v>2</v>
      </c>
      <c r="E194" t="s">
        <v>115</v>
      </c>
      <c r="F194" t="s">
        <v>13</v>
      </c>
      <c r="G194" t="s">
        <v>525</v>
      </c>
    </row>
    <row r="195" spans="1:7" x14ac:dyDescent="0.3">
      <c r="A195">
        <v>0</v>
      </c>
      <c r="B195" t="s">
        <v>312</v>
      </c>
      <c r="C195" t="s">
        <v>484</v>
      </c>
      <c r="D195" t="s">
        <v>2</v>
      </c>
      <c r="E195" t="s">
        <v>484</v>
      </c>
      <c r="F195" t="s">
        <v>13</v>
      </c>
      <c r="G195" t="s">
        <v>525</v>
      </c>
    </row>
    <row r="196" spans="1:7" x14ac:dyDescent="0.3">
      <c r="A196">
        <v>0</v>
      </c>
      <c r="B196" t="s">
        <v>312</v>
      </c>
      <c r="C196" t="s">
        <v>311</v>
      </c>
      <c r="D196" t="s">
        <v>2</v>
      </c>
      <c r="E196" t="s">
        <v>311</v>
      </c>
      <c r="F196" t="s">
        <v>13</v>
      </c>
      <c r="G196" t="s">
        <v>525</v>
      </c>
    </row>
    <row r="197" spans="1:7" x14ac:dyDescent="0.3">
      <c r="A197">
        <v>0</v>
      </c>
      <c r="B197" t="s">
        <v>312</v>
      </c>
      <c r="C197" t="s">
        <v>365</v>
      </c>
      <c r="D197" t="s">
        <v>2</v>
      </c>
      <c r="E197" t="s">
        <v>365</v>
      </c>
      <c r="F197" t="s">
        <v>13</v>
      </c>
      <c r="G197" t="s">
        <v>525</v>
      </c>
    </row>
    <row r="198" spans="1:7" x14ac:dyDescent="0.3">
      <c r="A198">
        <v>0</v>
      </c>
      <c r="B198" t="s">
        <v>314</v>
      </c>
      <c r="C198" t="s">
        <v>350</v>
      </c>
      <c r="D198" t="s">
        <v>2</v>
      </c>
      <c r="E198" t="s">
        <v>350</v>
      </c>
      <c r="F198" t="s">
        <v>13</v>
      </c>
      <c r="G198" t="s">
        <v>525</v>
      </c>
    </row>
    <row r="199" spans="1:7" x14ac:dyDescent="0.3">
      <c r="A199">
        <v>0</v>
      </c>
      <c r="B199" t="s">
        <v>105</v>
      </c>
      <c r="C199" t="s">
        <v>123</v>
      </c>
      <c r="D199" t="s">
        <v>2</v>
      </c>
      <c r="E199" t="s">
        <v>123</v>
      </c>
      <c r="F199" t="s">
        <v>13</v>
      </c>
      <c r="G199" t="s">
        <v>525</v>
      </c>
    </row>
    <row r="200" spans="1:7" x14ac:dyDescent="0.3">
      <c r="A200">
        <v>0</v>
      </c>
      <c r="B200" t="s">
        <v>312</v>
      </c>
      <c r="C200" t="s">
        <v>396</v>
      </c>
      <c r="D200" t="s">
        <v>2</v>
      </c>
      <c r="E200" t="s">
        <v>396</v>
      </c>
      <c r="F200" t="s">
        <v>13</v>
      </c>
      <c r="G200" t="s">
        <v>525</v>
      </c>
    </row>
    <row r="201" spans="1:7" x14ac:dyDescent="0.3">
      <c r="A201">
        <v>0</v>
      </c>
      <c r="B201" t="s">
        <v>312</v>
      </c>
      <c r="C201" t="s">
        <v>428</v>
      </c>
      <c r="D201" t="s">
        <v>2</v>
      </c>
      <c r="E201" t="s">
        <v>428</v>
      </c>
      <c r="F201" t="s">
        <v>13</v>
      </c>
      <c r="G201" t="s">
        <v>525</v>
      </c>
    </row>
    <row r="202" spans="1:7" x14ac:dyDescent="0.3">
      <c r="A202">
        <v>0</v>
      </c>
      <c r="B202" t="s">
        <v>312</v>
      </c>
      <c r="C202" t="s">
        <v>383</v>
      </c>
      <c r="D202" t="s">
        <v>2</v>
      </c>
      <c r="E202" t="s">
        <v>383</v>
      </c>
      <c r="F202" t="s">
        <v>13</v>
      </c>
      <c r="G202" t="s">
        <v>525</v>
      </c>
    </row>
    <row r="203" spans="1:7" x14ac:dyDescent="0.3">
      <c r="A203">
        <v>0</v>
      </c>
      <c r="B203" t="s">
        <v>312</v>
      </c>
      <c r="C203" t="s">
        <v>426</v>
      </c>
      <c r="D203" t="s">
        <v>2</v>
      </c>
      <c r="E203" t="s">
        <v>426</v>
      </c>
      <c r="F203" t="s">
        <v>13</v>
      </c>
      <c r="G203" t="s">
        <v>525</v>
      </c>
    </row>
    <row r="204" spans="1:7" x14ac:dyDescent="0.3">
      <c r="A204">
        <v>0</v>
      </c>
      <c r="B204" t="s">
        <v>312</v>
      </c>
      <c r="C204" t="s">
        <v>437</v>
      </c>
      <c r="D204" t="s">
        <v>2</v>
      </c>
      <c r="E204" t="s">
        <v>437</v>
      </c>
      <c r="F204" t="s">
        <v>13</v>
      </c>
      <c r="G204" t="s">
        <v>525</v>
      </c>
    </row>
    <row r="205" spans="1:7" x14ac:dyDescent="0.3">
      <c r="A205">
        <v>0</v>
      </c>
      <c r="B205" t="s">
        <v>312</v>
      </c>
      <c r="C205" t="s">
        <v>454</v>
      </c>
      <c r="D205" t="s">
        <v>2</v>
      </c>
      <c r="E205" t="s">
        <v>454</v>
      </c>
      <c r="F205" t="s">
        <v>13</v>
      </c>
      <c r="G205" t="s">
        <v>525</v>
      </c>
    </row>
    <row r="206" spans="1:7" x14ac:dyDescent="0.3">
      <c r="A206">
        <v>0</v>
      </c>
      <c r="B206" t="s">
        <v>312</v>
      </c>
      <c r="C206" t="s">
        <v>425</v>
      </c>
      <c r="D206" t="s">
        <v>2</v>
      </c>
      <c r="E206" t="s">
        <v>425</v>
      </c>
      <c r="F206" t="s">
        <v>13</v>
      </c>
      <c r="G206" t="s">
        <v>525</v>
      </c>
    </row>
    <row r="207" spans="1:7" x14ac:dyDescent="0.3">
      <c r="A207">
        <v>0</v>
      </c>
      <c r="B207" t="s">
        <v>312</v>
      </c>
      <c r="C207" t="s">
        <v>344</v>
      </c>
      <c r="D207" t="s">
        <v>2</v>
      </c>
      <c r="E207" t="s">
        <v>344</v>
      </c>
      <c r="F207" t="s">
        <v>13</v>
      </c>
      <c r="G207" t="s">
        <v>525</v>
      </c>
    </row>
    <row r="208" spans="1:7" x14ac:dyDescent="0.3">
      <c r="A208">
        <v>0</v>
      </c>
      <c r="B208" t="s">
        <v>312</v>
      </c>
      <c r="C208" t="s">
        <v>407</v>
      </c>
      <c r="D208" t="s">
        <v>2</v>
      </c>
      <c r="E208" t="s">
        <v>407</v>
      </c>
      <c r="F208" t="s">
        <v>13</v>
      </c>
      <c r="G208" t="s">
        <v>525</v>
      </c>
    </row>
    <row r="209" spans="1:7" x14ac:dyDescent="0.3">
      <c r="A209">
        <v>0</v>
      </c>
      <c r="B209" t="s">
        <v>314</v>
      </c>
      <c r="C209" t="s">
        <v>413</v>
      </c>
      <c r="D209" t="s">
        <v>2</v>
      </c>
      <c r="E209" t="s">
        <v>413</v>
      </c>
      <c r="F209" t="s">
        <v>13</v>
      </c>
      <c r="G209" t="s">
        <v>525</v>
      </c>
    </row>
    <row r="210" spans="1:7" x14ac:dyDescent="0.3">
      <c r="A210">
        <v>0</v>
      </c>
      <c r="B210" t="s">
        <v>312</v>
      </c>
      <c r="C210" t="s">
        <v>392</v>
      </c>
      <c r="D210" t="s">
        <v>2</v>
      </c>
      <c r="E210" t="s">
        <v>392</v>
      </c>
      <c r="F210" t="s">
        <v>13</v>
      </c>
      <c r="G210" t="s">
        <v>525</v>
      </c>
    </row>
    <row r="211" spans="1:7" x14ac:dyDescent="0.3">
      <c r="A211">
        <v>0</v>
      </c>
      <c r="B211" t="s">
        <v>319</v>
      </c>
      <c r="C211" t="s">
        <v>422</v>
      </c>
      <c r="D211" t="s">
        <v>2</v>
      </c>
      <c r="E211" t="s">
        <v>422</v>
      </c>
      <c r="F211" t="s">
        <v>13</v>
      </c>
      <c r="G211" t="s">
        <v>525</v>
      </c>
    </row>
    <row r="212" spans="1:7" x14ac:dyDescent="0.3">
      <c r="A212">
        <v>0</v>
      </c>
      <c r="B212" t="s">
        <v>314</v>
      </c>
      <c r="C212" t="s">
        <v>495</v>
      </c>
      <c r="D212" t="s">
        <v>494</v>
      </c>
      <c r="E212" t="s">
        <v>495</v>
      </c>
      <c r="F212" t="s">
        <v>13</v>
      </c>
      <c r="G212" t="s">
        <v>525</v>
      </c>
    </row>
    <row r="213" spans="1:7" x14ac:dyDescent="0.3">
      <c r="A213">
        <v>0</v>
      </c>
      <c r="B213" t="s">
        <v>314</v>
      </c>
      <c r="C213" t="s">
        <v>497</v>
      </c>
      <c r="D213" t="s">
        <v>494</v>
      </c>
      <c r="E213" t="s">
        <v>497</v>
      </c>
      <c r="F213" t="s">
        <v>13</v>
      </c>
      <c r="G213" t="s">
        <v>525</v>
      </c>
    </row>
    <row r="214" spans="1:7" x14ac:dyDescent="0.3">
      <c r="A214">
        <v>0</v>
      </c>
      <c r="B214" t="s">
        <v>314</v>
      </c>
      <c r="C214" t="s">
        <v>496</v>
      </c>
      <c r="D214" t="s">
        <v>494</v>
      </c>
      <c r="E214" t="s">
        <v>496</v>
      </c>
      <c r="F214" t="s">
        <v>13</v>
      </c>
      <c r="G214" t="s">
        <v>525</v>
      </c>
    </row>
    <row r="215" spans="1:7" x14ac:dyDescent="0.3">
      <c r="A215">
        <v>0</v>
      </c>
      <c r="B215" t="s">
        <v>312</v>
      </c>
      <c r="C215" t="s">
        <v>513</v>
      </c>
      <c r="D215" t="s">
        <v>498</v>
      </c>
      <c r="E215" t="s">
        <v>513</v>
      </c>
      <c r="F215" t="s">
        <v>13</v>
      </c>
      <c r="G215" t="s">
        <v>525</v>
      </c>
    </row>
    <row r="216" spans="1:7" x14ac:dyDescent="0.3">
      <c r="A216">
        <v>0</v>
      </c>
      <c r="B216" t="s">
        <v>312</v>
      </c>
      <c r="C216" t="s">
        <v>515</v>
      </c>
      <c r="D216" t="s">
        <v>498</v>
      </c>
      <c r="E216" t="s">
        <v>515</v>
      </c>
      <c r="F216" t="s">
        <v>13</v>
      </c>
      <c r="G216" t="s">
        <v>525</v>
      </c>
    </row>
    <row r="217" spans="1:7" x14ac:dyDescent="0.3">
      <c r="A217">
        <v>0</v>
      </c>
      <c r="B217" t="s">
        <v>312</v>
      </c>
      <c r="C217" t="s">
        <v>509</v>
      </c>
      <c r="D217" t="s">
        <v>498</v>
      </c>
      <c r="E217" t="s">
        <v>509</v>
      </c>
      <c r="F217" t="s">
        <v>13</v>
      </c>
      <c r="G217" t="s">
        <v>525</v>
      </c>
    </row>
    <row r="218" spans="1:7" x14ac:dyDescent="0.3">
      <c r="A218">
        <v>0</v>
      </c>
      <c r="B218" t="s">
        <v>312</v>
      </c>
      <c r="C218" t="s">
        <v>502</v>
      </c>
      <c r="D218" t="s">
        <v>498</v>
      </c>
      <c r="E218" t="s">
        <v>502</v>
      </c>
      <c r="F218" t="s">
        <v>13</v>
      </c>
      <c r="G218" t="s">
        <v>525</v>
      </c>
    </row>
    <row r="219" spans="1:7" x14ac:dyDescent="0.3">
      <c r="A219">
        <v>0</v>
      </c>
      <c r="B219" t="s">
        <v>312</v>
      </c>
      <c r="C219" t="s">
        <v>500</v>
      </c>
      <c r="D219" t="s">
        <v>498</v>
      </c>
      <c r="E219" t="s">
        <v>500</v>
      </c>
      <c r="F219" t="s">
        <v>13</v>
      </c>
      <c r="G219" t="s">
        <v>525</v>
      </c>
    </row>
    <row r="220" spans="1:7" x14ac:dyDescent="0.3">
      <c r="A220">
        <v>0</v>
      </c>
      <c r="B220" t="s">
        <v>507</v>
      </c>
      <c r="C220" t="s">
        <v>506</v>
      </c>
      <c r="D220" t="s">
        <v>498</v>
      </c>
      <c r="E220" t="s">
        <v>506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514</v>
      </c>
      <c r="D221" t="s">
        <v>498</v>
      </c>
      <c r="E221" t="s">
        <v>514</v>
      </c>
      <c r="F221" t="s">
        <v>13</v>
      </c>
      <c r="G221" t="s">
        <v>525</v>
      </c>
    </row>
    <row r="222" spans="1:7" x14ac:dyDescent="0.3">
      <c r="A222">
        <v>0</v>
      </c>
      <c r="B222" t="s">
        <v>312</v>
      </c>
      <c r="C222" t="s">
        <v>499</v>
      </c>
      <c r="D222" t="s">
        <v>498</v>
      </c>
      <c r="E222" t="s">
        <v>499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508</v>
      </c>
      <c r="D223" t="s">
        <v>498</v>
      </c>
      <c r="E223" t="s">
        <v>508</v>
      </c>
      <c r="F223" t="s">
        <v>13</v>
      </c>
      <c r="G223" t="s">
        <v>525</v>
      </c>
    </row>
    <row r="224" spans="1:7" x14ac:dyDescent="0.3">
      <c r="A224">
        <v>0</v>
      </c>
      <c r="B224" t="s">
        <v>312</v>
      </c>
      <c r="C224" t="s">
        <v>519</v>
      </c>
      <c r="D224" t="s">
        <v>498</v>
      </c>
      <c r="E224" t="s">
        <v>519</v>
      </c>
      <c r="F224" t="s">
        <v>13</v>
      </c>
      <c r="G224" t="s">
        <v>525</v>
      </c>
    </row>
    <row r="225" spans="1:7" x14ac:dyDescent="0.3">
      <c r="A225">
        <v>0</v>
      </c>
      <c r="B225" t="s">
        <v>312</v>
      </c>
      <c r="C225" t="s">
        <v>510</v>
      </c>
      <c r="D225" t="s">
        <v>498</v>
      </c>
      <c r="E225" t="s">
        <v>510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521</v>
      </c>
      <c r="D226" t="s">
        <v>498</v>
      </c>
      <c r="E226" t="s">
        <v>521</v>
      </c>
      <c r="F226" t="s">
        <v>13</v>
      </c>
      <c r="G226" t="s">
        <v>525</v>
      </c>
    </row>
    <row r="227" spans="1:7" x14ac:dyDescent="0.3">
      <c r="A227">
        <v>0</v>
      </c>
      <c r="B227" t="s">
        <v>312</v>
      </c>
      <c r="C227" t="s">
        <v>501</v>
      </c>
      <c r="D227" t="s">
        <v>498</v>
      </c>
      <c r="E227" t="s">
        <v>501</v>
      </c>
      <c r="F227" t="s">
        <v>13</v>
      </c>
      <c r="G227" t="s">
        <v>525</v>
      </c>
    </row>
    <row r="228" spans="1:7" x14ac:dyDescent="0.3">
      <c r="A228">
        <v>0</v>
      </c>
      <c r="B228" t="s">
        <v>312</v>
      </c>
      <c r="C228" t="s">
        <v>504</v>
      </c>
      <c r="D228" t="s">
        <v>498</v>
      </c>
      <c r="E228" t="s">
        <v>504</v>
      </c>
      <c r="F228" t="s">
        <v>13</v>
      </c>
      <c r="G228" t="s">
        <v>525</v>
      </c>
    </row>
    <row r="229" spans="1:7" x14ac:dyDescent="0.3">
      <c r="A229">
        <v>0</v>
      </c>
      <c r="B229" t="s">
        <v>312</v>
      </c>
      <c r="C229" t="s">
        <v>520</v>
      </c>
      <c r="D229" t="s">
        <v>498</v>
      </c>
      <c r="E229" t="s">
        <v>520</v>
      </c>
      <c r="F229" t="s">
        <v>13</v>
      </c>
      <c r="G229" t="s">
        <v>525</v>
      </c>
    </row>
    <row r="230" spans="1:7" x14ac:dyDescent="0.3">
      <c r="A230">
        <v>0</v>
      </c>
      <c r="B230" t="s">
        <v>312</v>
      </c>
      <c r="C230" t="s">
        <v>523</v>
      </c>
      <c r="D230" t="s">
        <v>498</v>
      </c>
      <c r="E230" t="s">
        <v>523</v>
      </c>
      <c r="F230" t="s">
        <v>13</v>
      </c>
      <c r="G230" t="s">
        <v>525</v>
      </c>
    </row>
    <row r="231" spans="1:7" x14ac:dyDescent="0.3">
      <c r="A231">
        <v>0</v>
      </c>
      <c r="B231" t="s">
        <v>312</v>
      </c>
      <c r="C231" t="s">
        <v>503</v>
      </c>
      <c r="D231" t="s">
        <v>498</v>
      </c>
      <c r="E231" t="s">
        <v>503</v>
      </c>
      <c r="F231" t="s">
        <v>13</v>
      </c>
      <c r="G231" t="s">
        <v>525</v>
      </c>
    </row>
    <row r="232" spans="1:7" x14ac:dyDescent="0.3">
      <c r="A232">
        <v>0</v>
      </c>
      <c r="B232" t="s">
        <v>312</v>
      </c>
      <c r="C232" t="s">
        <v>512</v>
      </c>
      <c r="D232" t="s">
        <v>498</v>
      </c>
      <c r="E232" t="s">
        <v>512</v>
      </c>
      <c r="F232" t="s">
        <v>13</v>
      </c>
      <c r="G232" t="s">
        <v>525</v>
      </c>
    </row>
    <row r="233" spans="1:7" x14ac:dyDescent="0.3">
      <c r="A233">
        <v>0</v>
      </c>
      <c r="B233" t="s">
        <v>312</v>
      </c>
      <c r="C233" t="s">
        <v>505</v>
      </c>
      <c r="D233" t="s">
        <v>498</v>
      </c>
      <c r="E233" t="s">
        <v>505</v>
      </c>
      <c r="F233" t="s">
        <v>13</v>
      </c>
      <c r="G233" t="s">
        <v>525</v>
      </c>
    </row>
    <row r="234" spans="1:7" x14ac:dyDescent="0.3">
      <c r="A234">
        <v>0</v>
      </c>
      <c r="B234" t="s">
        <v>312</v>
      </c>
      <c r="C234" t="s">
        <v>518</v>
      </c>
      <c r="D234" t="s">
        <v>498</v>
      </c>
      <c r="E234" t="s">
        <v>518</v>
      </c>
      <c r="F234" t="s">
        <v>13</v>
      </c>
      <c r="G234" t="s">
        <v>525</v>
      </c>
    </row>
    <row r="235" spans="1:7" x14ac:dyDescent="0.3">
      <c r="A235">
        <v>0</v>
      </c>
      <c r="B235" t="s">
        <v>312</v>
      </c>
      <c r="C235" t="s">
        <v>522</v>
      </c>
      <c r="D235" t="s">
        <v>498</v>
      </c>
      <c r="E235" t="s">
        <v>522</v>
      </c>
      <c r="F235" t="s">
        <v>13</v>
      </c>
      <c r="G235" t="s">
        <v>525</v>
      </c>
    </row>
    <row r="236" spans="1:7" x14ac:dyDescent="0.3">
      <c r="A236">
        <v>0</v>
      </c>
      <c r="B236" t="s">
        <v>312</v>
      </c>
      <c r="C236" t="s">
        <v>516</v>
      </c>
      <c r="D236" t="s">
        <v>498</v>
      </c>
      <c r="E236" t="s">
        <v>516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517</v>
      </c>
      <c r="D237" t="s">
        <v>498</v>
      </c>
      <c r="E237" t="s">
        <v>517</v>
      </c>
      <c r="F237" t="s">
        <v>13</v>
      </c>
      <c r="G237" t="s">
        <v>525</v>
      </c>
    </row>
    <row r="238" spans="1:7" x14ac:dyDescent="0.3">
      <c r="A238">
        <v>0</v>
      </c>
      <c r="B238" t="s">
        <v>16</v>
      </c>
      <c r="C238" s="2" t="s">
        <v>22</v>
      </c>
      <c r="D238" t="s">
        <v>2</v>
      </c>
      <c r="E238" s="2" t="s">
        <v>22</v>
      </c>
      <c r="F238" t="s">
        <v>13</v>
      </c>
      <c r="G238" t="s">
        <v>525</v>
      </c>
    </row>
    <row r="239" spans="1:7" x14ac:dyDescent="0.3">
      <c r="A239">
        <v>0</v>
      </c>
      <c r="B239" t="s">
        <v>16</v>
      </c>
      <c r="C239" s="2" t="s">
        <v>49</v>
      </c>
      <c r="D239" t="s">
        <v>2</v>
      </c>
      <c r="E239" s="2" t="s">
        <v>49</v>
      </c>
      <c r="F239" t="s">
        <v>13</v>
      </c>
      <c r="G239" t="s">
        <v>525</v>
      </c>
    </row>
    <row r="240" spans="1:7" x14ac:dyDescent="0.3">
      <c r="A240">
        <v>0</v>
      </c>
      <c r="B240" t="s">
        <v>312</v>
      </c>
      <c r="C240" s="2" t="s">
        <v>55</v>
      </c>
      <c r="D240" t="s">
        <v>2</v>
      </c>
      <c r="E240" s="2" t="s">
        <v>55</v>
      </c>
      <c r="F240" t="s">
        <v>13</v>
      </c>
      <c r="G240" t="s">
        <v>525</v>
      </c>
    </row>
    <row r="241" spans="1:7" x14ac:dyDescent="0.3">
      <c r="A241">
        <v>0</v>
      </c>
      <c r="B241" t="s">
        <v>312</v>
      </c>
      <c r="C241" t="s">
        <v>59</v>
      </c>
      <c r="D241" t="s">
        <v>2</v>
      </c>
      <c r="E241" t="s">
        <v>59</v>
      </c>
      <c r="F241" t="s">
        <v>13</v>
      </c>
      <c r="G241" t="s">
        <v>525</v>
      </c>
    </row>
    <row r="242" spans="1:7" x14ac:dyDescent="0.3">
      <c r="A242">
        <v>0</v>
      </c>
      <c r="B242" t="s">
        <v>16</v>
      </c>
      <c r="C242" s="2" t="s">
        <v>61</v>
      </c>
      <c r="D242" t="s">
        <v>2</v>
      </c>
      <c r="E242" s="2" t="s">
        <v>61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s="2" t="s">
        <v>67</v>
      </c>
      <c r="D243" t="s">
        <v>2</v>
      </c>
      <c r="E243" s="2" t="s">
        <v>67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73</v>
      </c>
      <c r="D244" t="s">
        <v>2</v>
      </c>
      <c r="E244" t="s">
        <v>73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t="s">
        <v>79</v>
      </c>
      <c r="D245" t="s">
        <v>2</v>
      </c>
      <c r="E245" t="s">
        <v>79</v>
      </c>
      <c r="F245" t="s">
        <v>13</v>
      </c>
      <c r="G245" t="s">
        <v>525</v>
      </c>
    </row>
    <row r="246" spans="1:7" x14ac:dyDescent="0.3">
      <c r="A246">
        <v>0</v>
      </c>
      <c r="B246" t="s">
        <v>312</v>
      </c>
      <c r="C246" t="s">
        <v>82</v>
      </c>
      <c r="D246" t="s">
        <v>2</v>
      </c>
      <c r="E246" t="s">
        <v>82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85</v>
      </c>
      <c r="D247" t="s">
        <v>2</v>
      </c>
      <c r="E247" t="s">
        <v>85</v>
      </c>
      <c r="F247" t="s">
        <v>13</v>
      </c>
      <c r="G247" t="s">
        <v>525</v>
      </c>
    </row>
    <row r="248" spans="1:7" x14ac:dyDescent="0.3">
      <c r="A248">
        <v>0</v>
      </c>
      <c r="B248" t="s">
        <v>312</v>
      </c>
      <c r="C248" t="s">
        <v>88</v>
      </c>
      <c r="D248" t="s">
        <v>2</v>
      </c>
      <c r="E248" t="s">
        <v>88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91</v>
      </c>
      <c r="D249" t="s">
        <v>2</v>
      </c>
      <c r="E249" t="s">
        <v>91</v>
      </c>
      <c r="F249" t="s">
        <v>13</v>
      </c>
      <c r="G249" t="s">
        <v>525</v>
      </c>
    </row>
    <row r="250" spans="1:7" x14ac:dyDescent="0.3">
      <c r="A250">
        <v>0</v>
      </c>
      <c r="B250" t="s">
        <v>312</v>
      </c>
      <c r="C250" t="s">
        <v>94</v>
      </c>
      <c r="D250" t="s">
        <v>2</v>
      </c>
      <c r="E250" t="s">
        <v>94</v>
      </c>
      <c r="F250" t="s">
        <v>13</v>
      </c>
      <c r="G250" t="s">
        <v>525</v>
      </c>
    </row>
    <row r="251" spans="1:7" x14ac:dyDescent="0.3">
      <c r="A251">
        <v>0</v>
      </c>
      <c r="B251" t="s">
        <v>312</v>
      </c>
      <c r="C251" t="s">
        <v>97</v>
      </c>
      <c r="D251" t="s">
        <v>2</v>
      </c>
      <c r="E251" t="s">
        <v>97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100</v>
      </c>
      <c r="D252" t="s">
        <v>2</v>
      </c>
      <c r="E252" t="s">
        <v>100</v>
      </c>
      <c r="F252" t="s">
        <v>13</v>
      </c>
      <c r="G252" t="s">
        <v>525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252"/>
  <sheetViews>
    <sheetView workbookViewId="0">
      <selection activeCell="E10" sqref="E10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0.87206319893300499</v>
      </c>
      <c r="B2" t="s">
        <v>542</v>
      </c>
      <c r="C2" t="s">
        <v>648</v>
      </c>
      <c r="D2" t="s">
        <v>2</v>
      </c>
      <c r="E2" t="s">
        <v>111</v>
      </c>
      <c r="F2" t="s">
        <v>13</v>
      </c>
      <c r="G2" t="s">
        <v>525</v>
      </c>
      <c r="H2" t="s">
        <v>626</v>
      </c>
    </row>
    <row r="3" spans="1:9" x14ac:dyDescent="0.3">
      <c r="A3">
        <f>9.41828254847645/48</f>
        <v>0.19621421975992603</v>
      </c>
      <c r="B3" t="s">
        <v>57</v>
      </c>
      <c r="C3" t="s">
        <v>752</v>
      </c>
      <c r="D3" t="s">
        <v>2</v>
      </c>
      <c r="E3" t="s">
        <v>398</v>
      </c>
      <c r="F3" t="s">
        <v>13</v>
      </c>
      <c r="G3" t="s">
        <v>525</v>
      </c>
      <c r="H3" t="s">
        <v>626</v>
      </c>
    </row>
    <row r="4" spans="1:9" x14ac:dyDescent="0.3">
      <c r="A4">
        <v>1.0526315789473684</v>
      </c>
      <c r="B4" t="s">
        <v>57</v>
      </c>
      <c r="C4" t="s">
        <v>762</v>
      </c>
      <c r="D4" t="s">
        <v>2</v>
      </c>
      <c r="E4" t="s">
        <v>94</v>
      </c>
      <c r="F4" s="4" t="s">
        <v>13</v>
      </c>
      <c r="G4" t="s">
        <v>525</v>
      </c>
      <c r="H4" t="s">
        <v>626</v>
      </c>
    </row>
    <row r="5" spans="1:9" x14ac:dyDescent="0.3">
      <c r="A5">
        <v>0.47050788878762417</v>
      </c>
      <c r="B5" t="s">
        <v>57</v>
      </c>
      <c r="C5" t="s">
        <v>710</v>
      </c>
      <c r="D5" t="s">
        <v>2</v>
      </c>
      <c r="E5" t="s">
        <v>149</v>
      </c>
      <c r="F5" t="s">
        <v>13</v>
      </c>
      <c r="G5" t="s">
        <v>525</v>
      </c>
      <c r="H5" t="s">
        <v>626</v>
      </c>
    </row>
    <row r="6" spans="1:9" x14ac:dyDescent="0.3">
      <c r="A6">
        <v>1.8820315551504967E-2</v>
      </c>
      <c r="B6" t="s">
        <v>57</v>
      </c>
      <c r="C6" t="s">
        <v>722</v>
      </c>
      <c r="D6" t="s">
        <v>498</v>
      </c>
      <c r="E6" t="s">
        <v>514</v>
      </c>
      <c r="F6" t="s">
        <v>13</v>
      </c>
      <c r="G6" t="s">
        <v>525</v>
      </c>
      <c r="H6" t="s">
        <v>626</v>
      </c>
    </row>
    <row r="7" spans="1:9" x14ac:dyDescent="0.3">
      <c r="A7">
        <v>7.0576183318143623E-2</v>
      </c>
      <c r="B7" t="s">
        <v>57</v>
      </c>
      <c r="C7" t="s">
        <v>680</v>
      </c>
      <c r="D7" t="s">
        <v>498</v>
      </c>
      <c r="E7" t="s">
        <v>502</v>
      </c>
      <c r="F7" t="s">
        <v>13</v>
      </c>
      <c r="G7" t="s">
        <v>525</v>
      </c>
      <c r="H7" t="s">
        <v>626</v>
      </c>
    </row>
    <row r="8" spans="1:9" x14ac:dyDescent="0.3">
      <c r="A8">
        <v>0.52836567630000009</v>
      </c>
      <c r="B8" t="s">
        <v>57</v>
      </c>
      <c r="C8" t="s">
        <v>535</v>
      </c>
      <c r="D8" t="s">
        <v>498</v>
      </c>
      <c r="E8" t="s">
        <v>502</v>
      </c>
      <c r="F8" t="s">
        <v>13</v>
      </c>
      <c r="G8" t="s">
        <v>525</v>
      </c>
      <c r="H8" t="s">
        <v>658</v>
      </c>
    </row>
    <row r="9" spans="1:9" x14ac:dyDescent="0.3">
      <c r="A9">
        <v>4.7091415000000009E-5</v>
      </c>
      <c r="B9" t="s">
        <v>57</v>
      </c>
      <c r="C9" t="s">
        <v>500</v>
      </c>
      <c r="D9" t="s">
        <v>498</v>
      </c>
      <c r="E9" t="s">
        <v>500</v>
      </c>
      <c r="F9" t="s">
        <v>13</v>
      </c>
      <c r="G9" t="s">
        <v>525</v>
      </c>
      <c r="H9" t="s">
        <v>658</v>
      </c>
    </row>
    <row r="10" spans="1:9" x14ac:dyDescent="0.3">
      <c r="A10">
        <v>9.418283000000002E-7</v>
      </c>
      <c r="B10" t="s">
        <v>57</v>
      </c>
      <c r="C10" t="s">
        <v>511</v>
      </c>
      <c r="D10" t="s">
        <v>498</v>
      </c>
      <c r="E10" t="s">
        <v>511</v>
      </c>
      <c r="F10" t="s">
        <v>13</v>
      </c>
      <c r="G10" t="s">
        <v>525</v>
      </c>
      <c r="H10" t="s">
        <v>658</v>
      </c>
    </row>
    <row r="11" spans="1:9" x14ac:dyDescent="0.3">
      <c r="A11">
        <v>0</v>
      </c>
      <c r="B11" t="s">
        <v>312</v>
      </c>
      <c r="C11" t="s">
        <v>483</v>
      </c>
      <c r="D11" t="s">
        <v>2</v>
      </c>
      <c r="E11" t="s">
        <v>483</v>
      </c>
      <c r="F11" t="s">
        <v>13</v>
      </c>
      <c r="G11" t="s">
        <v>525</v>
      </c>
    </row>
    <row r="12" spans="1:9" x14ac:dyDescent="0.3">
      <c r="A12">
        <v>0</v>
      </c>
      <c r="B12" t="s">
        <v>105</v>
      </c>
      <c r="C12" t="s">
        <v>125</v>
      </c>
      <c r="D12" t="s">
        <v>2</v>
      </c>
      <c r="E12" t="s">
        <v>125</v>
      </c>
      <c r="F12" t="s">
        <v>13</v>
      </c>
      <c r="G12" t="s">
        <v>525</v>
      </c>
    </row>
    <row r="13" spans="1:9" x14ac:dyDescent="0.3">
      <c r="A13">
        <v>0</v>
      </c>
      <c r="B13" t="s">
        <v>319</v>
      </c>
      <c r="C13" t="s">
        <v>461</v>
      </c>
      <c r="D13" t="s">
        <v>2</v>
      </c>
      <c r="E13" t="s">
        <v>461</v>
      </c>
      <c r="F13" t="s">
        <v>13</v>
      </c>
      <c r="G13" t="s">
        <v>525</v>
      </c>
    </row>
    <row r="14" spans="1:9" x14ac:dyDescent="0.3">
      <c r="A14">
        <v>0</v>
      </c>
      <c r="B14" t="s">
        <v>314</v>
      </c>
      <c r="C14" t="s">
        <v>395</v>
      </c>
      <c r="D14" t="s">
        <v>2</v>
      </c>
      <c r="E14" t="s">
        <v>395</v>
      </c>
      <c r="F14" t="s">
        <v>13</v>
      </c>
      <c r="G14" t="s">
        <v>525</v>
      </c>
    </row>
    <row r="15" spans="1:9" x14ac:dyDescent="0.3">
      <c r="A15">
        <v>0</v>
      </c>
      <c r="B15" t="s">
        <v>312</v>
      </c>
      <c r="C15" t="s">
        <v>399</v>
      </c>
      <c r="D15" t="s">
        <v>2</v>
      </c>
      <c r="E15" t="s">
        <v>399</v>
      </c>
      <c r="F15" t="s">
        <v>13</v>
      </c>
      <c r="G15" t="s">
        <v>525</v>
      </c>
    </row>
    <row r="16" spans="1:9" x14ac:dyDescent="0.3">
      <c r="A16">
        <v>0</v>
      </c>
      <c r="B16" t="s">
        <v>314</v>
      </c>
      <c r="C16" t="s">
        <v>432</v>
      </c>
      <c r="D16" t="s">
        <v>2</v>
      </c>
      <c r="E16" t="s">
        <v>432</v>
      </c>
      <c r="F16" t="s">
        <v>13</v>
      </c>
      <c r="G16" t="s">
        <v>525</v>
      </c>
    </row>
    <row r="17" spans="1:7" x14ac:dyDescent="0.3">
      <c r="A17">
        <v>0</v>
      </c>
      <c r="B17" t="s">
        <v>312</v>
      </c>
      <c r="C17" t="s">
        <v>325</v>
      </c>
      <c r="D17" t="s">
        <v>2</v>
      </c>
      <c r="E17" t="s">
        <v>325</v>
      </c>
      <c r="F17" t="s">
        <v>13</v>
      </c>
      <c r="G17" t="s">
        <v>525</v>
      </c>
    </row>
    <row r="18" spans="1:7" x14ac:dyDescent="0.3">
      <c r="A18">
        <v>0</v>
      </c>
      <c r="B18" t="s">
        <v>314</v>
      </c>
      <c r="C18" t="s">
        <v>372</v>
      </c>
      <c r="D18" t="s">
        <v>2</v>
      </c>
      <c r="E18" t="s">
        <v>372</v>
      </c>
      <c r="F18" t="s">
        <v>13</v>
      </c>
      <c r="G18" t="s">
        <v>525</v>
      </c>
    </row>
    <row r="19" spans="1:7" x14ac:dyDescent="0.3">
      <c r="A19">
        <v>0</v>
      </c>
      <c r="B19" t="s">
        <v>314</v>
      </c>
      <c r="C19" t="s">
        <v>260</v>
      </c>
      <c r="D19" t="s">
        <v>2</v>
      </c>
      <c r="E19" t="s">
        <v>260</v>
      </c>
      <c r="F19" t="s">
        <v>13</v>
      </c>
      <c r="G19" t="s">
        <v>525</v>
      </c>
    </row>
    <row r="20" spans="1:7" x14ac:dyDescent="0.3">
      <c r="A20">
        <v>0</v>
      </c>
      <c r="B20" t="s">
        <v>312</v>
      </c>
      <c r="C20" t="s">
        <v>330</v>
      </c>
      <c r="D20" t="s">
        <v>2</v>
      </c>
      <c r="E20" t="s">
        <v>330</v>
      </c>
      <c r="F20" t="s">
        <v>13</v>
      </c>
      <c r="G20" t="s">
        <v>525</v>
      </c>
    </row>
    <row r="21" spans="1:7" x14ac:dyDescent="0.3">
      <c r="A21">
        <v>0</v>
      </c>
      <c r="B21" t="s">
        <v>105</v>
      </c>
      <c r="C21" t="s">
        <v>401</v>
      </c>
      <c r="D21" t="s">
        <v>2</v>
      </c>
      <c r="E21" t="s">
        <v>401</v>
      </c>
      <c r="F21" t="s">
        <v>13</v>
      </c>
      <c r="G21" t="s">
        <v>525</v>
      </c>
    </row>
    <row r="22" spans="1:7" x14ac:dyDescent="0.3">
      <c r="A22">
        <v>0</v>
      </c>
      <c r="B22" t="s">
        <v>312</v>
      </c>
      <c r="C22" t="s">
        <v>416</v>
      </c>
      <c r="D22" t="s">
        <v>2</v>
      </c>
      <c r="E22" t="s">
        <v>416</v>
      </c>
      <c r="F22" t="s">
        <v>13</v>
      </c>
      <c r="G22" t="s">
        <v>525</v>
      </c>
    </row>
    <row r="23" spans="1:7" x14ac:dyDescent="0.3">
      <c r="A23">
        <v>0</v>
      </c>
      <c r="B23" t="s">
        <v>319</v>
      </c>
      <c r="C23" t="s">
        <v>375</v>
      </c>
      <c r="D23" t="s">
        <v>2</v>
      </c>
      <c r="E23" t="s">
        <v>375</v>
      </c>
      <c r="F23" t="s">
        <v>13</v>
      </c>
      <c r="G23" t="s">
        <v>525</v>
      </c>
    </row>
    <row r="24" spans="1:7" x14ac:dyDescent="0.3">
      <c r="A24">
        <v>0</v>
      </c>
      <c r="B24" t="s">
        <v>312</v>
      </c>
      <c r="C24" t="s">
        <v>333</v>
      </c>
      <c r="D24" t="s">
        <v>2</v>
      </c>
      <c r="E24" t="s">
        <v>333</v>
      </c>
      <c r="F24" t="s">
        <v>13</v>
      </c>
      <c r="G24" t="s">
        <v>525</v>
      </c>
    </row>
    <row r="25" spans="1:7" x14ac:dyDescent="0.3">
      <c r="A25">
        <v>0</v>
      </c>
      <c r="B25" t="s">
        <v>57</v>
      </c>
      <c r="C25" t="s">
        <v>118</v>
      </c>
      <c r="D25" t="s">
        <v>2</v>
      </c>
      <c r="E25" t="s">
        <v>118</v>
      </c>
      <c r="F25" t="s">
        <v>13</v>
      </c>
      <c r="G25" t="s">
        <v>525</v>
      </c>
    </row>
    <row r="26" spans="1:7" x14ac:dyDescent="0.3">
      <c r="A26">
        <v>0</v>
      </c>
      <c r="B26" t="s">
        <v>312</v>
      </c>
      <c r="C26" t="s">
        <v>406</v>
      </c>
      <c r="D26" t="s">
        <v>2</v>
      </c>
      <c r="E26" t="s">
        <v>406</v>
      </c>
      <c r="F26" t="s">
        <v>13</v>
      </c>
      <c r="G26" t="s">
        <v>525</v>
      </c>
    </row>
    <row r="27" spans="1:7" x14ac:dyDescent="0.3">
      <c r="A27">
        <v>0</v>
      </c>
      <c r="B27" t="s">
        <v>312</v>
      </c>
      <c r="C27" t="s">
        <v>315</v>
      </c>
      <c r="D27" t="s">
        <v>2</v>
      </c>
      <c r="E27" t="s">
        <v>315</v>
      </c>
      <c r="F27" t="s">
        <v>13</v>
      </c>
      <c r="G27" t="s">
        <v>525</v>
      </c>
    </row>
    <row r="28" spans="1:7" x14ac:dyDescent="0.3">
      <c r="A28">
        <v>0</v>
      </c>
      <c r="B28" t="s">
        <v>312</v>
      </c>
      <c r="C28" t="s">
        <v>358</v>
      </c>
      <c r="D28" t="s">
        <v>2</v>
      </c>
      <c r="E28" t="s">
        <v>358</v>
      </c>
      <c r="F28" t="s">
        <v>13</v>
      </c>
      <c r="G28" t="s">
        <v>525</v>
      </c>
    </row>
    <row r="29" spans="1:7" x14ac:dyDescent="0.3">
      <c r="A29">
        <v>0</v>
      </c>
      <c r="B29" t="s">
        <v>314</v>
      </c>
      <c r="C29" t="s">
        <v>444</v>
      </c>
      <c r="D29" t="s">
        <v>2</v>
      </c>
      <c r="E29" t="s">
        <v>444</v>
      </c>
      <c r="F29" t="s">
        <v>13</v>
      </c>
      <c r="G29" t="s">
        <v>525</v>
      </c>
    </row>
    <row r="30" spans="1:7" x14ac:dyDescent="0.3">
      <c r="A30">
        <v>0</v>
      </c>
      <c r="B30" t="s">
        <v>312</v>
      </c>
      <c r="C30" t="s">
        <v>439</v>
      </c>
      <c r="D30" t="s">
        <v>2</v>
      </c>
      <c r="E30" t="s">
        <v>439</v>
      </c>
      <c r="F30" t="s">
        <v>13</v>
      </c>
      <c r="G30" t="s">
        <v>525</v>
      </c>
    </row>
    <row r="31" spans="1:7" x14ac:dyDescent="0.3">
      <c r="A31">
        <v>0</v>
      </c>
      <c r="B31" t="s">
        <v>312</v>
      </c>
      <c r="C31" t="s">
        <v>381</v>
      </c>
      <c r="D31" t="s">
        <v>2</v>
      </c>
      <c r="E31" t="s">
        <v>381</v>
      </c>
      <c r="F31" t="s">
        <v>13</v>
      </c>
      <c r="G31" t="s">
        <v>525</v>
      </c>
    </row>
    <row r="32" spans="1:7" x14ac:dyDescent="0.3">
      <c r="A32">
        <v>0</v>
      </c>
      <c r="B32" t="s">
        <v>312</v>
      </c>
      <c r="C32" t="s">
        <v>418</v>
      </c>
      <c r="D32" t="s">
        <v>2</v>
      </c>
      <c r="E32" t="s">
        <v>418</v>
      </c>
      <c r="F32" t="s">
        <v>13</v>
      </c>
      <c r="G32" t="s">
        <v>525</v>
      </c>
    </row>
    <row r="33" spans="1:7" x14ac:dyDescent="0.3">
      <c r="A33">
        <v>0</v>
      </c>
      <c r="B33" t="s">
        <v>314</v>
      </c>
      <c r="C33" t="s">
        <v>465</v>
      </c>
      <c r="D33" t="s">
        <v>2</v>
      </c>
      <c r="E33" t="s">
        <v>465</v>
      </c>
      <c r="F33" t="s">
        <v>13</v>
      </c>
      <c r="G33" t="s">
        <v>525</v>
      </c>
    </row>
    <row r="34" spans="1:7" x14ac:dyDescent="0.3">
      <c r="A34">
        <v>0</v>
      </c>
      <c r="B34" t="s">
        <v>105</v>
      </c>
      <c r="C34" t="s">
        <v>103</v>
      </c>
      <c r="D34" t="s">
        <v>2</v>
      </c>
      <c r="E34" t="s">
        <v>103</v>
      </c>
      <c r="F34" t="s">
        <v>13</v>
      </c>
      <c r="G34" t="s">
        <v>525</v>
      </c>
    </row>
    <row r="35" spans="1:7" x14ac:dyDescent="0.3">
      <c r="A35">
        <v>0</v>
      </c>
      <c r="B35" t="s">
        <v>312</v>
      </c>
      <c r="C35" t="s">
        <v>320</v>
      </c>
      <c r="D35" t="s">
        <v>2</v>
      </c>
      <c r="E35" t="s">
        <v>320</v>
      </c>
      <c r="F35" t="s">
        <v>13</v>
      </c>
      <c r="G35" t="s">
        <v>525</v>
      </c>
    </row>
    <row r="36" spans="1:7" x14ac:dyDescent="0.3">
      <c r="A36">
        <v>0</v>
      </c>
      <c r="B36" t="s">
        <v>312</v>
      </c>
      <c r="C36" t="s">
        <v>334</v>
      </c>
      <c r="D36" t="s">
        <v>2</v>
      </c>
      <c r="E36" t="s">
        <v>334</v>
      </c>
      <c r="F36" t="s">
        <v>13</v>
      </c>
      <c r="G36" t="s">
        <v>525</v>
      </c>
    </row>
    <row r="37" spans="1:7" x14ac:dyDescent="0.3">
      <c r="A37">
        <v>0</v>
      </c>
      <c r="B37" t="s">
        <v>312</v>
      </c>
      <c r="C37" t="s">
        <v>435</v>
      </c>
      <c r="D37" t="s">
        <v>2</v>
      </c>
      <c r="E37" t="s">
        <v>435</v>
      </c>
      <c r="F37" t="s">
        <v>13</v>
      </c>
      <c r="G37" t="s">
        <v>525</v>
      </c>
    </row>
    <row r="38" spans="1:7" x14ac:dyDescent="0.3">
      <c r="A38">
        <v>0</v>
      </c>
      <c r="B38" t="s">
        <v>319</v>
      </c>
      <c r="C38" t="s">
        <v>456</v>
      </c>
      <c r="D38" t="s">
        <v>2</v>
      </c>
      <c r="E38" t="s">
        <v>456</v>
      </c>
      <c r="F38" t="s">
        <v>13</v>
      </c>
      <c r="G38" t="s">
        <v>525</v>
      </c>
    </row>
    <row r="39" spans="1:7" x14ac:dyDescent="0.3">
      <c r="A39">
        <v>0</v>
      </c>
      <c r="B39" t="s">
        <v>312</v>
      </c>
      <c r="C39" t="s">
        <v>474</v>
      </c>
      <c r="D39" t="s">
        <v>2</v>
      </c>
      <c r="E39" t="s">
        <v>474</v>
      </c>
      <c r="F39" t="s">
        <v>13</v>
      </c>
      <c r="G39" t="s">
        <v>525</v>
      </c>
    </row>
    <row r="40" spans="1:7" x14ac:dyDescent="0.3">
      <c r="A40">
        <v>0</v>
      </c>
      <c r="B40" t="s">
        <v>319</v>
      </c>
      <c r="C40" t="s">
        <v>318</v>
      </c>
      <c r="D40" t="s">
        <v>2</v>
      </c>
      <c r="E40" t="s">
        <v>318</v>
      </c>
      <c r="F40" t="s">
        <v>13</v>
      </c>
      <c r="G40" t="s">
        <v>525</v>
      </c>
    </row>
    <row r="41" spans="1:7" x14ac:dyDescent="0.3">
      <c r="A41">
        <v>0</v>
      </c>
      <c r="B41" t="s">
        <v>314</v>
      </c>
      <c r="C41" t="s">
        <v>475</v>
      </c>
      <c r="D41" t="s">
        <v>2</v>
      </c>
      <c r="E41" t="s">
        <v>475</v>
      </c>
      <c r="F41" t="s">
        <v>13</v>
      </c>
      <c r="G41" t="s">
        <v>525</v>
      </c>
    </row>
    <row r="42" spans="1:7" x14ac:dyDescent="0.3">
      <c r="A42">
        <v>0</v>
      </c>
      <c r="B42" t="s">
        <v>314</v>
      </c>
      <c r="C42" t="s">
        <v>449</v>
      </c>
      <c r="D42" t="s">
        <v>2</v>
      </c>
      <c r="E42" t="s">
        <v>449</v>
      </c>
      <c r="F42" t="s">
        <v>13</v>
      </c>
      <c r="G42" t="s">
        <v>525</v>
      </c>
    </row>
    <row r="43" spans="1:7" x14ac:dyDescent="0.3">
      <c r="A43">
        <v>0</v>
      </c>
      <c r="B43" t="s">
        <v>314</v>
      </c>
      <c r="C43" t="s">
        <v>176</v>
      </c>
      <c r="D43" t="s">
        <v>2</v>
      </c>
      <c r="E43" t="s">
        <v>176</v>
      </c>
      <c r="F43" t="s">
        <v>13</v>
      </c>
      <c r="G43" t="s">
        <v>525</v>
      </c>
    </row>
    <row r="44" spans="1:7" x14ac:dyDescent="0.3">
      <c r="A44">
        <v>0</v>
      </c>
      <c r="B44" t="s">
        <v>312</v>
      </c>
      <c r="C44" t="s">
        <v>388</v>
      </c>
      <c r="D44" t="s">
        <v>2</v>
      </c>
      <c r="E44" t="s">
        <v>388</v>
      </c>
      <c r="F44" t="s">
        <v>13</v>
      </c>
      <c r="G44" t="s">
        <v>525</v>
      </c>
    </row>
    <row r="45" spans="1:7" x14ac:dyDescent="0.3">
      <c r="A45">
        <v>0</v>
      </c>
      <c r="B45" t="s">
        <v>319</v>
      </c>
      <c r="C45" t="s">
        <v>429</v>
      </c>
      <c r="D45" t="s">
        <v>2</v>
      </c>
      <c r="E45" t="s">
        <v>429</v>
      </c>
      <c r="F45" t="s">
        <v>13</v>
      </c>
      <c r="G45" t="s">
        <v>525</v>
      </c>
    </row>
    <row r="46" spans="1:7" x14ac:dyDescent="0.3">
      <c r="A46">
        <v>0</v>
      </c>
      <c r="B46" t="s">
        <v>312</v>
      </c>
      <c r="C46" t="s">
        <v>272</v>
      </c>
      <c r="D46" t="s">
        <v>2</v>
      </c>
      <c r="E46" t="s">
        <v>272</v>
      </c>
      <c r="F46" t="s">
        <v>13</v>
      </c>
      <c r="G46" t="s">
        <v>525</v>
      </c>
    </row>
    <row r="47" spans="1:7" x14ac:dyDescent="0.3">
      <c r="A47">
        <v>0</v>
      </c>
      <c r="B47" t="s">
        <v>312</v>
      </c>
      <c r="C47" t="s">
        <v>410</v>
      </c>
      <c r="D47" t="s">
        <v>2</v>
      </c>
      <c r="E47" t="s">
        <v>410</v>
      </c>
      <c r="F47" t="s">
        <v>13</v>
      </c>
      <c r="G47" t="s">
        <v>525</v>
      </c>
    </row>
    <row r="48" spans="1:7" x14ac:dyDescent="0.3">
      <c r="A48">
        <v>0</v>
      </c>
      <c r="B48" t="s">
        <v>319</v>
      </c>
      <c r="C48" t="s">
        <v>363</v>
      </c>
      <c r="D48" t="s">
        <v>2</v>
      </c>
      <c r="E48" t="s">
        <v>363</v>
      </c>
      <c r="F48" t="s">
        <v>13</v>
      </c>
      <c r="G48" t="s">
        <v>525</v>
      </c>
    </row>
    <row r="49" spans="1:7" x14ac:dyDescent="0.3">
      <c r="A49">
        <v>0</v>
      </c>
      <c r="B49" t="s">
        <v>312</v>
      </c>
      <c r="C49" t="s">
        <v>382</v>
      </c>
      <c r="D49" t="s">
        <v>2</v>
      </c>
      <c r="E49" t="s">
        <v>382</v>
      </c>
      <c r="F49" t="s">
        <v>13</v>
      </c>
      <c r="G49" t="s">
        <v>525</v>
      </c>
    </row>
    <row r="50" spans="1:7" x14ac:dyDescent="0.3">
      <c r="A50">
        <v>0</v>
      </c>
      <c r="B50" t="s">
        <v>312</v>
      </c>
      <c r="C50" t="s">
        <v>424</v>
      </c>
      <c r="D50" t="s">
        <v>2</v>
      </c>
      <c r="E50" t="s">
        <v>424</v>
      </c>
      <c r="F50" t="s">
        <v>13</v>
      </c>
      <c r="G50" t="s">
        <v>525</v>
      </c>
    </row>
    <row r="51" spans="1:7" x14ac:dyDescent="0.3">
      <c r="A51">
        <v>0</v>
      </c>
      <c r="B51" t="s">
        <v>314</v>
      </c>
      <c r="C51" t="s">
        <v>351</v>
      </c>
      <c r="D51" t="s">
        <v>2</v>
      </c>
      <c r="E51" t="s">
        <v>351</v>
      </c>
      <c r="F51" t="s">
        <v>13</v>
      </c>
      <c r="G51" t="s">
        <v>525</v>
      </c>
    </row>
    <row r="52" spans="1:7" x14ac:dyDescent="0.3">
      <c r="A52">
        <v>0</v>
      </c>
      <c r="B52" t="s">
        <v>312</v>
      </c>
      <c r="C52" t="s">
        <v>347</v>
      </c>
      <c r="D52" t="s">
        <v>2</v>
      </c>
      <c r="E52" t="s">
        <v>347</v>
      </c>
      <c r="F52" t="s">
        <v>13</v>
      </c>
      <c r="G52" t="s">
        <v>525</v>
      </c>
    </row>
    <row r="53" spans="1:7" x14ac:dyDescent="0.3">
      <c r="A53">
        <v>0</v>
      </c>
      <c r="B53" t="s">
        <v>314</v>
      </c>
      <c r="C53" t="s">
        <v>453</v>
      </c>
      <c r="D53" t="s">
        <v>2</v>
      </c>
      <c r="E53" t="s">
        <v>453</v>
      </c>
      <c r="F53" t="s">
        <v>13</v>
      </c>
      <c r="G53" t="s">
        <v>525</v>
      </c>
    </row>
    <row r="54" spans="1:7" x14ac:dyDescent="0.3">
      <c r="A54">
        <v>0</v>
      </c>
      <c r="B54" t="s">
        <v>319</v>
      </c>
      <c r="C54" t="s">
        <v>457</v>
      </c>
      <c r="D54" t="s">
        <v>2</v>
      </c>
      <c r="E54" t="s">
        <v>457</v>
      </c>
      <c r="F54" t="s">
        <v>13</v>
      </c>
      <c r="G54" t="s">
        <v>525</v>
      </c>
    </row>
    <row r="55" spans="1:7" x14ac:dyDescent="0.3">
      <c r="A55">
        <v>0</v>
      </c>
      <c r="B55" t="s">
        <v>312</v>
      </c>
      <c r="C55" t="s">
        <v>485</v>
      </c>
      <c r="D55" t="s">
        <v>2</v>
      </c>
      <c r="E55" t="s">
        <v>485</v>
      </c>
      <c r="F55" t="s">
        <v>13</v>
      </c>
      <c r="G55" t="s">
        <v>525</v>
      </c>
    </row>
    <row r="56" spans="1:7" x14ac:dyDescent="0.3">
      <c r="A56">
        <v>0</v>
      </c>
      <c r="B56" t="s">
        <v>312</v>
      </c>
      <c r="C56" t="s">
        <v>355</v>
      </c>
      <c r="D56" t="s">
        <v>2</v>
      </c>
      <c r="E56" t="s">
        <v>355</v>
      </c>
      <c r="F56" t="s">
        <v>13</v>
      </c>
      <c r="G56" t="s">
        <v>525</v>
      </c>
    </row>
    <row r="57" spans="1:7" x14ac:dyDescent="0.3">
      <c r="A57">
        <v>0</v>
      </c>
      <c r="B57" t="s">
        <v>312</v>
      </c>
      <c r="C57" t="s">
        <v>338</v>
      </c>
      <c r="D57" t="s">
        <v>2</v>
      </c>
      <c r="E57" t="s">
        <v>338</v>
      </c>
      <c r="F57" t="s">
        <v>13</v>
      </c>
      <c r="G57" t="s">
        <v>525</v>
      </c>
    </row>
    <row r="58" spans="1:7" x14ac:dyDescent="0.3">
      <c r="A58">
        <v>0</v>
      </c>
      <c r="B58" t="s">
        <v>312</v>
      </c>
      <c r="C58" t="s">
        <v>394</v>
      </c>
      <c r="D58" t="s">
        <v>2</v>
      </c>
      <c r="E58" t="s">
        <v>394</v>
      </c>
      <c r="F58" t="s">
        <v>13</v>
      </c>
      <c r="G58" t="s">
        <v>525</v>
      </c>
    </row>
    <row r="59" spans="1:7" x14ac:dyDescent="0.3">
      <c r="A59">
        <v>0</v>
      </c>
      <c r="B59" t="s">
        <v>312</v>
      </c>
      <c r="C59" t="s">
        <v>438</v>
      </c>
      <c r="D59" t="s">
        <v>2</v>
      </c>
      <c r="E59" t="s">
        <v>438</v>
      </c>
      <c r="F59" t="s">
        <v>13</v>
      </c>
      <c r="G59" t="s">
        <v>525</v>
      </c>
    </row>
    <row r="60" spans="1:7" x14ac:dyDescent="0.3">
      <c r="A60">
        <v>0</v>
      </c>
      <c r="B60" t="s">
        <v>312</v>
      </c>
      <c r="C60" t="s">
        <v>486</v>
      </c>
      <c r="D60" t="s">
        <v>2</v>
      </c>
      <c r="E60" t="s">
        <v>486</v>
      </c>
      <c r="F60" t="s">
        <v>13</v>
      </c>
      <c r="G60" t="s">
        <v>525</v>
      </c>
    </row>
    <row r="61" spans="1:7" x14ac:dyDescent="0.3">
      <c r="A61">
        <v>0</v>
      </c>
      <c r="B61" t="s">
        <v>319</v>
      </c>
      <c r="C61" t="s">
        <v>419</v>
      </c>
      <c r="D61" t="s">
        <v>2</v>
      </c>
      <c r="E61" t="s">
        <v>419</v>
      </c>
      <c r="F61" t="s">
        <v>13</v>
      </c>
      <c r="G61" t="s">
        <v>525</v>
      </c>
    </row>
    <row r="62" spans="1:7" x14ac:dyDescent="0.3">
      <c r="A62">
        <v>0</v>
      </c>
      <c r="B62" t="s">
        <v>57</v>
      </c>
      <c r="C62" t="s">
        <v>353</v>
      </c>
      <c r="D62" t="s">
        <v>2</v>
      </c>
      <c r="E62" t="s">
        <v>353</v>
      </c>
      <c r="F62" t="s">
        <v>13</v>
      </c>
      <c r="G62" t="s">
        <v>525</v>
      </c>
    </row>
    <row r="63" spans="1:7" x14ac:dyDescent="0.3">
      <c r="A63">
        <v>0</v>
      </c>
      <c r="B63" t="s">
        <v>319</v>
      </c>
      <c r="C63" t="s">
        <v>489</v>
      </c>
      <c r="D63" t="s">
        <v>2</v>
      </c>
      <c r="E63" t="s">
        <v>489</v>
      </c>
      <c r="F63" t="s">
        <v>13</v>
      </c>
      <c r="G63" t="s">
        <v>525</v>
      </c>
    </row>
    <row r="64" spans="1:7" x14ac:dyDescent="0.3">
      <c r="A64">
        <v>0</v>
      </c>
      <c r="B64" t="s">
        <v>312</v>
      </c>
      <c r="C64" t="s">
        <v>386</v>
      </c>
      <c r="D64" t="s">
        <v>2</v>
      </c>
      <c r="E64" t="s">
        <v>386</v>
      </c>
      <c r="F64" t="s">
        <v>13</v>
      </c>
      <c r="G64" t="s">
        <v>525</v>
      </c>
    </row>
    <row r="65" spans="1:7" x14ac:dyDescent="0.3">
      <c r="A65">
        <v>0</v>
      </c>
      <c r="B65" t="s">
        <v>319</v>
      </c>
      <c r="C65" t="s">
        <v>389</v>
      </c>
      <c r="D65" t="s">
        <v>2</v>
      </c>
      <c r="E65" t="s">
        <v>389</v>
      </c>
      <c r="F65" t="s">
        <v>13</v>
      </c>
      <c r="G65" t="s">
        <v>525</v>
      </c>
    </row>
    <row r="66" spans="1:7" x14ac:dyDescent="0.3">
      <c r="A66">
        <v>0</v>
      </c>
      <c r="B66" t="s">
        <v>312</v>
      </c>
      <c r="C66" t="s">
        <v>340</v>
      </c>
      <c r="D66" t="s">
        <v>2</v>
      </c>
      <c r="E66" t="s">
        <v>340</v>
      </c>
      <c r="F66" t="s">
        <v>13</v>
      </c>
      <c r="G66" t="s">
        <v>525</v>
      </c>
    </row>
    <row r="67" spans="1:7" x14ac:dyDescent="0.3">
      <c r="A67">
        <v>0</v>
      </c>
      <c r="B67" t="s">
        <v>312</v>
      </c>
      <c r="C67" t="s">
        <v>368</v>
      </c>
      <c r="D67" t="s">
        <v>2</v>
      </c>
      <c r="E67" t="s">
        <v>368</v>
      </c>
      <c r="F67" t="s">
        <v>13</v>
      </c>
      <c r="G67" t="s">
        <v>525</v>
      </c>
    </row>
    <row r="68" spans="1:7" x14ac:dyDescent="0.3">
      <c r="A68">
        <v>0</v>
      </c>
      <c r="B68" t="s">
        <v>312</v>
      </c>
      <c r="C68" t="s">
        <v>328</v>
      </c>
      <c r="D68" t="s">
        <v>2</v>
      </c>
      <c r="E68" t="s">
        <v>328</v>
      </c>
      <c r="F68" t="s">
        <v>13</v>
      </c>
      <c r="G68" t="s">
        <v>525</v>
      </c>
    </row>
    <row r="69" spans="1:7" x14ac:dyDescent="0.3">
      <c r="A69">
        <v>0</v>
      </c>
      <c r="B69" t="s">
        <v>312</v>
      </c>
      <c r="C69" t="s">
        <v>479</v>
      </c>
      <c r="D69" t="s">
        <v>2</v>
      </c>
      <c r="E69" t="s">
        <v>479</v>
      </c>
      <c r="F69" t="s">
        <v>13</v>
      </c>
      <c r="G69" t="s">
        <v>525</v>
      </c>
    </row>
    <row r="70" spans="1:7" x14ac:dyDescent="0.3">
      <c r="A70">
        <v>0</v>
      </c>
      <c r="B70" t="s">
        <v>57</v>
      </c>
      <c r="C70" t="s">
        <v>116</v>
      </c>
      <c r="D70" t="s">
        <v>2</v>
      </c>
      <c r="E70" t="s">
        <v>116</v>
      </c>
      <c r="F70" t="s">
        <v>13</v>
      </c>
      <c r="G70" t="s">
        <v>525</v>
      </c>
    </row>
    <row r="71" spans="1:7" x14ac:dyDescent="0.3">
      <c r="A71">
        <v>0</v>
      </c>
      <c r="B71" t="s">
        <v>312</v>
      </c>
      <c r="C71" t="s">
        <v>352</v>
      </c>
      <c r="D71" t="s">
        <v>2</v>
      </c>
      <c r="E71" t="s">
        <v>352</v>
      </c>
      <c r="F71" t="s">
        <v>13</v>
      </c>
      <c r="G71" t="s">
        <v>525</v>
      </c>
    </row>
    <row r="72" spans="1:7" x14ac:dyDescent="0.3">
      <c r="A72">
        <v>0</v>
      </c>
      <c r="B72" t="s">
        <v>312</v>
      </c>
      <c r="C72" t="s">
        <v>417</v>
      </c>
      <c r="D72" t="s">
        <v>2</v>
      </c>
      <c r="E72" t="s">
        <v>417</v>
      </c>
      <c r="F72" t="s">
        <v>13</v>
      </c>
      <c r="G72" t="s">
        <v>525</v>
      </c>
    </row>
    <row r="73" spans="1:7" x14ac:dyDescent="0.3">
      <c r="A73">
        <v>0</v>
      </c>
      <c r="B73" t="s">
        <v>312</v>
      </c>
      <c r="C73" t="s">
        <v>447</v>
      </c>
      <c r="D73" t="s">
        <v>2</v>
      </c>
      <c r="E73" t="s">
        <v>447</v>
      </c>
      <c r="F73" t="s">
        <v>13</v>
      </c>
      <c r="G73" t="s">
        <v>525</v>
      </c>
    </row>
    <row r="74" spans="1:7" x14ac:dyDescent="0.3">
      <c r="A74">
        <v>0</v>
      </c>
      <c r="B74" t="s">
        <v>319</v>
      </c>
      <c r="C74" t="s">
        <v>329</v>
      </c>
      <c r="D74" t="s">
        <v>2</v>
      </c>
      <c r="E74" t="s">
        <v>329</v>
      </c>
      <c r="F74" t="s">
        <v>13</v>
      </c>
      <c r="G74" t="s">
        <v>525</v>
      </c>
    </row>
    <row r="75" spans="1:7" x14ac:dyDescent="0.3">
      <c r="A75">
        <v>0</v>
      </c>
      <c r="B75" t="s">
        <v>312</v>
      </c>
      <c r="C75" t="s">
        <v>252</v>
      </c>
      <c r="D75" t="s">
        <v>2</v>
      </c>
      <c r="E75" t="s">
        <v>252</v>
      </c>
      <c r="F75" t="s">
        <v>13</v>
      </c>
      <c r="G75" t="s">
        <v>525</v>
      </c>
    </row>
    <row r="76" spans="1:7" x14ac:dyDescent="0.3">
      <c r="A76">
        <v>0</v>
      </c>
      <c r="B76" t="s">
        <v>312</v>
      </c>
      <c r="C76" t="s">
        <v>317</v>
      </c>
      <c r="D76" t="s">
        <v>2</v>
      </c>
      <c r="E76" t="s">
        <v>317</v>
      </c>
      <c r="F76" t="s">
        <v>13</v>
      </c>
      <c r="G76" t="s">
        <v>525</v>
      </c>
    </row>
    <row r="77" spans="1:7" x14ac:dyDescent="0.3">
      <c r="A77">
        <v>0</v>
      </c>
      <c r="B77" t="s">
        <v>312</v>
      </c>
      <c r="C77" t="s">
        <v>436</v>
      </c>
      <c r="D77" t="s">
        <v>2</v>
      </c>
      <c r="E77" t="s">
        <v>436</v>
      </c>
      <c r="F77" t="s">
        <v>13</v>
      </c>
      <c r="G77" t="s">
        <v>525</v>
      </c>
    </row>
    <row r="78" spans="1:7" x14ac:dyDescent="0.3">
      <c r="A78">
        <v>0</v>
      </c>
      <c r="B78" t="s">
        <v>319</v>
      </c>
      <c r="C78" t="s">
        <v>490</v>
      </c>
      <c r="D78" t="s">
        <v>2</v>
      </c>
      <c r="E78" t="s">
        <v>490</v>
      </c>
      <c r="F78" t="s">
        <v>13</v>
      </c>
      <c r="G78" t="s">
        <v>525</v>
      </c>
    </row>
    <row r="79" spans="1:7" x14ac:dyDescent="0.3">
      <c r="A79">
        <v>0</v>
      </c>
      <c r="B79" t="s">
        <v>312</v>
      </c>
      <c r="C79" t="s">
        <v>391</v>
      </c>
      <c r="D79" t="s">
        <v>2</v>
      </c>
      <c r="E79" t="s">
        <v>391</v>
      </c>
      <c r="F79" t="s">
        <v>13</v>
      </c>
      <c r="G79" t="s">
        <v>525</v>
      </c>
    </row>
    <row r="80" spans="1:7" x14ac:dyDescent="0.3">
      <c r="A80">
        <v>0</v>
      </c>
      <c r="B80" t="s">
        <v>312</v>
      </c>
      <c r="C80" t="s">
        <v>235</v>
      </c>
      <c r="D80" t="s">
        <v>2</v>
      </c>
      <c r="E80" t="s">
        <v>235</v>
      </c>
      <c r="F80" t="s">
        <v>13</v>
      </c>
      <c r="G80" t="s">
        <v>525</v>
      </c>
    </row>
    <row r="81" spans="1:7" x14ac:dyDescent="0.3">
      <c r="A81">
        <v>0</v>
      </c>
      <c r="B81" t="s">
        <v>312</v>
      </c>
      <c r="C81" t="s">
        <v>493</v>
      </c>
      <c r="D81" t="s">
        <v>2</v>
      </c>
      <c r="E81" t="s">
        <v>493</v>
      </c>
      <c r="F81" t="s">
        <v>13</v>
      </c>
      <c r="G81" t="s">
        <v>525</v>
      </c>
    </row>
    <row r="82" spans="1:7" x14ac:dyDescent="0.3">
      <c r="A82">
        <v>0</v>
      </c>
      <c r="B82" t="s">
        <v>312</v>
      </c>
      <c r="C82" t="s">
        <v>335</v>
      </c>
      <c r="D82" t="s">
        <v>2</v>
      </c>
      <c r="E82" t="s">
        <v>335</v>
      </c>
      <c r="F82" t="s">
        <v>13</v>
      </c>
      <c r="G82" t="s">
        <v>525</v>
      </c>
    </row>
    <row r="83" spans="1:7" x14ac:dyDescent="0.3">
      <c r="A83">
        <v>0</v>
      </c>
      <c r="B83" t="s">
        <v>312</v>
      </c>
      <c r="C83" t="s">
        <v>354</v>
      </c>
      <c r="D83" t="s">
        <v>2</v>
      </c>
      <c r="E83" t="s">
        <v>354</v>
      </c>
      <c r="F83" t="s">
        <v>13</v>
      </c>
      <c r="G83" t="s">
        <v>525</v>
      </c>
    </row>
    <row r="84" spans="1:7" x14ac:dyDescent="0.3">
      <c r="A84">
        <v>0</v>
      </c>
      <c r="B84" t="s">
        <v>319</v>
      </c>
      <c r="C84" t="s">
        <v>360</v>
      </c>
      <c r="D84" t="s">
        <v>2</v>
      </c>
      <c r="E84" t="s">
        <v>360</v>
      </c>
      <c r="F84" t="s">
        <v>13</v>
      </c>
      <c r="G84" t="s">
        <v>525</v>
      </c>
    </row>
    <row r="85" spans="1:7" x14ac:dyDescent="0.3">
      <c r="A85">
        <v>0</v>
      </c>
      <c r="B85" t="s">
        <v>314</v>
      </c>
      <c r="C85" t="s">
        <v>356</v>
      </c>
      <c r="D85" t="s">
        <v>2</v>
      </c>
      <c r="E85" t="s">
        <v>356</v>
      </c>
      <c r="F85" t="s">
        <v>13</v>
      </c>
      <c r="G85" t="s">
        <v>525</v>
      </c>
    </row>
    <row r="86" spans="1:7" x14ac:dyDescent="0.3">
      <c r="A86">
        <v>0</v>
      </c>
      <c r="B86" t="s">
        <v>312</v>
      </c>
      <c r="C86" t="s">
        <v>405</v>
      </c>
      <c r="D86" t="s">
        <v>2</v>
      </c>
      <c r="E86" t="s">
        <v>405</v>
      </c>
      <c r="F86" t="s">
        <v>13</v>
      </c>
      <c r="G86" t="s">
        <v>525</v>
      </c>
    </row>
    <row r="87" spans="1:7" x14ac:dyDescent="0.3">
      <c r="A87">
        <v>0</v>
      </c>
      <c r="B87" t="s">
        <v>312</v>
      </c>
      <c r="C87" t="s">
        <v>471</v>
      </c>
      <c r="D87" t="s">
        <v>2</v>
      </c>
      <c r="E87" t="s">
        <v>471</v>
      </c>
      <c r="F87" t="s">
        <v>13</v>
      </c>
      <c r="G87" t="s">
        <v>525</v>
      </c>
    </row>
    <row r="88" spans="1:7" x14ac:dyDescent="0.3">
      <c r="A88">
        <v>0</v>
      </c>
      <c r="B88" t="s">
        <v>319</v>
      </c>
      <c r="C88" t="s">
        <v>421</v>
      </c>
      <c r="D88" t="s">
        <v>2</v>
      </c>
      <c r="E88" t="s">
        <v>421</v>
      </c>
      <c r="F88" t="s">
        <v>13</v>
      </c>
      <c r="G88" t="s">
        <v>525</v>
      </c>
    </row>
    <row r="89" spans="1:7" x14ac:dyDescent="0.3">
      <c r="A89">
        <v>0</v>
      </c>
      <c r="B89" t="s">
        <v>312</v>
      </c>
      <c r="C89" t="s">
        <v>321</v>
      </c>
      <c r="D89" t="s">
        <v>2</v>
      </c>
      <c r="E89" t="s">
        <v>321</v>
      </c>
      <c r="F89" t="s">
        <v>13</v>
      </c>
      <c r="G89" t="s">
        <v>525</v>
      </c>
    </row>
    <row r="90" spans="1:7" x14ac:dyDescent="0.3">
      <c r="A90">
        <v>0</v>
      </c>
      <c r="B90" t="s">
        <v>105</v>
      </c>
      <c r="C90" t="s">
        <v>113</v>
      </c>
      <c r="D90" t="s">
        <v>2</v>
      </c>
      <c r="E90" t="s">
        <v>113</v>
      </c>
      <c r="F90" t="s">
        <v>13</v>
      </c>
      <c r="G90" t="s">
        <v>525</v>
      </c>
    </row>
    <row r="91" spans="1:7" x14ac:dyDescent="0.3">
      <c r="A91">
        <v>0</v>
      </c>
      <c r="B91" t="s">
        <v>312</v>
      </c>
      <c r="C91" t="s">
        <v>348</v>
      </c>
      <c r="D91" t="s">
        <v>2</v>
      </c>
      <c r="E91" t="s">
        <v>348</v>
      </c>
      <c r="F91" t="s">
        <v>13</v>
      </c>
      <c r="G91" t="s">
        <v>525</v>
      </c>
    </row>
    <row r="92" spans="1:7" x14ac:dyDescent="0.3">
      <c r="A92">
        <v>0</v>
      </c>
      <c r="B92" t="s">
        <v>105</v>
      </c>
      <c r="C92" t="s">
        <v>469</v>
      </c>
      <c r="D92" t="s">
        <v>2</v>
      </c>
      <c r="E92" t="s">
        <v>469</v>
      </c>
      <c r="F92" t="s">
        <v>13</v>
      </c>
      <c r="G92" t="s">
        <v>525</v>
      </c>
    </row>
    <row r="93" spans="1:7" x14ac:dyDescent="0.3">
      <c r="A93">
        <v>0</v>
      </c>
      <c r="B93" t="s">
        <v>314</v>
      </c>
      <c r="C93" t="s">
        <v>481</v>
      </c>
      <c r="D93" t="s">
        <v>2</v>
      </c>
      <c r="E93" t="s">
        <v>481</v>
      </c>
      <c r="F93" t="s">
        <v>13</v>
      </c>
      <c r="G93" t="s">
        <v>525</v>
      </c>
    </row>
    <row r="94" spans="1:7" x14ac:dyDescent="0.3">
      <c r="A94">
        <v>0</v>
      </c>
      <c r="B94" t="s">
        <v>312</v>
      </c>
      <c r="C94" t="s">
        <v>398</v>
      </c>
      <c r="D94" t="s">
        <v>2</v>
      </c>
      <c r="E94" t="s">
        <v>398</v>
      </c>
      <c r="F94" t="s">
        <v>13</v>
      </c>
      <c r="G94" t="s">
        <v>525</v>
      </c>
    </row>
    <row r="95" spans="1:7" x14ac:dyDescent="0.3">
      <c r="A95">
        <v>0</v>
      </c>
      <c r="B95" t="s">
        <v>314</v>
      </c>
      <c r="C95" t="s">
        <v>342</v>
      </c>
      <c r="D95" t="s">
        <v>2</v>
      </c>
      <c r="E95" t="s">
        <v>342</v>
      </c>
      <c r="F95" t="s">
        <v>13</v>
      </c>
      <c r="G95" t="s">
        <v>525</v>
      </c>
    </row>
    <row r="96" spans="1:7" x14ac:dyDescent="0.3">
      <c r="A96">
        <v>0</v>
      </c>
      <c r="B96" t="s">
        <v>312</v>
      </c>
      <c r="C96" t="s">
        <v>322</v>
      </c>
      <c r="D96" t="s">
        <v>2</v>
      </c>
      <c r="E96" t="s">
        <v>322</v>
      </c>
      <c r="F96" t="s">
        <v>13</v>
      </c>
      <c r="G96" t="s">
        <v>525</v>
      </c>
    </row>
    <row r="97" spans="1:7" x14ac:dyDescent="0.3">
      <c r="A97">
        <v>0</v>
      </c>
      <c r="B97" t="s">
        <v>314</v>
      </c>
      <c r="C97" t="s">
        <v>409</v>
      </c>
      <c r="D97" t="s">
        <v>2</v>
      </c>
      <c r="E97" t="s">
        <v>409</v>
      </c>
      <c r="F97" t="s">
        <v>13</v>
      </c>
      <c r="G97" t="s">
        <v>525</v>
      </c>
    </row>
    <row r="98" spans="1:7" x14ac:dyDescent="0.3">
      <c r="A98">
        <v>0</v>
      </c>
      <c r="B98" t="s">
        <v>314</v>
      </c>
      <c r="C98" t="s">
        <v>480</v>
      </c>
      <c r="D98" t="s">
        <v>2</v>
      </c>
      <c r="E98" t="s">
        <v>480</v>
      </c>
      <c r="F98" t="s">
        <v>13</v>
      </c>
      <c r="G98" t="s">
        <v>525</v>
      </c>
    </row>
    <row r="99" spans="1:7" x14ac:dyDescent="0.3">
      <c r="A99">
        <v>0</v>
      </c>
      <c r="B99" t="s">
        <v>105</v>
      </c>
      <c r="C99" t="s">
        <v>121</v>
      </c>
      <c r="D99" t="s">
        <v>2</v>
      </c>
      <c r="E99" t="s">
        <v>121</v>
      </c>
      <c r="F99" t="s">
        <v>13</v>
      </c>
      <c r="G99" t="s">
        <v>525</v>
      </c>
    </row>
    <row r="100" spans="1:7" x14ac:dyDescent="0.3">
      <c r="A100">
        <v>0</v>
      </c>
      <c r="B100" t="s">
        <v>312</v>
      </c>
      <c r="C100" t="s">
        <v>359</v>
      </c>
      <c r="D100" t="s">
        <v>2</v>
      </c>
      <c r="E100" t="s">
        <v>359</v>
      </c>
      <c r="F100" t="s">
        <v>13</v>
      </c>
      <c r="G100" t="s">
        <v>525</v>
      </c>
    </row>
    <row r="101" spans="1:7" x14ac:dyDescent="0.3">
      <c r="A101">
        <v>0</v>
      </c>
      <c r="B101" t="s">
        <v>319</v>
      </c>
      <c r="C101" t="s">
        <v>468</v>
      </c>
      <c r="D101" t="s">
        <v>2</v>
      </c>
      <c r="E101" t="s">
        <v>468</v>
      </c>
      <c r="F101" t="s">
        <v>13</v>
      </c>
      <c r="G101" t="s">
        <v>525</v>
      </c>
    </row>
    <row r="102" spans="1:7" x14ac:dyDescent="0.3">
      <c r="A102">
        <v>0</v>
      </c>
      <c r="B102" t="s">
        <v>319</v>
      </c>
      <c r="C102" t="s">
        <v>458</v>
      </c>
      <c r="D102" t="s">
        <v>2</v>
      </c>
      <c r="E102" t="s">
        <v>458</v>
      </c>
      <c r="F102" t="s">
        <v>13</v>
      </c>
      <c r="G102" t="s">
        <v>525</v>
      </c>
    </row>
    <row r="103" spans="1:7" x14ac:dyDescent="0.3">
      <c r="A103">
        <v>0</v>
      </c>
      <c r="B103" t="s">
        <v>312</v>
      </c>
      <c r="C103" t="s">
        <v>370</v>
      </c>
      <c r="D103" t="s">
        <v>2</v>
      </c>
      <c r="E103" t="s">
        <v>370</v>
      </c>
      <c r="F103" t="s">
        <v>13</v>
      </c>
      <c r="G103" t="s">
        <v>525</v>
      </c>
    </row>
    <row r="104" spans="1:7" x14ac:dyDescent="0.3">
      <c r="A104">
        <v>0</v>
      </c>
      <c r="B104" t="s">
        <v>57</v>
      </c>
      <c r="C104" t="s">
        <v>114</v>
      </c>
      <c r="D104" t="s">
        <v>2</v>
      </c>
      <c r="E104" t="s">
        <v>114</v>
      </c>
      <c r="F104" t="s">
        <v>13</v>
      </c>
      <c r="G104" t="s">
        <v>525</v>
      </c>
    </row>
    <row r="105" spans="1:7" x14ac:dyDescent="0.3">
      <c r="A105">
        <v>0</v>
      </c>
      <c r="B105" t="s">
        <v>319</v>
      </c>
      <c r="C105" t="s">
        <v>404</v>
      </c>
      <c r="D105" t="s">
        <v>2</v>
      </c>
      <c r="E105" t="s">
        <v>404</v>
      </c>
      <c r="F105" t="s">
        <v>13</v>
      </c>
      <c r="G105" t="s">
        <v>525</v>
      </c>
    </row>
    <row r="106" spans="1:7" x14ac:dyDescent="0.3">
      <c r="A106">
        <v>0</v>
      </c>
      <c r="B106" t="s">
        <v>312</v>
      </c>
      <c r="C106" t="s">
        <v>369</v>
      </c>
      <c r="D106" t="s">
        <v>2</v>
      </c>
      <c r="E106" t="s">
        <v>369</v>
      </c>
      <c r="F106" t="s">
        <v>13</v>
      </c>
      <c r="G106" t="s">
        <v>525</v>
      </c>
    </row>
    <row r="107" spans="1:7" x14ac:dyDescent="0.3">
      <c r="A107">
        <v>0</v>
      </c>
      <c r="B107" t="s">
        <v>57</v>
      </c>
      <c r="C107" t="s">
        <v>122</v>
      </c>
      <c r="D107" t="s">
        <v>2</v>
      </c>
      <c r="E107" t="s">
        <v>122</v>
      </c>
      <c r="F107" t="s">
        <v>13</v>
      </c>
      <c r="G107" t="s">
        <v>525</v>
      </c>
    </row>
    <row r="108" spans="1:7" x14ac:dyDescent="0.3">
      <c r="A108">
        <v>0</v>
      </c>
      <c r="B108" t="s">
        <v>319</v>
      </c>
      <c r="C108" t="s">
        <v>390</v>
      </c>
      <c r="D108" t="s">
        <v>2</v>
      </c>
      <c r="E108" t="s">
        <v>390</v>
      </c>
      <c r="F108" t="s">
        <v>13</v>
      </c>
      <c r="G108" t="s">
        <v>525</v>
      </c>
    </row>
    <row r="109" spans="1:7" x14ac:dyDescent="0.3">
      <c r="A109">
        <v>0</v>
      </c>
      <c r="B109" t="s">
        <v>312</v>
      </c>
      <c r="C109" t="s">
        <v>492</v>
      </c>
      <c r="D109" t="s">
        <v>2</v>
      </c>
      <c r="E109" t="s">
        <v>492</v>
      </c>
      <c r="F109" t="s">
        <v>13</v>
      </c>
      <c r="G109" t="s">
        <v>525</v>
      </c>
    </row>
    <row r="110" spans="1:7" x14ac:dyDescent="0.3">
      <c r="A110">
        <v>0</v>
      </c>
      <c r="B110" t="s">
        <v>312</v>
      </c>
      <c r="C110" t="s">
        <v>345</v>
      </c>
      <c r="D110" t="s">
        <v>2</v>
      </c>
      <c r="E110" t="s">
        <v>345</v>
      </c>
      <c r="F110" t="s">
        <v>13</v>
      </c>
      <c r="G110" t="s">
        <v>525</v>
      </c>
    </row>
    <row r="111" spans="1:7" x14ac:dyDescent="0.3">
      <c r="A111">
        <v>0</v>
      </c>
      <c r="B111" t="s">
        <v>314</v>
      </c>
      <c r="C111" t="s">
        <v>374</v>
      </c>
      <c r="D111" t="s">
        <v>2</v>
      </c>
      <c r="E111" t="s">
        <v>374</v>
      </c>
      <c r="F111" t="s">
        <v>13</v>
      </c>
      <c r="G111" t="s">
        <v>525</v>
      </c>
    </row>
    <row r="112" spans="1:7" x14ac:dyDescent="0.3">
      <c r="A112">
        <v>0</v>
      </c>
      <c r="B112" t="s">
        <v>105</v>
      </c>
      <c r="C112" t="s">
        <v>124</v>
      </c>
      <c r="D112" t="s">
        <v>2</v>
      </c>
      <c r="E112" t="s">
        <v>124</v>
      </c>
      <c r="F112" t="s">
        <v>13</v>
      </c>
      <c r="G112" t="s">
        <v>525</v>
      </c>
    </row>
    <row r="113" spans="1:7" x14ac:dyDescent="0.3">
      <c r="A113">
        <v>0</v>
      </c>
      <c r="B113" t="s">
        <v>312</v>
      </c>
      <c r="C113" t="s">
        <v>440</v>
      </c>
      <c r="D113" t="s">
        <v>2</v>
      </c>
      <c r="E113" t="s">
        <v>440</v>
      </c>
      <c r="F113" t="s">
        <v>13</v>
      </c>
      <c r="G113" t="s">
        <v>525</v>
      </c>
    </row>
    <row r="114" spans="1:7" x14ac:dyDescent="0.3">
      <c r="A114">
        <v>0</v>
      </c>
      <c r="B114" t="s">
        <v>312</v>
      </c>
      <c r="C114" t="s">
        <v>316</v>
      </c>
      <c r="D114" t="s">
        <v>2</v>
      </c>
      <c r="E114" t="s">
        <v>316</v>
      </c>
      <c r="F114" t="s">
        <v>13</v>
      </c>
      <c r="G114" t="s">
        <v>525</v>
      </c>
    </row>
    <row r="115" spans="1:7" x14ac:dyDescent="0.3">
      <c r="A115">
        <v>0</v>
      </c>
      <c r="B115" t="s">
        <v>312</v>
      </c>
      <c r="C115" t="s">
        <v>427</v>
      </c>
      <c r="D115" t="s">
        <v>2</v>
      </c>
      <c r="E115" t="s">
        <v>427</v>
      </c>
      <c r="F115" t="s">
        <v>13</v>
      </c>
      <c r="G115" t="s">
        <v>525</v>
      </c>
    </row>
    <row r="116" spans="1:7" x14ac:dyDescent="0.3">
      <c r="A116">
        <v>0</v>
      </c>
      <c r="B116" t="s">
        <v>312</v>
      </c>
      <c r="C116" t="s">
        <v>332</v>
      </c>
      <c r="D116" t="s">
        <v>2</v>
      </c>
      <c r="E116" t="s">
        <v>332</v>
      </c>
      <c r="F116" t="s">
        <v>13</v>
      </c>
      <c r="G116" t="s">
        <v>525</v>
      </c>
    </row>
    <row r="117" spans="1:7" x14ac:dyDescent="0.3">
      <c r="A117">
        <v>0</v>
      </c>
      <c r="B117" t="s">
        <v>312</v>
      </c>
      <c r="C117" t="s">
        <v>336</v>
      </c>
      <c r="D117" t="s">
        <v>2</v>
      </c>
      <c r="E117" t="s">
        <v>336</v>
      </c>
      <c r="F117" t="s">
        <v>13</v>
      </c>
      <c r="G117" t="s">
        <v>525</v>
      </c>
    </row>
    <row r="118" spans="1:7" x14ac:dyDescent="0.3">
      <c r="A118">
        <v>0</v>
      </c>
      <c r="B118" t="s">
        <v>314</v>
      </c>
      <c r="C118" t="s">
        <v>393</v>
      </c>
      <c r="D118" t="s">
        <v>2</v>
      </c>
      <c r="E118" t="s">
        <v>393</v>
      </c>
      <c r="F118" t="s">
        <v>13</v>
      </c>
      <c r="G118" t="s">
        <v>525</v>
      </c>
    </row>
    <row r="119" spans="1:7" x14ac:dyDescent="0.3">
      <c r="A119">
        <v>0</v>
      </c>
      <c r="B119" t="s">
        <v>312</v>
      </c>
      <c r="C119" t="s">
        <v>339</v>
      </c>
      <c r="D119" t="s">
        <v>2</v>
      </c>
      <c r="E119" t="s">
        <v>339</v>
      </c>
      <c r="F119" t="s">
        <v>13</v>
      </c>
      <c r="G119" t="s">
        <v>525</v>
      </c>
    </row>
    <row r="120" spans="1:7" x14ac:dyDescent="0.3">
      <c r="A120">
        <v>0</v>
      </c>
      <c r="B120" t="s">
        <v>312</v>
      </c>
      <c r="C120" t="s">
        <v>400</v>
      </c>
      <c r="D120" t="s">
        <v>2</v>
      </c>
      <c r="E120" t="s">
        <v>400</v>
      </c>
      <c r="F120" t="s">
        <v>13</v>
      </c>
      <c r="G120" t="s">
        <v>525</v>
      </c>
    </row>
    <row r="121" spans="1:7" x14ac:dyDescent="0.3">
      <c r="A121">
        <v>0</v>
      </c>
      <c r="B121" t="s">
        <v>312</v>
      </c>
      <c r="C121" t="s">
        <v>380</v>
      </c>
      <c r="D121" t="s">
        <v>2</v>
      </c>
      <c r="E121" t="s">
        <v>380</v>
      </c>
      <c r="F121" t="s">
        <v>13</v>
      </c>
      <c r="G121" t="s">
        <v>525</v>
      </c>
    </row>
    <row r="122" spans="1:7" x14ac:dyDescent="0.3">
      <c r="A122">
        <v>0</v>
      </c>
      <c r="B122" t="s">
        <v>312</v>
      </c>
      <c r="C122" t="s">
        <v>442</v>
      </c>
      <c r="D122" t="s">
        <v>2</v>
      </c>
      <c r="E122" t="s">
        <v>442</v>
      </c>
      <c r="F122" t="s">
        <v>13</v>
      </c>
      <c r="G122" t="s">
        <v>525</v>
      </c>
    </row>
    <row r="123" spans="1:7" x14ac:dyDescent="0.3">
      <c r="A123">
        <v>0</v>
      </c>
      <c r="B123" t="s">
        <v>314</v>
      </c>
      <c r="C123" t="s">
        <v>349</v>
      </c>
      <c r="D123" t="s">
        <v>2</v>
      </c>
      <c r="E123" t="s">
        <v>349</v>
      </c>
      <c r="F123" t="s">
        <v>13</v>
      </c>
      <c r="G123" t="s">
        <v>525</v>
      </c>
    </row>
    <row r="124" spans="1:7" x14ac:dyDescent="0.3">
      <c r="A124">
        <v>0</v>
      </c>
      <c r="B124" t="s">
        <v>57</v>
      </c>
      <c r="C124" t="s">
        <v>470</v>
      </c>
      <c r="D124" t="s">
        <v>2</v>
      </c>
      <c r="E124" t="s">
        <v>470</v>
      </c>
      <c r="F124" t="s">
        <v>13</v>
      </c>
      <c r="G124" t="s">
        <v>525</v>
      </c>
    </row>
    <row r="125" spans="1:7" x14ac:dyDescent="0.3">
      <c r="A125">
        <v>0</v>
      </c>
      <c r="B125" t="s">
        <v>319</v>
      </c>
      <c r="C125" t="s">
        <v>463</v>
      </c>
      <c r="D125" t="s">
        <v>2</v>
      </c>
      <c r="E125" t="s">
        <v>463</v>
      </c>
      <c r="F125" t="s">
        <v>13</v>
      </c>
      <c r="G125" t="s">
        <v>525</v>
      </c>
    </row>
    <row r="126" spans="1:7" x14ac:dyDescent="0.3">
      <c r="A126">
        <v>0</v>
      </c>
      <c r="B126" t="s">
        <v>314</v>
      </c>
      <c r="C126" t="s">
        <v>343</v>
      </c>
      <c r="D126" t="s">
        <v>2</v>
      </c>
      <c r="E126" t="s">
        <v>343</v>
      </c>
      <c r="F126" t="s">
        <v>13</v>
      </c>
      <c r="G126" t="s">
        <v>525</v>
      </c>
    </row>
    <row r="127" spans="1:7" x14ac:dyDescent="0.3">
      <c r="A127">
        <v>0</v>
      </c>
      <c r="B127" t="s">
        <v>312</v>
      </c>
      <c r="C127" t="s">
        <v>371</v>
      </c>
      <c r="D127" t="s">
        <v>2</v>
      </c>
      <c r="E127" t="s">
        <v>371</v>
      </c>
      <c r="F127" t="s">
        <v>13</v>
      </c>
      <c r="G127" t="s">
        <v>525</v>
      </c>
    </row>
    <row r="128" spans="1:7" x14ac:dyDescent="0.3">
      <c r="A128">
        <v>0</v>
      </c>
      <c r="B128" t="s">
        <v>312</v>
      </c>
      <c r="C128" t="s">
        <v>366</v>
      </c>
      <c r="D128" t="s">
        <v>2</v>
      </c>
      <c r="E128" t="s">
        <v>366</v>
      </c>
      <c r="F128" t="s">
        <v>13</v>
      </c>
      <c r="G128" t="s">
        <v>525</v>
      </c>
    </row>
    <row r="129" spans="1:7" x14ac:dyDescent="0.3">
      <c r="A129">
        <v>0</v>
      </c>
      <c r="B129" t="s">
        <v>312</v>
      </c>
      <c r="C129" t="s">
        <v>384</v>
      </c>
      <c r="D129" t="s">
        <v>2</v>
      </c>
      <c r="E129" t="s">
        <v>384</v>
      </c>
      <c r="F129" t="s">
        <v>13</v>
      </c>
      <c r="G129" t="s">
        <v>525</v>
      </c>
    </row>
    <row r="130" spans="1:7" x14ac:dyDescent="0.3">
      <c r="A130">
        <v>0</v>
      </c>
      <c r="B130" t="s">
        <v>319</v>
      </c>
      <c r="C130" t="s">
        <v>464</v>
      </c>
      <c r="D130" t="s">
        <v>2</v>
      </c>
      <c r="E130" t="s">
        <v>464</v>
      </c>
      <c r="F130" t="s">
        <v>13</v>
      </c>
      <c r="G130" t="s">
        <v>525</v>
      </c>
    </row>
    <row r="131" spans="1:7" x14ac:dyDescent="0.3">
      <c r="A131">
        <v>0</v>
      </c>
      <c r="B131" t="s">
        <v>312</v>
      </c>
      <c r="C131" t="s">
        <v>323</v>
      </c>
      <c r="D131" t="s">
        <v>2</v>
      </c>
      <c r="E131" t="s">
        <v>323</v>
      </c>
      <c r="F131" t="s">
        <v>13</v>
      </c>
      <c r="G131" t="s">
        <v>525</v>
      </c>
    </row>
    <row r="132" spans="1:7" x14ac:dyDescent="0.3">
      <c r="A132">
        <v>0</v>
      </c>
      <c r="B132" t="s">
        <v>314</v>
      </c>
      <c r="C132" t="s">
        <v>414</v>
      </c>
      <c r="D132" t="s">
        <v>2</v>
      </c>
      <c r="E132" t="s">
        <v>414</v>
      </c>
      <c r="F132" t="s">
        <v>13</v>
      </c>
      <c r="G132" t="s">
        <v>525</v>
      </c>
    </row>
    <row r="133" spans="1:7" x14ac:dyDescent="0.3">
      <c r="A133">
        <v>0</v>
      </c>
      <c r="B133" t="s">
        <v>312</v>
      </c>
      <c r="C133" t="s">
        <v>261</v>
      </c>
      <c r="D133" t="s">
        <v>2</v>
      </c>
      <c r="E133" t="s">
        <v>261</v>
      </c>
      <c r="F133" t="s">
        <v>13</v>
      </c>
      <c r="G133" t="s">
        <v>525</v>
      </c>
    </row>
    <row r="134" spans="1:7" x14ac:dyDescent="0.3">
      <c r="A134">
        <v>0</v>
      </c>
      <c r="B134" t="s">
        <v>319</v>
      </c>
      <c r="C134" t="s">
        <v>364</v>
      </c>
      <c r="D134" t="s">
        <v>2</v>
      </c>
      <c r="E134" t="s">
        <v>364</v>
      </c>
      <c r="F134" t="s">
        <v>13</v>
      </c>
      <c r="G134" t="s">
        <v>525</v>
      </c>
    </row>
    <row r="135" spans="1:7" x14ac:dyDescent="0.3">
      <c r="A135">
        <v>0</v>
      </c>
      <c r="B135" t="s">
        <v>312</v>
      </c>
      <c r="C135" t="s">
        <v>373</v>
      </c>
      <c r="D135" t="s">
        <v>2</v>
      </c>
      <c r="E135" t="s">
        <v>373</v>
      </c>
      <c r="F135" t="s">
        <v>13</v>
      </c>
      <c r="G135" t="s">
        <v>525</v>
      </c>
    </row>
    <row r="136" spans="1:7" x14ac:dyDescent="0.3">
      <c r="A136">
        <v>0</v>
      </c>
      <c r="B136" t="s">
        <v>312</v>
      </c>
      <c r="C136" t="s">
        <v>482</v>
      </c>
      <c r="D136" t="s">
        <v>2</v>
      </c>
      <c r="E136" t="s">
        <v>482</v>
      </c>
      <c r="F136" t="s">
        <v>13</v>
      </c>
      <c r="G136" t="s">
        <v>525</v>
      </c>
    </row>
    <row r="137" spans="1:7" x14ac:dyDescent="0.3">
      <c r="A137">
        <v>0</v>
      </c>
      <c r="B137" t="s">
        <v>312</v>
      </c>
      <c r="C137" t="s">
        <v>412</v>
      </c>
      <c r="D137" t="s">
        <v>2</v>
      </c>
      <c r="E137" t="s">
        <v>412</v>
      </c>
      <c r="F137" t="s">
        <v>13</v>
      </c>
      <c r="G137" t="s">
        <v>525</v>
      </c>
    </row>
    <row r="138" spans="1:7" x14ac:dyDescent="0.3">
      <c r="A138">
        <v>0</v>
      </c>
      <c r="B138" t="s">
        <v>312</v>
      </c>
      <c r="C138" t="s">
        <v>434</v>
      </c>
      <c r="D138" t="s">
        <v>2</v>
      </c>
      <c r="E138" t="s">
        <v>434</v>
      </c>
      <c r="F138" t="s">
        <v>13</v>
      </c>
      <c r="G138" t="s">
        <v>525</v>
      </c>
    </row>
    <row r="139" spans="1:7" x14ac:dyDescent="0.3">
      <c r="A139">
        <v>0</v>
      </c>
      <c r="B139" t="s">
        <v>314</v>
      </c>
      <c r="C139" t="s">
        <v>443</v>
      </c>
      <c r="D139" t="s">
        <v>2</v>
      </c>
      <c r="E139" t="s">
        <v>443</v>
      </c>
      <c r="F139" t="s">
        <v>13</v>
      </c>
      <c r="G139" t="s">
        <v>525</v>
      </c>
    </row>
    <row r="140" spans="1:7" x14ac:dyDescent="0.3">
      <c r="A140">
        <v>0</v>
      </c>
      <c r="B140" t="s">
        <v>319</v>
      </c>
      <c r="C140" t="s">
        <v>430</v>
      </c>
      <c r="D140" t="s">
        <v>2</v>
      </c>
      <c r="E140" t="s">
        <v>430</v>
      </c>
      <c r="F140" t="s">
        <v>13</v>
      </c>
      <c r="G140" t="s">
        <v>525</v>
      </c>
    </row>
    <row r="141" spans="1:7" x14ac:dyDescent="0.3">
      <c r="A141">
        <v>0</v>
      </c>
      <c r="B141" t="s">
        <v>314</v>
      </c>
      <c r="C141" t="s">
        <v>408</v>
      </c>
      <c r="D141" t="s">
        <v>2</v>
      </c>
      <c r="E141" t="s">
        <v>408</v>
      </c>
      <c r="F141" t="s">
        <v>13</v>
      </c>
      <c r="G141" t="s">
        <v>525</v>
      </c>
    </row>
    <row r="142" spans="1:7" x14ac:dyDescent="0.3">
      <c r="A142">
        <v>0</v>
      </c>
      <c r="B142" t="s">
        <v>312</v>
      </c>
      <c r="C142" t="s">
        <v>138</v>
      </c>
      <c r="D142" t="s">
        <v>2</v>
      </c>
      <c r="E142" t="s">
        <v>138</v>
      </c>
      <c r="F142" t="s">
        <v>13</v>
      </c>
      <c r="G142" t="s">
        <v>525</v>
      </c>
    </row>
    <row r="143" spans="1:7" x14ac:dyDescent="0.3">
      <c r="A143">
        <v>0</v>
      </c>
      <c r="B143" t="s">
        <v>312</v>
      </c>
      <c r="C143" t="s">
        <v>275</v>
      </c>
      <c r="D143" t="s">
        <v>2</v>
      </c>
      <c r="E143" t="s">
        <v>275</v>
      </c>
      <c r="F143" t="s">
        <v>13</v>
      </c>
      <c r="G143" t="s">
        <v>525</v>
      </c>
    </row>
    <row r="144" spans="1:7" x14ac:dyDescent="0.3">
      <c r="A144">
        <v>0</v>
      </c>
      <c r="B144" t="s">
        <v>312</v>
      </c>
      <c r="C144" t="s">
        <v>337</v>
      </c>
      <c r="D144" t="s">
        <v>2</v>
      </c>
      <c r="E144" t="s">
        <v>337</v>
      </c>
      <c r="F144" t="s">
        <v>13</v>
      </c>
      <c r="G144" t="s">
        <v>525</v>
      </c>
    </row>
    <row r="145" spans="1:7" x14ac:dyDescent="0.3">
      <c r="A145">
        <v>0</v>
      </c>
      <c r="B145" t="s">
        <v>312</v>
      </c>
      <c r="C145" t="s">
        <v>331</v>
      </c>
      <c r="D145" t="s">
        <v>2</v>
      </c>
      <c r="E145" t="s">
        <v>331</v>
      </c>
      <c r="F145" t="s">
        <v>13</v>
      </c>
      <c r="G145" t="s">
        <v>525</v>
      </c>
    </row>
    <row r="146" spans="1:7" x14ac:dyDescent="0.3">
      <c r="A146">
        <v>0</v>
      </c>
      <c r="B146" t="s">
        <v>312</v>
      </c>
      <c r="C146" t="s">
        <v>452</v>
      </c>
      <c r="D146" t="s">
        <v>2</v>
      </c>
      <c r="E146" t="s">
        <v>452</v>
      </c>
      <c r="F146" t="s">
        <v>13</v>
      </c>
      <c r="G146" t="s">
        <v>525</v>
      </c>
    </row>
    <row r="147" spans="1:7" x14ac:dyDescent="0.3">
      <c r="A147">
        <v>0</v>
      </c>
      <c r="B147" t="s">
        <v>319</v>
      </c>
      <c r="C147" t="s">
        <v>477</v>
      </c>
      <c r="D147" t="s">
        <v>2</v>
      </c>
      <c r="E147" t="s">
        <v>477</v>
      </c>
      <c r="F147" t="s">
        <v>13</v>
      </c>
      <c r="G147" t="s">
        <v>525</v>
      </c>
    </row>
    <row r="148" spans="1:7" x14ac:dyDescent="0.3">
      <c r="A148">
        <v>0</v>
      </c>
      <c r="B148" t="s">
        <v>312</v>
      </c>
      <c r="C148" t="s">
        <v>446</v>
      </c>
      <c r="D148" t="s">
        <v>2</v>
      </c>
      <c r="E148" t="s">
        <v>446</v>
      </c>
      <c r="F148" t="s">
        <v>13</v>
      </c>
      <c r="G148" t="s">
        <v>525</v>
      </c>
    </row>
    <row r="149" spans="1:7" x14ac:dyDescent="0.3">
      <c r="A149">
        <v>0</v>
      </c>
      <c r="B149" t="s">
        <v>319</v>
      </c>
      <c r="C149" t="s">
        <v>491</v>
      </c>
      <c r="D149" t="s">
        <v>2</v>
      </c>
      <c r="E149" t="s">
        <v>491</v>
      </c>
      <c r="F149" t="s">
        <v>13</v>
      </c>
      <c r="G149" t="s">
        <v>525</v>
      </c>
    </row>
    <row r="150" spans="1:7" x14ac:dyDescent="0.3">
      <c r="A150">
        <v>0</v>
      </c>
      <c r="B150" t="s">
        <v>312</v>
      </c>
      <c r="C150" t="s">
        <v>326</v>
      </c>
      <c r="D150" t="s">
        <v>2</v>
      </c>
      <c r="E150" t="s">
        <v>326</v>
      </c>
      <c r="F150" t="s">
        <v>13</v>
      </c>
      <c r="G150" t="s">
        <v>525</v>
      </c>
    </row>
    <row r="151" spans="1:7" x14ac:dyDescent="0.3">
      <c r="A151">
        <v>0</v>
      </c>
      <c r="B151" t="s">
        <v>319</v>
      </c>
      <c r="C151" t="s">
        <v>415</v>
      </c>
      <c r="D151" t="s">
        <v>2</v>
      </c>
      <c r="E151" t="s">
        <v>415</v>
      </c>
      <c r="F151" t="s">
        <v>13</v>
      </c>
      <c r="G151" t="s">
        <v>525</v>
      </c>
    </row>
    <row r="152" spans="1:7" x14ac:dyDescent="0.3">
      <c r="A152">
        <v>0</v>
      </c>
      <c r="B152" t="s">
        <v>314</v>
      </c>
      <c r="C152" t="s">
        <v>451</v>
      </c>
      <c r="D152" t="s">
        <v>2</v>
      </c>
      <c r="E152" t="s">
        <v>451</v>
      </c>
      <c r="F152" t="s">
        <v>13</v>
      </c>
      <c r="G152" t="s">
        <v>525</v>
      </c>
    </row>
    <row r="153" spans="1:7" x14ac:dyDescent="0.3">
      <c r="A153">
        <v>0</v>
      </c>
      <c r="B153" t="s">
        <v>314</v>
      </c>
      <c r="C153" t="s">
        <v>448</v>
      </c>
      <c r="D153" t="s">
        <v>2</v>
      </c>
      <c r="E153" t="s">
        <v>448</v>
      </c>
      <c r="F153" t="s">
        <v>13</v>
      </c>
      <c r="G153" t="s">
        <v>525</v>
      </c>
    </row>
    <row r="154" spans="1:7" x14ac:dyDescent="0.3">
      <c r="A154">
        <v>0</v>
      </c>
      <c r="B154" t="s">
        <v>312</v>
      </c>
      <c r="C154" t="s">
        <v>423</v>
      </c>
      <c r="D154" t="s">
        <v>2</v>
      </c>
      <c r="E154" t="s">
        <v>423</v>
      </c>
      <c r="F154" t="s">
        <v>13</v>
      </c>
      <c r="G154" t="s">
        <v>525</v>
      </c>
    </row>
    <row r="155" spans="1:7" x14ac:dyDescent="0.3">
      <c r="A155">
        <v>0</v>
      </c>
      <c r="B155" t="s">
        <v>319</v>
      </c>
      <c r="C155" t="s">
        <v>361</v>
      </c>
      <c r="D155" t="s">
        <v>2</v>
      </c>
      <c r="E155" t="s">
        <v>361</v>
      </c>
      <c r="F155" t="s">
        <v>13</v>
      </c>
      <c r="G155" t="s">
        <v>525</v>
      </c>
    </row>
    <row r="156" spans="1:7" x14ac:dyDescent="0.3">
      <c r="A156">
        <v>0</v>
      </c>
      <c r="B156" t="s">
        <v>314</v>
      </c>
      <c r="C156" t="s">
        <v>467</v>
      </c>
      <c r="D156" t="s">
        <v>2</v>
      </c>
      <c r="E156" t="s">
        <v>467</v>
      </c>
      <c r="F156" t="s">
        <v>13</v>
      </c>
      <c r="G156" t="s">
        <v>525</v>
      </c>
    </row>
    <row r="157" spans="1:7" x14ac:dyDescent="0.3">
      <c r="A157">
        <v>0</v>
      </c>
      <c r="B157" t="s">
        <v>319</v>
      </c>
      <c r="C157" t="s">
        <v>420</v>
      </c>
      <c r="D157" t="s">
        <v>2</v>
      </c>
      <c r="E157" t="s">
        <v>420</v>
      </c>
      <c r="F157" t="s">
        <v>13</v>
      </c>
      <c r="G157" t="s">
        <v>525</v>
      </c>
    </row>
    <row r="158" spans="1:7" x14ac:dyDescent="0.3">
      <c r="A158">
        <v>0</v>
      </c>
      <c r="B158" t="s">
        <v>314</v>
      </c>
      <c r="C158" t="s">
        <v>487</v>
      </c>
      <c r="D158" t="s">
        <v>2</v>
      </c>
      <c r="E158" t="s">
        <v>487</v>
      </c>
      <c r="F158" t="s">
        <v>13</v>
      </c>
      <c r="G158" t="s">
        <v>525</v>
      </c>
    </row>
    <row r="159" spans="1:7" x14ac:dyDescent="0.3">
      <c r="A159">
        <v>0</v>
      </c>
      <c r="B159" t="s">
        <v>312</v>
      </c>
      <c r="C159" t="s">
        <v>149</v>
      </c>
      <c r="D159" t="s">
        <v>2</v>
      </c>
      <c r="E159" t="s">
        <v>149</v>
      </c>
      <c r="F159" t="s">
        <v>13</v>
      </c>
      <c r="G159" t="s">
        <v>525</v>
      </c>
    </row>
    <row r="160" spans="1:7" x14ac:dyDescent="0.3">
      <c r="A160">
        <v>0</v>
      </c>
      <c r="B160" t="s">
        <v>314</v>
      </c>
      <c r="C160" t="s">
        <v>377</v>
      </c>
      <c r="D160" t="s">
        <v>2</v>
      </c>
      <c r="E160" t="s">
        <v>377</v>
      </c>
      <c r="F160" t="s">
        <v>13</v>
      </c>
      <c r="G160" t="s">
        <v>525</v>
      </c>
    </row>
    <row r="161" spans="1:7" x14ac:dyDescent="0.3">
      <c r="A161">
        <v>0</v>
      </c>
      <c r="B161" t="s">
        <v>312</v>
      </c>
      <c r="C161" t="s">
        <v>403</v>
      </c>
      <c r="D161" t="s">
        <v>2</v>
      </c>
      <c r="E161" t="s">
        <v>403</v>
      </c>
      <c r="F161" t="s">
        <v>13</v>
      </c>
      <c r="G161" t="s">
        <v>525</v>
      </c>
    </row>
    <row r="162" spans="1:7" x14ac:dyDescent="0.3">
      <c r="A162">
        <v>0</v>
      </c>
      <c r="B162" t="s">
        <v>312</v>
      </c>
      <c r="C162" t="s">
        <v>387</v>
      </c>
      <c r="D162" t="s">
        <v>2</v>
      </c>
      <c r="E162" t="s">
        <v>387</v>
      </c>
      <c r="F162" t="s">
        <v>13</v>
      </c>
      <c r="G162" t="s">
        <v>525</v>
      </c>
    </row>
    <row r="163" spans="1:7" x14ac:dyDescent="0.3">
      <c r="A163">
        <v>0</v>
      </c>
      <c r="B163" t="s">
        <v>312</v>
      </c>
      <c r="C163" t="s">
        <v>431</v>
      </c>
      <c r="D163" t="s">
        <v>2</v>
      </c>
      <c r="E163" t="s">
        <v>431</v>
      </c>
      <c r="F163" t="s">
        <v>13</v>
      </c>
      <c r="G163" t="s">
        <v>525</v>
      </c>
    </row>
    <row r="164" spans="1:7" x14ac:dyDescent="0.3">
      <c r="A164">
        <v>0</v>
      </c>
      <c r="B164" t="s">
        <v>319</v>
      </c>
      <c r="C164" t="s">
        <v>459</v>
      </c>
      <c r="D164" t="s">
        <v>2</v>
      </c>
      <c r="E164" t="s">
        <v>459</v>
      </c>
      <c r="F164" t="s">
        <v>13</v>
      </c>
      <c r="G164" t="s">
        <v>525</v>
      </c>
    </row>
    <row r="165" spans="1:7" x14ac:dyDescent="0.3">
      <c r="A165">
        <v>0</v>
      </c>
      <c r="B165" t="s">
        <v>314</v>
      </c>
      <c r="C165" t="s">
        <v>376</v>
      </c>
      <c r="D165" t="s">
        <v>2</v>
      </c>
      <c r="E165" t="s">
        <v>376</v>
      </c>
      <c r="F165" t="s">
        <v>13</v>
      </c>
      <c r="G165" t="s">
        <v>525</v>
      </c>
    </row>
    <row r="166" spans="1:7" x14ac:dyDescent="0.3">
      <c r="A166">
        <v>0</v>
      </c>
      <c r="B166" t="s">
        <v>312</v>
      </c>
      <c r="C166" t="s">
        <v>379</v>
      </c>
      <c r="D166" t="s">
        <v>2</v>
      </c>
      <c r="E166" t="s">
        <v>379</v>
      </c>
      <c r="F166" t="s">
        <v>13</v>
      </c>
      <c r="G166" t="s">
        <v>525</v>
      </c>
    </row>
    <row r="167" spans="1:7" x14ac:dyDescent="0.3">
      <c r="A167">
        <v>0</v>
      </c>
      <c r="B167" t="s">
        <v>314</v>
      </c>
      <c r="C167" t="s">
        <v>445</v>
      </c>
      <c r="D167" t="s">
        <v>2</v>
      </c>
      <c r="E167" t="s">
        <v>445</v>
      </c>
      <c r="F167" t="s">
        <v>13</v>
      </c>
      <c r="G167" t="s">
        <v>525</v>
      </c>
    </row>
    <row r="168" spans="1:7" x14ac:dyDescent="0.3">
      <c r="A168">
        <v>0</v>
      </c>
      <c r="B168" t="s">
        <v>319</v>
      </c>
      <c r="C168" t="s">
        <v>460</v>
      </c>
      <c r="D168" t="s">
        <v>2</v>
      </c>
      <c r="E168" t="s">
        <v>460</v>
      </c>
      <c r="F168" t="s">
        <v>13</v>
      </c>
      <c r="G168" t="s">
        <v>525</v>
      </c>
    </row>
    <row r="169" spans="1:7" x14ac:dyDescent="0.3">
      <c r="A169">
        <v>0</v>
      </c>
      <c r="B169" t="s">
        <v>314</v>
      </c>
      <c r="C169" t="s">
        <v>450</v>
      </c>
      <c r="D169" t="s">
        <v>2</v>
      </c>
      <c r="E169" t="s">
        <v>450</v>
      </c>
      <c r="F169" t="s">
        <v>13</v>
      </c>
      <c r="G169" t="s">
        <v>525</v>
      </c>
    </row>
    <row r="170" spans="1:7" x14ac:dyDescent="0.3">
      <c r="A170">
        <v>0</v>
      </c>
      <c r="B170" t="s">
        <v>312</v>
      </c>
      <c r="C170" t="s">
        <v>473</v>
      </c>
      <c r="D170" t="s">
        <v>2</v>
      </c>
      <c r="E170" t="s">
        <v>473</v>
      </c>
      <c r="F170" t="s">
        <v>13</v>
      </c>
      <c r="G170" t="s">
        <v>525</v>
      </c>
    </row>
    <row r="171" spans="1:7" x14ac:dyDescent="0.3">
      <c r="A171">
        <v>0</v>
      </c>
      <c r="B171" t="s">
        <v>314</v>
      </c>
      <c r="C171" t="s">
        <v>313</v>
      </c>
      <c r="D171" t="s">
        <v>2</v>
      </c>
      <c r="E171" t="s">
        <v>313</v>
      </c>
      <c r="F171" t="s">
        <v>13</v>
      </c>
      <c r="G171" t="s">
        <v>525</v>
      </c>
    </row>
    <row r="172" spans="1:7" x14ac:dyDescent="0.3">
      <c r="A172">
        <v>0</v>
      </c>
      <c r="B172" t="s">
        <v>312</v>
      </c>
      <c r="C172" t="s">
        <v>472</v>
      </c>
      <c r="D172" t="s">
        <v>2</v>
      </c>
      <c r="E172" t="s">
        <v>472</v>
      </c>
      <c r="F172" t="s">
        <v>13</v>
      </c>
      <c r="G172" t="s">
        <v>525</v>
      </c>
    </row>
    <row r="173" spans="1:7" x14ac:dyDescent="0.3">
      <c r="A173">
        <v>0</v>
      </c>
      <c r="B173" t="s">
        <v>312</v>
      </c>
      <c r="C173" t="s">
        <v>402</v>
      </c>
      <c r="D173" t="s">
        <v>2</v>
      </c>
      <c r="E173" t="s">
        <v>402</v>
      </c>
      <c r="F173" t="s">
        <v>13</v>
      </c>
      <c r="G173" t="s">
        <v>525</v>
      </c>
    </row>
    <row r="174" spans="1:7" x14ac:dyDescent="0.3">
      <c r="A174">
        <v>0</v>
      </c>
      <c r="B174" t="s">
        <v>314</v>
      </c>
      <c r="C174" t="s">
        <v>455</v>
      </c>
      <c r="D174" t="s">
        <v>2</v>
      </c>
      <c r="E174" t="s">
        <v>455</v>
      </c>
      <c r="F174" t="s">
        <v>13</v>
      </c>
      <c r="G174" t="s">
        <v>525</v>
      </c>
    </row>
    <row r="175" spans="1:7" x14ac:dyDescent="0.3">
      <c r="A175">
        <v>0</v>
      </c>
      <c r="B175" t="s">
        <v>312</v>
      </c>
      <c r="C175" t="s">
        <v>411</v>
      </c>
      <c r="D175" t="s">
        <v>2</v>
      </c>
      <c r="E175" t="s">
        <v>411</v>
      </c>
      <c r="F175" t="s">
        <v>13</v>
      </c>
      <c r="G175" t="s">
        <v>525</v>
      </c>
    </row>
    <row r="176" spans="1:7" x14ac:dyDescent="0.3">
      <c r="A176">
        <v>0</v>
      </c>
      <c r="B176" t="s">
        <v>312</v>
      </c>
      <c r="C176" t="s">
        <v>488</v>
      </c>
      <c r="D176" t="s">
        <v>2</v>
      </c>
      <c r="E176" t="s">
        <v>488</v>
      </c>
      <c r="F176" t="s">
        <v>13</v>
      </c>
      <c r="G176" t="s">
        <v>525</v>
      </c>
    </row>
    <row r="177" spans="1:7" x14ac:dyDescent="0.3">
      <c r="A177">
        <v>0</v>
      </c>
      <c r="B177" t="s">
        <v>319</v>
      </c>
      <c r="C177" t="s">
        <v>462</v>
      </c>
      <c r="D177" t="s">
        <v>2</v>
      </c>
      <c r="E177" t="s">
        <v>462</v>
      </c>
      <c r="F177" t="s">
        <v>13</v>
      </c>
      <c r="G177" t="s">
        <v>525</v>
      </c>
    </row>
    <row r="178" spans="1:7" x14ac:dyDescent="0.3">
      <c r="A178">
        <v>0</v>
      </c>
      <c r="B178" t="s">
        <v>312</v>
      </c>
      <c r="C178" t="s">
        <v>246</v>
      </c>
      <c r="D178" t="s">
        <v>2</v>
      </c>
      <c r="E178" t="s">
        <v>246</v>
      </c>
      <c r="F178" t="s">
        <v>13</v>
      </c>
      <c r="G178" t="s">
        <v>525</v>
      </c>
    </row>
    <row r="179" spans="1:7" x14ac:dyDescent="0.3">
      <c r="A179">
        <v>0</v>
      </c>
      <c r="B179" t="s">
        <v>312</v>
      </c>
      <c r="C179" t="s">
        <v>357</v>
      </c>
      <c r="D179" t="s">
        <v>2</v>
      </c>
      <c r="E179" t="s">
        <v>357</v>
      </c>
      <c r="F179" t="s">
        <v>13</v>
      </c>
      <c r="G179" t="s">
        <v>525</v>
      </c>
    </row>
    <row r="180" spans="1:7" x14ac:dyDescent="0.3">
      <c r="A180">
        <v>0</v>
      </c>
      <c r="B180" t="s">
        <v>314</v>
      </c>
      <c r="C180" t="s">
        <v>341</v>
      </c>
      <c r="D180" t="s">
        <v>2</v>
      </c>
      <c r="E180" t="s">
        <v>341</v>
      </c>
      <c r="F180" t="s">
        <v>13</v>
      </c>
      <c r="G180" t="s">
        <v>525</v>
      </c>
    </row>
    <row r="181" spans="1:7" x14ac:dyDescent="0.3">
      <c r="A181">
        <v>0</v>
      </c>
      <c r="B181" t="s">
        <v>319</v>
      </c>
      <c r="C181" t="s">
        <v>466</v>
      </c>
      <c r="D181" t="s">
        <v>2</v>
      </c>
      <c r="E181" t="s">
        <v>466</v>
      </c>
      <c r="F181" t="s">
        <v>13</v>
      </c>
      <c r="G181" t="s">
        <v>525</v>
      </c>
    </row>
    <row r="182" spans="1:7" x14ac:dyDescent="0.3">
      <c r="A182">
        <v>0</v>
      </c>
      <c r="B182" t="s">
        <v>319</v>
      </c>
      <c r="C182" t="s">
        <v>362</v>
      </c>
      <c r="D182" t="s">
        <v>2</v>
      </c>
      <c r="E182" t="s">
        <v>362</v>
      </c>
      <c r="F182" t="s">
        <v>13</v>
      </c>
      <c r="G182" t="s">
        <v>525</v>
      </c>
    </row>
    <row r="183" spans="1:7" x14ac:dyDescent="0.3">
      <c r="A183">
        <v>0</v>
      </c>
      <c r="B183" t="s">
        <v>312</v>
      </c>
      <c r="C183" t="s">
        <v>433</v>
      </c>
      <c r="D183" t="s">
        <v>2</v>
      </c>
      <c r="E183" t="s">
        <v>433</v>
      </c>
      <c r="F183" t="s">
        <v>13</v>
      </c>
      <c r="G183" t="s">
        <v>525</v>
      </c>
    </row>
    <row r="184" spans="1:7" x14ac:dyDescent="0.3">
      <c r="A184">
        <v>0</v>
      </c>
      <c r="B184" t="s">
        <v>312</v>
      </c>
      <c r="C184" t="s">
        <v>397</v>
      </c>
      <c r="D184" t="s">
        <v>2</v>
      </c>
      <c r="E184" t="s">
        <v>397</v>
      </c>
      <c r="F184" t="s">
        <v>13</v>
      </c>
      <c r="G184" t="s">
        <v>525</v>
      </c>
    </row>
    <row r="185" spans="1:7" x14ac:dyDescent="0.3">
      <c r="A185">
        <v>0</v>
      </c>
      <c r="B185" t="s">
        <v>319</v>
      </c>
      <c r="C185" t="s">
        <v>378</v>
      </c>
      <c r="D185" t="s">
        <v>2</v>
      </c>
      <c r="E185" t="s">
        <v>378</v>
      </c>
      <c r="F185" t="s">
        <v>13</v>
      </c>
      <c r="G185" t="s">
        <v>525</v>
      </c>
    </row>
    <row r="186" spans="1:7" x14ac:dyDescent="0.3">
      <c r="A186">
        <v>0</v>
      </c>
      <c r="B186" t="s">
        <v>105</v>
      </c>
      <c r="C186" t="s">
        <v>117</v>
      </c>
      <c r="D186" t="s">
        <v>2</v>
      </c>
      <c r="E186" t="s">
        <v>117</v>
      </c>
      <c r="F186" t="s">
        <v>13</v>
      </c>
      <c r="G186" t="s">
        <v>525</v>
      </c>
    </row>
    <row r="187" spans="1:7" x14ac:dyDescent="0.3">
      <c r="A187">
        <v>0</v>
      </c>
      <c r="B187" t="s">
        <v>312</v>
      </c>
      <c r="C187" t="s">
        <v>476</v>
      </c>
      <c r="D187" t="s">
        <v>2</v>
      </c>
      <c r="E187" t="s">
        <v>476</v>
      </c>
      <c r="F187" t="s">
        <v>13</v>
      </c>
      <c r="G187" t="s">
        <v>525</v>
      </c>
    </row>
    <row r="188" spans="1:7" x14ac:dyDescent="0.3">
      <c r="A188">
        <v>0</v>
      </c>
      <c r="B188" t="s">
        <v>319</v>
      </c>
      <c r="C188" t="s">
        <v>478</v>
      </c>
      <c r="D188" t="s">
        <v>2</v>
      </c>
      <c r="E188" t="s">
        <v>478</v>
      </c>
      <c r="F188" t="s">
        <v>13</v>
      </c>
      <c r="G188" t="s">
        <v>525</v>
      </c>
    </row>
    <row r="189" spans="1:7" x14ac:dyDescent="0.3">
      <c r="A189">
        <v>0</v>
      </c>
      <c r="B189" t="s">
        <v>312</v>
      </c>
      <c r="C189" t="s">
        <v>367</v>
      </c>
      <c r="D189" t="s">
        <v>2</v>
      </c>
      <c r="E189" t="s">
        <v>367</v>
      </c>
      <c r="F189" t="s">
        <v>13</v>
      </c>
      <c r="G189" t="s">
        <v>525</v>
      </c>
    </row>
    <row r="190" spans="1:7" x14ac:dyDescent="0.3">
      <c r="A190">
        <v>0</v>
      </c>
      <c r="B190" t="s">
        <v>312</v>
      </c>
      <c r="C190" t="s">
        <v>346</v>
      </c>
      <c r="D190" t="s">
        <v>2</v>
      </c>
      <c r="E190" t="s">
        <v>346</v>
      </c>
      <c r="F190" t="s">
        <v>13</v>
      </c>
      <c r="G190" t="s">
        <v>525</v>
      </c>
    </row>
    <row r="191" spans="1:7" x14ac:dyDescent="0.3">
      <c r="A191">
        <v>0</v>
      </c>
      <c r="B191" t="s">
        <v>105</v>
      </c>
      <c r="C191" t="s">
        <v>119</v>
      </c>
      <c r="D191" t="s">
        <v>2</v>
      </c>
      <c r="E191" t="s">
        <v>119</v>
      </c>
      <c r="F191" t="s">
        <v>13</v>
      </c>
      <c r="G191" t="s">
        <v>525</v>
      </c>
    </row>
    <row r="192" spans="1:7" x14ac:dyDescent="0.3">
      <c r="A192">
        <v>0</v>
      </c>
      <c r="B192" t="s">
        <v>312</v>
      </c>
      <c r="C192" t="s">
        <v>385</v>
      </c>
      <c r="D192" t="s">
        <v>2</v>
      </c>
      <c r="E192" t="s">
        <v>385</v>
      </c>
      <c r="F192" t="s">
        <v>13</v>
      </c>
      <c r="G192" t="s">
        <v>525</v>
      </c>
    </row>
    <row r="193" spans="1:7" x14ac:dyDescent="0.3">
      <c r="A193">
        <v>0</v>
      </c>
      <c r="B193" t="s">
        <v>57</v>
      </c>
      <c r="C193" t="s">
        <v>120</v>
      </c>
      <c r="D193" t="s">
        <v>2</v>
      </c>
      <c r="E193" t="s">
        <v>120</v>
      </c>
      <c r="F193" t="s">
        <v>13</v>
      </c>
      <c r="G193" t="s">
        <v>525</v>
      </c>
    </row>
    <row r="194" spans="1:7" x14ac:dyDescent="0.3">
      <c r="A194">
        <v>0</v>
      </c>
      <c r="B194" t="s">
        <v>312</v>
      </c>
      <c r="C194" t="s">
        <v>324</v>
      </c>
      <c r="D194" t="s">
        <v>2</v>
      </c>
      <c r="E194" t="s">
        <v>324</v>
      </c>
      <c r="F194" t="s">
        <v>13</v>
      </c>
      <c r="G194" t="s">
        <v>525</v>
      </c>
    </row>
    <row r="195" spans="1:7" x14ac:dyDescent="0.3">
      <c r="A195">
        <v>0</v>
      </c>
      <c r="B195" t="s">
        <v>312</v>
      </c>
      <c r="C195" t="s">
        <v>327</v>
      </c>
      <c r="D195" t="s">
        <v>2</v>
      </c>
      <c r="E195" t="s">
        <v>327</v>
      </c>
      <c r="F195" t="s">
        <v>13</v>
      </c>
      <c r="G195" t="s">
        <v>525</v>
      </c>
    </row>
    <row r="196" spans="1:7" x14ac:dyDescent="0.3">
      <c r="A196">
        <v>0</v>
      </c>
      <c r="B196" t="s">
        <v>314</v>
      </c>
      <c r="C196" t="s">
        <v>441</v>
      </c>
      <c r="D196" t="s">
        <v>2</v>
      </c>
      <c r="E196" t="s">
        <v>441</v>
      </c>
      <c r="F196" t="s">
        <v>13</v>
      </c>
      <c r="G196" t="s">
        <v>525</v>
      </c>
    </row>
    <row r="197" spans="1:7" x14ac:dyDescent="0.3">
      <c r="A197">
        <v>0</v>
      </c>
      <c r="B197" t="s">
        <v>105</v>
      </c>
      <c r="C197" t="s">
        <v>115</v>
      </c>
      <c r="D197" t="s">
        <v>2</v>
      </c>
      <c r="E197" t="s">
        <v>115</v>
      </c>
      <c r="F197" t="s">
        <v>13</v>
      </c>
      <c r="G197" t="s">
        <v>525</v>
      </c>
    </row>
    <row r="198" spans="1:7" x14ac:dyDescent="0.3">
      <c r="A198">
        <v>0</v>
      </c>
      <c r="B198" t="s">
        <v>312</v>
      </c>
      <c r="C198" t="s">
        <v>484</v>
      </c>
      <c r="D198" t="s">
        <v>2</v>
      </c>
      <c r="E198" t="s">
        <v>484</v>
      </c>
      <c r="F198" t="s">
        <v>13</v>
      </c>
      <c r="G198" t="s">
        <v>525</v>
      </c>
    </row>
    <row r="199" spans="1:7" x14ac:dyDescent="0.3">
      <c r="A199">
        <v>0</v>
      </c>
      <c r="B199" t="s">
        <v>312</v>
      </c>
      <c r="C199" t="s">
        <v>311</v>
      </c>
      <c r="D199" t="s">
        <v>2</v>
      </c>
      <c r="E199" t="s">
        <v>311</v>
      </c>
      <c r="F199" t="s">
        <v>13</v>
      </c>
      <c r="G199" t="s">
        <v>525</v>
      </c>
    </row>
    <row r="200" spans="1:7" x14ac:dyDescent="0.3">
      <c r="A200">
        <v>0</v>
      </c>
      <c r="B200" t="s">
        <v>312</v>
      </c>
      <c r="C200" t="s">
        <v>365</v>
      </c>
      <c r="D200" t="s">
        <v>2</v>
      </c>
      <c r="E200" t="s">
        <v>365</v>
      </c>
      <c r="F200" t="s">
        <v>13</v>
      </c>
      <c r="G200" t="s">
        <v>525</v>
      </c>
    </row>
    <row r="201" spans="1:7" x14ac:dyDescent="0.3">
      <c r="A201">
        <v>0</v>
      </c>
      <c r="B201" t="s">
        <v>314</v>
      </c>
      <c r="C201" t="s">
        <v>350</v>
      </c>
      <c r="D201" t="s">
        <v>2</v>
      </c>
      <c r="E201" t="s">
        <v>350</v>
      </c>
      <c r="F201" t="s">
        <v>13</v>
      </c>
      <c r="G201" t="s">
        <v>525</v>
      </c>
    </row>
    <row r="202" spans="1:7" x14ac:dyDescent="0.3">
      <c r="A202">
        <v>0</v>
      </c>
      <c r="B202" t="s">
        <v>105</v>
      </c>
      <c r="C202" t="s">
        <v>123</v>
      </c>
      <c r="D202" t="s">
        <v>2</v>
      </c>
      <c r="E202" t="s">
        <v>123</v>
      </c>
      <c r="F202" t="s">
        <v>13</v>
      </c>
      <c r="G202" t="s">
        <v>525</v>
      </c>
    </row>
    <row r="203" spans="1:7" x14ac:dyDescent="0.3">
      <c r="A203">
        <v>0</v>
      </c>
      <c r="B203" t="s">
        <v>312</v>
      </c>
      <c r="C203" t="s">
        <v>396</v>
      </c>
      <c r="D203" t="s">
        <v>2</v>
      </c>
      <c r="E203" t="s">
        <v>396</v>
      </c>
      <c r="F203" t="s">
        <v>13</v>
      </c>
      <c r="G203" t="s">
        <v>525</v>
      </c>
    </row>
    <row r="204" spans="1:7" x14ac:dyDescent="0.3">
      <c r="A204">
        <v>0</v>
      </c>
      <c r="B204" t="s">
        <v>312</v>
      </c>
      <c r="C204" t="s">
        <v>428</v>
      </c>
      <c r="D204" t="s">
        <v>2</v>
      </c>
      <c r="E204" t="s">
        <v>428</v>
      </c>
      <c r="F204" t="s">
        <v>13</v>
      </c>
      <c r="G204" t="s">
        <v>525</v>
      </c>
    </row>
    <row r="205" spans="1:7" x14ac:dyDescent="0.3">
      <c r="A205">
        <v>0</v>
      </c>
      <c r="B205" t="s">
        <v>312</v>
      </c>
      <c r="C205" t="s">
        <v>383</v>
      </c>
      <c r="D205" t="s">
        <v>2</v>
      </c>
      <c r="E205" t="s">
        <v>383</v>
      </c>
      <c r="F205" t="s">
        <v>13</v>
      </c>
      <c r="G205" t="s">
        <v>525</v>
      </c>
    </row>
    <row r="206" spans="1:7" x14ac:dyDescent="0.3">
      <c r="A206">
        <v>0</v>
      </c>
      <c r="B206" t="s">
        <v>312</v>
      </c>
      <c r="C206" t="s">
        <v>426</v>
      </c>
      <c r="D206" t="s">
        <v>2</v>
      </c>
      <c r="E206" t="s">
        <v>426</v>
      </c>
      <c r="F206" t="s">
        <v>13</v>
      </c>
      <c r="G206" t="s">
        <v>525</v>
      </c>
    </row>
    <row r="207" spans="1:7" x14ac:dyDescent="0.3">
      <c r="A207">
        <v>0</v>
      </c>
      <c r="B207" t="s">
        <v>312</v>
      </c>
      <c r="C207" t="s">
        <v>437</v>
      </c>
      <c r="D207" t="s">
        <v>2</v>
      </c>
      <c r="E207" t="s">
        <v>437</v>
      </c>
      <c r="F207" t="s">
        <v>13</v>
      </c>
      <c r="G207" t="s">
        <v>525</v>
      </c>
    </row>
    <row r="208" spans="1:7" x14ac:dyDescent="0.3">
      <c r="A208">
        <v>0</v>
      </c>
      <c r="B208" t="s">
        <v>312</v>
      </c>
      <c r="C208" t="s">
        <v>454</v>
      </c>
      <c r="D208" t="s">
        <v>2</v>
      </c>
      <c r="E208" t="s">
        <v>454</v>
      </c>
      <c r="F208" t="s">
        <v>13</v>
      </c>
      <c r="G208" t="s">
        <v>525</v>
      </c>
    </row>
    <row r="209" spans="1:7" x14ac:dyDescent="0.3">
      <c r="A209">
        <v>0</v>
      </c>
      <c r="B209" t="s">
        <v>312</v>
      </c>
      <c r="C209" t="s">
        <v>425</v>
      </c>
      <c r="D209" t="s">
        <v>2</v>
      </c>
      <c r="E209" t="s">
        <v>425</v>
      </c>
      <c r="F209" t="s">
        <v>13</v>
      </c>
      <c r="G209" t="s">
        <v>525</v>
      </c>
    </row>
    <row r="210" spans="1:7" x14ac:dyDescent="0.3">
      <c r="A210">
        <v>0</v>
      </c>
      <c r="B210" t="s">
        <v>312</v>
      </c>
      <c r="C210" t="s">
        <v>344</v>
      </c>
      <c r="D210" t="s">
        <v>2</v>
      </c>
      <c r="E210" t="s">
        <v>344</v>
      </c>
      <c r="F210" t="s">
        <v>13</v>
      </c>
      <c r="G210" t="s">
        <v>525</v>
      </c>
    </row>
    <row r="211" spans="1:7" x14ac:dyDescent="0.3">
      <c r="A211">
        <v>0</v>
      </c>
      <c r="B211" t="s">
        <v>312</v>
      </c>
      <c r="C211" t="s">
        <v>407</v>
      </c>
      <c r="D211" t="s">
        <v>2</v>
      </c>
      <c r="E211" t="s">
        <v>407</v>
      </c>
      <c r="F211" t="s">
        <v>13</v>
      </c>
      <c r="G211" t="s">
        <v>525</v>
      </c>
    </row>
    <row r="212" spans="1:7" x14ac:dyDescent="0.3">
      <c r="A212">
        <v>0</v>
      </c>
      <c r="B212" t="s">
        <v>314</v>
      </c>
      <c r="C212" t="s">
        <v>413</v>
      </c>
      <c r="D212" t="s">
        <v>2</v>
      </c>
      <c r="E212" t="s">
        <v>413</v>
      </c>
      <c r="F212" t="s">
        <v>13</v>
      </c>
      <c r="G212" t="s">
        <v>525</v>
      </c>
    </row>
    <row r="213" spans="1:7" x14ac:dyDescent="0.3">
      <c r="A213">
        <v>0</v>
      </c>
      <c r="B213" t="s">
        <v>312</v>
      </c>
      <c r="C213" t="s">
        <v>392</v>
      </c>
      <c r="D213" t="s">
        <v>2</v>
      </c>
      <c r="E213" t="s">
        <v>392</v>
      </c>
      <c r="F213" t="s">
        <v>13</v>
      </c>
      <c r="G213" t="s">
        <v>525</v>
      </c>
    </row>
    <row r="214" spans="1:7" x14ac:dyDescent="0.3">
      <c r="A214">
        <v>0</v>
      </c>
      <c r="B214" t="s">
        <v>319</v>
      </c>
      <c r="C214" t="s">
        <v>422</v>
      </c>
      <c r="D214" t="s">
        <v>2</v>
      </c>
      <c r="E214" t="s">
        <v>422</v>
      </c>
      <c r="F214" t="s">
        <v>13</v>
      </c>
      <c r="G214" t="s">
        <v>525</v>
      </c>
    </row>
    <row r="215" spans="1:7" x14ac:dyDescent="0.3">
      <c r="A215">
        <v>0</v>
      </c>
      <c r="B215" t="s">
        <v>314</v>
      </c>
      <c r="C215" t="s">
        <v>495</v>
      </c>
      <c r="D215" t="s">
        <v>494</v>
      </c>
      <c r="E215" t="s">
        <v>495</v>
      </c>
      <c r="F215" t="s">
        <v>13</v>
      </c>
      <c r="G215" t="s">
        <v>525</v>
      </c>
    </row>
    <row r="216" spans="1:7" x14ac:dyDescent="0.3">
      <c r="A216">
        <v>0</v>
      </c>
      <c r="B216" t="s">
        <v>314</v>
      </c>
      <c r="C216" t="s">
        <v>497</v>
      </c>
      <c r="D216" t="s">
        <v>494</v>
      </c>
      <c r="E216" t="s">
        <v>497</v>
      </c>
      <c r="F216" t="s">
        <v>13</v>
      </c>
      <c r="G216" t="s">
        <v>525</v>
      </c>
    </row>
    <row r="217" spans="1:7" x14ac:dyDescent="0.3">
      <c r="A217">
        <v>0</v>
      </c>
      <c r="B217" t="s">
        <v>314</v>
      </c>
      <c r="C217" t="s">
        <v>496</v>
      </c>
      <c r="D217" t="s">
        <v>494</v>
      </c>
      <c r="E217" t="s">
        <v>496</v>
      </c>
      <c r="F217" t="s">
        <v>13</v>
      </c>
      <c r="G217" t="s">
        <v>525</v>
      </c>
    </row>
    <row r="218" spans="1:7" x14ac:dyDescent="0.3">
      <c r="A218">
        <v>0</v>
      </c>
      <c r="B218" t="s">
        <v>312</v>
      </c>
      <c r="C218" t="s">
        <v>513</v>
      </c>
      <c r="D218" t="s">
        <v>498</v>
      </c>
      <c r="E218" t="s">
        <v>513</v>
      </c>
      <c r="F218" t="s">
        <v>13</v>
      </c>
      <c r="G218" t="s">
        <v>525</v>
      </c>
    </row>
    <row r="219" spans="1:7" x14ac:dyDescent="0.3">
      <c r="A219">
        <v>0</v>
      </c>
      <c r="B219" t="s">
        <v>312</v>
      </c>
      <c r="C219" t="s">
        <v>515</v>
      </c>
      <c r="D219" t="s">
        <v>498</v>
      </c>
      <c r="E219" t="s">
        <v>515</v>
      </c>
      <c r="F219" t="s">
        <v>13</v>
      </c>
      <c r="G219" t="s">
        <v>525</v>
      </c>
    </row>
    <row r="220" spans="1:7" x14ac:dyDescent="0.3">
      <c r="A220">
        <v>0</v>
      </c>
      <c r="B220" t="s">
        <v>312</v>
      </c>
      <c r="C220" t="s">
        <v>509</v>
      </c>
      <c r="D220" t="s">
        <v>498</v>
      </c>
      <c r="E220" t="s">
        <v>509</v>
      </c>
      <c r="F220" t="s">
        <v>13</v>
      </c>
      <c r="G220" t="s">
        <v>525</v>
      </c>
    </row>
    <row r="221" spans="1:7" x14ac:dyDescent="0.3">
      <c r="A221">
        <v>0</v>
      </c>
      <c r="B221" t="s">
        <v>312</v>
      </c>
      <c r="C221" t="s">
        <v>502</v>
      </c>
      <c r="D221" t="s">
        <v>498</v>
      </c>
      <c r="E221" t="s">
        <v>502</v>
      </c>
      <c r="F221" t="s">
        <v>13</v>
      </c>
      <c r="G221" t="s">
        <v>525</v>
      </c>
    </row>
    <row r="222" spans="1:7" x14ac:dyDescent="0.3">
      <c r="A222">
        <v>0</v>
      </c>
      <c r="B222" t="s">
        <v>312</v>
      </c>
      <c r="C222" t="s">
        <v>500</v>
      </c>
      <c r="D222" t="s">
        <v>498</v>
      </c>
      <c r="E222" t="s">
        <v>500</v>
      </c>
      <c r="F222" t="s">
        <v>13</v>
      </c>
      <c r="G222" t="s">
        <v>525</v>
      </c>
    </row>
    <row r="223" spans="1:7" x14ac:dyDescent="0.3">
      <c r="A223">
        <v>0</v>
      </c>
      <c r="B223" t="s">
        <v>507</v>
      </c>
      <c r="C223" t="s">
        <v>506</v>
      </c>
      <c r="D223" t="s">
        <v>498</v>
      </c>
      <c r="E223" t="s">
        <v>506</v>
      </c>
      <c r="F223" t="s">
        <v>13</v>
      </c>
      <c r="G223" t="s">
        <v>525</v>
      </c>
    </row>
    <row r="224" spans="1:7" x14ac:dyDescent="0.3">
      <c r="A224">
        <v>0</v>
      </c>
      <c r="B224" t="s">
        <v>312</v>
      </c>
      <c r="C224" t="s">
        <v>514</v>
      </c>
      <c r="D224" t="s">
        <v>498</v>
      </c>
      <c r="E224" t="s">
        <v>514</v>
      </c>
      <c r="F224" t="s">
        <v>13</v>
      </c>
      <c r="G224" t="s">
        <v>525</v>
      </c>
    </row>
    <row r="225" spans="1:7" x14ac:dyDescent="0.3">
      <c r="A225">
        <v>0</v>
      </c>
      <c r="B225" t="s">
        <v>312</v>
      </c>
      <c r="C225" t="s">
        <v>499</v>
      </c>
      <c r="D225" t="s">
        <v>498</v>
      </c>
      <c r="E225" t="s">
        <v>499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508</v>
      </c>
      <c r="D226" t="s">
        <v>498</v>
      </c>
      <c r="E226" t="s">
        <v>508</v>
      </c>
      <c r="F226" t="s">
        <v>13</v>
      </c>
      <c r="G226" t="s">
        <v>525</v>
      </c>
    </row>
    <row r="227" spans="1:7" x14ac:dyDescent="0.3">
      <c r="A227">
        <v>0</v>
      </c>
      <c r="B227" t="s">
        <v>312</v>
      </c>
      <c r="C227" t="s">
        <v>519</v>
      </c>
      <c r="D227" t="s">
        <v>498</v>
      </c>
      <c r="E227" t="s">
        <v>519</v>
      </c>
      <c r="F227" t="s">
        <v>13</v>
      </c>
      <c r="G227" t="s">
        <v>525</v>
      </c>
    </row>
    <row r="228" spans="1:7" x14ac:dyDescent="0.3">
      <c r="A228">
        <v>0</v>
      </c>
      <c r="B228" t="s">
        <v>312</v>
      </c>
      <c r="C228" t="s">
        <v>510</v>
      </c>
      <c r="D228" t="s">
        <v>498</v>
      </c>
      <c r="E228" t="s">
        <v>510</v>
      </c>
      <c r="F228" t="s">
        <v>13</v>
      </c>
      <c r="G228" t="s">
        <v>525</v>
      </c>
    </row>
    <row r="229" spans="1:7" x14ac:dyDescent="0.3">
      <c r="A229">
        <v>0</v>
      </c>
      <c r="B229" t="s">
        <v>312</v>
      </c>
      <c r="C229" t="s">
        <v>521</v>
      </c>
      <c r="D229" t="s">
        <v>498</v>
      </c>
      <c r="E229" t="s">
        <v>521</v>
      </c>
      <c r="F229" t="s">
        <v>13</v>
      </c>
      <c r="G229" t="s">
        <v>525</v>
      </c>
    </row>
    <row r="230" spans="1:7" x14ac:dyDescent="0.3">
      <c r="A230">
        <v>0</v>
      </c>
      <c r="B230" t="s">
        <v>312</v>
      </c>
      <c r="C230" t="s">
        <v>501</v>
      </c>
      <c r="D230" t="s">
        <v>498</v>
      </c>
      <c r="E230" t="s">
        <v>501</v>
      </c>
      <c r="F230" t="s">
        <v>13</v>
      </c>
      <c r="G230" t="s">
        <v>525</v>
      </c>
    </row>
    <row r="231" spans="1:7" x14ac:dyDescent="0.3">
      <c r="A231">
        <v>0</v>
      </c>
      <c r="B231" t="s">
        <v>312</v>
      </c>
      <c r="C231" t="s">
        <v>504</v>
      </c>
      <c r="D231" t="s">
        <v>498</v>
      </c>
      <c r="E231" t="s">
        <v>504</v>
      </c>
      <c r="F231" t="s">
        <v>13</v>
      </c>
      <c r="G231" t="s">
        <v>525</v>
      </c>
    </row>
    <row r="232" spans="1:7" x14ac:dyDescent="0.3">
      <c r="A232">
        <v>0</v>
      </c>
      <c r="B232" t="s">
        <v>312</v>
      </c>
      <c r="C232" t="s">
        <v>520</v>
      </c>
      <c r="D232" t="s">
        <v>498</v>
      </c>
      <c r="E232" t="s">
        <v>520</v>
      </c>
      <c r="F232" t="s">
        <v>13</v>
      </c>
      <c r="G232" t="s">
        <v>525</v>
      </c>
    </row>
    <row r="233" spans="1:7" x14ac:dyDescent="0.3">
      <c r="A233">
        <v>0</v>
      </c>
      <c r="B233" t="s">
        <v>312</v>
      </c>
      <c r="C233" t="s">
        <v>523</v>
      </c>
      <c r="D233" t="s">
        <v>498</v>
      </c>
      <c r="E233" t="s">
        <v>523</v>
      </c>
      <c r="F233" t="s">
        <v>13</v>
      </c>
      <c r="G233" t="s">
        <v>525</v>
      </c>
    </row>
    <row r="234" spans="1:7" x14ac:dyDescent="0.3">
      <c r="A234">
        <v>0</v>
      </c>
      <c r="B234" t="s">
        <v>312</v>
      </c>
      <c r="C234" t="s">
        <v>503</v>
      </c>
      <c r="D234" t="s">
        <v>498</v>
      </c>
      <c r="E234" t="s">
        <v>503</v>
      </c>
      <c r="F234" t="s">
        <v>13</v>
      </c>
      <c r="G234" t="s">
        <v>525</v>
      </c>
    </row>
    <row r="235" spans="1:7" x14ac:dyDescent="0.3">
      <c r="A235">
        <v>0</v>
      </c>
      <c r="B235" t="s">
        <v>312</v>
      </c>
      <c r="C235" t="s">
        <v>512</v>
      </c>
      <c r="D235" t="s">
        <v>498</v>
      </c>
      <c r="E235" t="s">
        <v>512</v>
      </c>
      <c r="F235" t="s">
        <v>13</v>
      </c>
      <c r="G235" t="s">
        <v>525</v>
      </c>
    </row>
    <row r="236" spans="1:7" x14ac:dyDescent="0.3">
      <c r="A236">
        <v>0</v>
      </c>
      <c r="B236" t="s">
        <v>312</v>
      </c>
      <c r="C236" t="s">
        <v>505</v>
      </c>
      <c r="D236" t="s">
        <v>498</v>
      </c>
      <c r="E236" t="s">
        <v>505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518</v>
      </c>
      <c r="D237" t="s">
        <v>498</v>
      </c>
      <c r="E237" t="s">
        <v>518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522</v>
      </c>
      <c r="D238" t="s">
        <v>498</v>
      </c>
      <c r="E238" t="s">
        <v>522</v>
      </c>
      <c r="F238" t="s">
        <v>13</v>
      </c>
      <c r="G238" t="s">
        <v>525</v>
      </c>
    </row>
    <row r="239" spans="1:7" x14ac:dyDescent="0.3">
      <c r="A239">
        <v>0</v>
      </c>
      <c r="B239" t="s">
        <v>312</v>
      </c>
      <c r="C239" t="s">
        <v>516</v>
      </c>
      <c r="D239" t="s">
        <v>498</v>
      </c>
      <c r="E239" t="s">
        <v>516</v>
      </c>
      <c r="F239" t="s">
        <v>13</v>
      </c>
      <c r="G239" t="s">
        <v>525</v>
      </c>
    </row>
    <row r="240" spans="1:7" x14ac:dyDescent="0.3">
      <c r="A240">
        <v>0</v>
      </c>
      <c r="B240" t="s">
        <v>312</v>
      </c>
      <c r="C240" t="s">
        <v>517</v>
      </c>
      <c r="D240" t="s">
        <v>498</v>
      </c>
      <c r="E240" t="s">
        <v>517</v>
      </c>
      <c r="F240" t="s">
        <v>13</v>
      </c>
      <c r="G240" t="s">
        <v>525</v>
      </c>
    </row>
    <row r="241" spans="1:7" x14ac:dyDescent="0.3">
      <c r="A241">
        <v>0</v>
      </c>
      <c r="B241" t="s">
        <v>16</v>
      </c>
      <c r="C241" s="2" t="s">
        <v>22</v>
      </c>
      <c r="D241" t="s">
        <v>2</v>
      </c>
      <c r="E241" s="2" t="s">
        <v>22</v>
      </c>
      <c r="F241" t="s">
        <v>13</v>
      </c>
      <c r="G241" t="s">
        <v>525</v>
      </c>
    </row>
    <row r="242" spans="1:7" x14ac:dyDescent="0.3">
      <c r="A242">
        <v>0</v>
      </c>
      <c r="B242" t="s">
        <v>16</v>
      </c>
      <c r="C242" s="2" t="s">
        <v>49</v>
      </c>
      <c r="D242" t="s">
        <v>2</v>
      </c>
      <c r="E242" s="2" t="s">
        <v>49</v>
      </c>
      <c r="F242" t="s">
        <v>13</v>
      </c>
      <c r="G242" t="s">
        <v>525</v>
      </c>
    </row>
    <row r="243" spans="1:7" x14ac:dyDescent="0.3">
      <c r="A243">
        <v>0</v>
      </c>
      <c r="B243" t="s">
        <v>312</v>
      </c>
      <c r="C243" s="2" t="s">
        <v>55</v>
      </c>
      <c r="D243" t="s">
        <v>2</v>
      </c>
      <c r="E243" s="2" t="s">
        <v>55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t="s">
        <v>59</v>
      </c>
      <c r="D244" t="s">
        <v>2</v>
      </c>
      <c r="E244" t="s">
        <v>59</v>
      </c>
      <c r="F244" t="s">
        <v>13</v>
      </c>
      <c r="G244" t="s">
        <v>525</v>
      </c>
    </row>
    <row r="245" spans="1:7" x14ac:dyDescent="0.3">
      <c r="A245">
        <v>0</v>
      </c>
      <c r="B245" t="s">
        <v>16</v>
      </c>
      <c r="C245" s="2" t="s">
        <v>61</v>
      </c>
      <c r="D245" t="s">
        <v>2</v>
      </c>
      <c r="E245" s="2" t="s">
        <v>61</v>
      </c>
      <c r="F245" t="s">
        <v>13</v>
      </c>
      <c r="G245" t="s">
        <v>525</v>
      </c>
    </row>
    <row r="246" spans="1:7" x14ac:dyDescent="0.3">
      <c r="A246">
        <v>0</v>
      </c>
      <c r="B246" t="s">
        <v>312</v>
      </c>
      <c r="C246" s="2" t="s">
        <v>67</v>
      </c>
      <c r="D246" t="s">
        <v>2</v>
      </c>
      <c r="E246" s="2" t="s">
        <v>67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73</v>
      </c>
      <c r="D247" t="s">
        <v>2</v>
      </c>
      <c r="E247" t="s">
        <v>73</v>
      </c>
      <c r="F247" t="s">
        <v>13</v>
      </c>
      <c r="G247" t="s">
        <v>525</v>
      </c>
    </row>
    <row r="248" spans="1:7" x14ac:dyDescent="0.3">
      <c r="A248">
        <v>0</v>
      </c>
      <c r="B248" t="s">
        <v>312</v>
      </c>
      <c r="C248" t="s">
        <v>79</v>
      </c>
      <c r="D248" t="s">
        <v>2</v>
      </c>
      <c r="E248" t="s">
        <v>79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82</v>
      </c>
      <c r="D249" t="s">
        <v>2</v>
      </c>
      <c r="E249" t="s">
        <v>82</v>
      </c>
      <c r="F249" t="s">
        <v>13</v>
      </c>
      <c r="G249" t="s">
        <v>525</v>
      </c>
    </row>
    <row r="250" spans="1:7" x14ac:dyDescent="0.3">
      <c r="A250">
        <v>0</v>
      </c>
      <c r="B250" t="s">
        <v>312</v>
      </c>
      <c r="C250" t="s">
        <v>85</v>
      </c>
      <c r="D250" t="s">
        <v>2</v>
      </c>
      <c r="E250" t="s">
        <v>85</v>
      </c>
      <c r="F250" t="s">
        <v>13</v>
      </c>
      <c r="G250" t="s">
        <v>525</v>
      </c>
    </row>
    <row r="251" spans="1:7" x14ac:dyDescent="0.3">
      <c r="A251">
        <v>0</v>
      </c>
      <c r="B251" t="s">
        <v>312</v>
      </c>
      <c r="C251" t="s">
        <v>88</v>
      </c>
      <c r="D251" t="s">
        <v>2</v>
      </c>
      <c r="E251" t="s">
        <v>88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91</v>
      </c>
      <c r="D252" t="s">
        <v>2</v>
      </c>
      <c r="E252" t="s">
        <v>91</v>
      </c>
      <c r="F252" t="s">
        <v>13</v>
      </c>
      <c r="G252" t="s">
        <v>525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253"/>
  <sheetViews>
    <sheetView workbookViewId="0">
      <selection activeCell="E8" sqref="E8"/>
    </sheetView>
  </sheetViews>
  <sheetFormatPr defaultRowHeight="14.4" x14ac:dyDescent="0.3"/>
  <sheetData>
    <row r="1" spans="1:9" x14ac:dyDescent="0.3">
      <c r="A1" s="3" t="s">
        <v>4</v>
      </c>
      <c r="B1" s="3" t="s">
        <v>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11</v>
      </c>
      <c r="I1" s="3" t="s">
        <v>12</v>
      </c>
    </row>
    <row r="2" spans="1:9" x14ac:dyDescent="0.3">
      <c r="A2">
        <v>2.8052493300770163</v>
      </c>
      <c r="B2" t="s">
        <v>542</v>
      </c>
      <c r="C2" t="s">
        <v>648</v>
      </c>
      <c r="D2" t="s">
        <v>2</v>
      </c>
      <c r="E2" t="s">
        <v>111</v>
      </c>
      <c r="F2" t="s">
        <v>13</v>
      </c>
      <c r="G2" t="s">
        <v>525</v>
      </c>
      <c r="H2" t="s">
        <v>626</v>
      </c>
    </row>
    <row r="3" spans="1:9" x14ac:dyDescent="0.3">
      <c r="A3">
        <f>30.2966927648318/48</f>
        <v>0.63118109926732913</v>
      </c>
      <c r="B3" t="s">
        <v>57</v>
      </c>
      <c r="C3" t="s">
        <v>752</v>
      </c>
      <c r="D3" t="s">
        <v>2</v>
      </c>
      <c r="E3" t="s">
        <v>398</v>
      </c>
      <c r="F3" t="s">
        <v>13</v>
      </c>
      <c r="G3" t="s">
        <v>525</v>
      </c>
      <c r="H3" t="s">
        <v>626</v>
      </c>
    </row>
    <row r="4" spans="1:9" x14ac:dyDescent="0.3">
      <c r="A4">
        <v>0.80419897706649057</v>
      </c>
      <c r="B4" t="s">
        <v>57</v>
      </c>
      <c r="C4" t="s">
        <v>763</v>
      </c>
      <c r="D4" t="s">
        <v>2</v>
      </c>
      <c r="E4" t="s">
        <v>97</v>
      </c>
      <c r="F4" s="4" t="s">
        <v>13</v>
      </c>
      <c r="G4" t="s">
        <v>525</v>
      </c>
      <c r="H4" t="s">
        <v>626</v>
      </c>
    </row>
    <row r="5" spans="1:9" x14ac:dyDescent="0.3">
      <c r="A5">
        <v>0.24843260188087776</v>
      </c>
      <c r="B5" t="s">
        <v>57</v>
      </c>
      <c r="C5" t="s">
        <v>764</v>
      </c>
      <c r="D5" t="s">
        <v>2</v>
      </c>
      <c r="E5" s="2" t="s">
        <v>365</v>
      </c>
      <c r="F5" t="s">
        <v>13</v>
      </c>
      <c r="G5" t="s">
        <v>525</v>
      </c>
      <c r="H5" t="s">
        <v>626</v>
      </c>
    </row>
    <row r="6" spans="1:9" x14ac:dyDescent="0.3">
      <c r="A6">
        <v>1.69964487</v>
      </c>
      <c r="B6" t="s">
        <v>57</v>
      </c>
      <c r="C6" t="s">
        <v>535</v>
      </c>
      <c r="D6" t="s">
        <v>498</v>
      </c>
      <c r="E6" t="s">
        <v>502</v>
      </c>
      <c r="F6" t="s">
        <v>13</v>
      </c>
      <c r="G6" t="s">
        <v>525</v>
      </c>
      <c r="H6" t="s">
        <v>658</v>
      </c>
    </row>
    <row r="7" spans="1:9" x14ac:dyDescent="0.3">
      <c r="A7">
        <v>1.5148350000000001E-4</v>
      </c>
      <c r="B7" t="s">
        <v>57</v>
      </c>
      <c r="C7" t="s">
        <v>500</v>
      </c>
      <c r="D7" t="s">
        <v>498</v>
      </c>
      <c r="E7" t="s">
        <v>500</v>
      </c>
      <c r="F7" t="s">
        <v>13</v>
      </c>
      <c r="G7" t="s">
        <v>525</v>
      </c>
      <c r="H7" t="s">
        <v>658</v>
      </c>
    </row>
    <row r="8" spans="1:9" x14ac:dyDescent="0.3">
      <c r="A8">
        <v>3.0296700000000004E-6</v>
      </c>
      <c r="B8" t="s">
        <v>57</v>
      </c>
      <c r="C8" t="s">
        <v>511</v>
      </c>
      <c r="D8" t="s">
        <v>498</v>
      </c>
      <c r="E8" t="s">
        <v>511</v>
      </c>
      <c r="F8" t="s">
        <v>13</v>
      </c>
      <c r="G8" t="s">
        <v>525</v>
      </c>
      <c r="H8" t="s">
        <v>658</v>
      </c>
    </row>
    <row r="9" spans="1:9" x14ac:dyDescent="0.3">
      <c r="A9">
        <v>0</v>
      </c>
      <c r="B9" t="s">
        <v>312</v>
      </c>
      <c r="C9" t="s">
        <v>483</v>
      </c>
      <c r="D9" t="s">
        <v>2</v>
      </c>
      <c r="E9" t="s">
        <v>483</v>
      </c>
      <c r="F9" t="s">
        <v>13</v>
      </c>
      <c r="G9" t="s">
        <v>525</v>
      </c>
    </row>
    <row r="10" spans="1:9" x14ac:dyDescent="0.3">
      <c r="A10">
        <v>0</v>
      </c>
      <c r="B10" t="s">
        <v>105</v>
      </c>
      <c r="C10" t="s">
        <v>125</v>
      </c>
      <c r="D10" t="s">
        <v>2</v>
      </c>
      <c r="E10" t="s">
        <v>125</v>
      </c>
      <c r="F10" t="s">
        <v>13</v>
      </c>
      <c r="G10" t="s">
        <v>525</v>
      </c>
    </row>
    <row r="11" spans="1:9" x14ac:dyDescent="0.3">
      <c r="A11">
        <v>0</v>
      </c>
      <c r="B11" t="s">
        <v>319</v>
      </c>
      <c r="C11" t="s">
        <v>461</v>
      </c>
      <c r="D11" t="s">
        <v>2</v>
      </c>
      <c r="E11" t="s">
        <v>461</v>
      </c>
      <c r="F11" t="s">
        <v>13</v>
      </c>
      <c r="G11" t="s">
        <v>525</v>
      </c>
    </row>
    <row r="12" spans="1:9" x14ac:dyDescent="0.3">
      <c r="A12">
        <v>0</v>
      </c>
      <c r="B12" t="s">
        <v>314</v>
      </c>
      <c r="C12" t="s">
        <v>395</v>
      </c>
      <c r="D12" t="s">
        <v>2</v>
      </c>
      <c r="E12" t="s">
        <v>395</v>
      </c>
      <c r="F12" t="s">
        <v>13</v>
      </c>
      <c r="G12" t="s">
        <v>525</v>
      </c>
    </row>
    <row r="13" spans="1:9" x14ac:dyDescent="0.3">
      <c r="A13">
        <v>0</v>
      </c>
      <c r="B13" t="s">
        <v>312</v>
      </c>
      <c r="C13" t="s">
        <v>399</v>
      </c>
      <c r="D13" t="s">
        <v>2</v>
      </c>
      <c r="E13" t="s">
        <v>399</v>
      </c>
      <c r="F13" t="s">
        <v>13</v>
      </c>
      <c r="G13" t="s">
        <v>525</v>
      </c>
    </row>
    <row r="14" spans="1:9" x14ac:dyDescent="0.3">
      <c r="A14">
        <v>0</v>
      </c>
      <c r="B14" t="s">
        <v>314</v>
      </c>
      <c r="C14" t="s">
        <v>432</v>
      </c>
      <c r="D14" t="s">
        <v>2</v>
      </c>
      <c r="E14" t="s">
        <v>432</v>
      </c>
      <c r="F14" t="s">
        <v>13</v>
      </c>
      <c r="G14" t="s">
        <v>525</v>
      </c>
    </row>
    <row r="15" spans="1:9" x14ac:dyDescent="0.3">
      <c r="A15">
        <v>0</v>
      </c>
      <c r="B15" t="s">
        <v>312</v>
      </c>
      <c r="C15" t="s">
        <v>325</v>
      </c>
      <c r="D15" t="s">
        <v>2</v>
      </c>
      <c r="E15" t="s">
        <v>325</v>
      </c>
      <c r="F15" t="s">
        <v>13</v>
      </c>
      <c r="G15" t="s">
        <v>525</v>
      </c>
    </row>
    <row r="16" spans="1:9" x14ac:dyDescent="0.3">
      <c r="A16">
        <v>0</v>
      </c>
      <c r="B16" t="s">
        <v>314</v>
      </c>
      <c r="C16" t="s">
        <v>372</v>
      </c>
      <c r="D16" t="s">
        <v>2</v>
      </c>
      <c r="E16" t="s">
        <v>372</v>
      </c>
      <c r="F16" t="s">
        <v>13</v>
      </c>
      <c r="G16" t="s">
        <v>525</v>
      </c>
    </row>
    <row r="17" spans="1:7" x14ac:dyDescent="0.3">
      <c r="A17">
        <v>0</v>
      </c>
      <c r="B17" t="s">
        <v>314</v>
      </c>
      <c r="C17" t="s">
        <v>260</v>
      </c>
      <c r="D17" t="s">
        <v>2</v>
      </c>
      <c r="E17" t="s">
        <v>260</v>
      </c>
      <c r="F17" t="s">
        <v>13</v>
      </c>
      <c r="G17" t="s">
        <v>525</v>
      </c>
    </row>
    <row r="18" spans="1:7" x14ac:dyDescent="0.3">
      <c r="A18">
        <v>0</v>
      </c>
      <c r="B18" t="s">
        <v>312</v>
      </c>
      <c r="C18" t="s">
        <v>330</v>
      </c>
      <c r="D18" t="s">
        <v>2</v>
      </c>
      <c r="E18" t="s">
        <v>330</v>
      </c>
      <c r="F18" t="s">
        <v>13</v>
      </c>
      <c r="G18" t="s">
        <v>525</v>
      </c>
    </row>
    <row r="19" spans="1:7" x14ac:dyDescent="0.3">
      <c r="A19">
        <v>0</v>
      </c>
      <c r="B19" t="s">
        <v>105</v>
      </c>
      <c r="C19" t="s">
        <v>401</v>
      </c>
      <c r="D19" t="s">
        <v>2</v>
      </c>
      <c r="E19" t="s">
        <v>401</v>
      </c>
      <c r="F19" t="s">
        <v>13</v>
      </c>
      <c r="G19" t="s">
        <v>525</v>
      </c>
    </row>
    <row r="20" spans="1:7" x14ac:dyDescent="0.3">
      <c r="A20">
        <v>0</v>
      </c>
      <c r="B20" t="s">
        <v>312</v>
      </c>
      <c r="C20" t="s">
        <v>416</v>
      </c>
      <c r="D20" t="s">
        <v>2</v>
      </c>
      <c r="E20" t="s">
        <v>416</v>
      </c>
      <c r="F20" t="s">
        <v>13</v>
      </c>
      <c r="G20" t="s">
        <v>525</v>
      </c>
    </row>
    <row r="21" spans="1:7" x14ac:dyDescent="0.3">
      <c r="A21">
        <v>0</v>
      </c>
      <c r="B21" t="s">
        <v>319</v>
      </c>
      <c r="C21" t="s">
        <v>375</v>
      </c>
      <c r="D21" t="s">
        <v>2</v>
      </c>
      <c r="E21" t="s">
        <v>375</v>
      </c>
      <c r="F21" t="s">
        <v>13</v>
      </c>
      <c r="G21" t="s">
        <v>525</v>
      </c>
    </row>
    <row r="22" spans="1:7" x14ac:dyDescent="0.3">
      <c r="A22">
        <v>0</v>
      </c>
      <c r="B22" t="s">
        <v>312</v>
      </c>
      <c r="C22" t="s">
        <v>333</v>
      </c>
      <c r="D22" t="s">
        <v>2</v>
      </c>
      <c r="E22" t="s">
        <v>333</v>
      </c>
      <c r="F22" t="s">
        <v>13</v>
      </c>
      <c r="G22" t="s">
        <v>525</v>
      </c>
    </row>
    <row r="23" spans="1:7" x14ac:dyDescent="0.3">
      <c r="A23">
        <v>0</v>
      </c>
      <c r="B23" t="s">
        <v>57</v>
      </c>
      <c r="C23" t="s">
        <v>118</v>
      </c>
      <c r="D23" t="s">
        <v>2</v>
      </c>
      <c r="E23" t="s">
        <v>118</v>
      </c>
      <c r="F23" t="s">
        <v>13</v>
      </c>
      <c r="G23" t="s">
        <v>525</v>
      </c>
    </row>
    <row r="24" spans="1:7" x14ac:dyDescent="0.3">
      <c r="A24">
        <v>0</v>
      </c>
      <c r="B24" t="s">
        <v>312</v>
      </c>
      <c r="C24" t="s">
        <v>406</v>
      </c>
      <c r="D24" t="s">
        <v>2</v>
      </c>
      <c r="E24" t="s">
        <v>406</v>
      </c>
      <c r="F24" t="s">
        <v>13</v>
      </c>
      <c r="G24" t="s">
        <v>525</v>
      </c>
    </row>
    <row r="25" spans="1:7" x14ac:dyDescent="0.3">
      <c r="A25">
        <v>0</v>
      </c>
      <c r="B25" t="s">
        <v>312</v>
      </c>
      <c r="C25" t="s">
        <v>315</v>
      </c>
      <c r="D25" t="s">
        <v>2</v>
      </c>
      <c r="E25" t="s">
        <v>315</v>
      </c>
      <c r="F25" t="s">
        <v>13</v>
      </c>
      <c r="G25" t="s">
        <v>525</v>
      </c>
    </row>
    <row r="26" spans="1:7" x14ac:dyDescent="0.3">
      <c r="A26">
        <v>0</v>
      </c>
      <c r="B26" t="s">
        <v>312</v>
      </c>
      <c r="C26" t="s">
        <v>358</v>
      </c>
      <c r="D26" t="s">
        <v>2</v>
      </c>
      <c r="E26" t="s">
        <v>358</v>
      </c>
      <c r="F26" t="s">
        <v>13</v>
      </c>
      <c r="G26" t="s">
        <v>525</v>
      </c>
    </row>
    <row r="27" spans="1:7" x14ac:dyDescent="0.3">
      <c r="A27">
        <v>0</v>
      </c>
      <c r="B27" t="s">
        <v>314</v>
      </c>
      <c r="C27" t="s">
        <v>444</v>
      </c>
      <c r="D27" t="s">
        <v>2</v>
      </c>
      <c r="E27" t="s">
        <v>444</v>
      </c>
      <c r="F27" t="s">
        <v>13</v>
      </c>
      <c r="G27" t="s">
        <v>525</v>
      </c>
    </row>
    <row r="28" spans="1:7" x14ac:dyDescent="0.3">
      <c r="A28">
        <v>0</v>
      </c>
      <c r="B28" t="s">
        <v>312</v>
      </c>
      <c r="C28" t="s">
        <v>439</v>
      </c>
      <c r="D28" t="s">
        <v>2</v>
      </c>
      <c r="E28" t="s">
        <v>439</v>
      </c>
      <c r="F28" t="s">
        <v>13</v>
      </c>
      <c r="G28" t="s">
        <v>525</v>
      </c>
    </row>
    <row r="29" spans="1:7" x14ac:dyDescent="0.3">
      <c r="A29">
        <v>0</v>
      </c>
      <c r="B29" t="s">
        <v>312</v>
      </c>
      <c r="C29" t="s">
        <v>381</v>
      </c>
      <c r="D29" t="s">
        <v>2</v>
      </c>
      <c r="E29" t="s">
        <v>381</v>
      </c>
      <c r="F29" t="s">
        <v>13</v>
      </c>
      <c r="G29" t="s">
        <v>525</v>
      </c>
    </row>
    <row r="30" spans="1:7" x14ac:dyDescent="0.3">
      <c r="A30">
        <v>0</v>
      </c>
      <c r="B30" t="s">
        <v>312</v>
      </c>
      <c r="C30" t="s">
        <v>418</v>
      </c>
      <c r="D30" t="s">
        <v>2</v>
      </c>
      <c r="E30" t="s">
        <v>418</v>
      </c>
      <c r="F30" t="s">
        <v>13</v>
      </c>
      <c r="G30" t="s">
        <v>525</v>
      </c>
    </row>
    <row r="31" spans="1:7" x14ac:dyDescent="0.3">
      <c r="A31">
        <v>0</v>
      </c>
      <c r="B31" t="s">
        <v>314</v>
      </c>
      <c r="C31" t="s">
        <v>465</v>
      </c>
      <c r="D31" t="s">
        <v>2</v>
      </c>
      <c r="E31" t="s">
        <v>465</v>
      </c>
      <c r="F31" t="s">
        <v>13</v>
      </c>
      <c r="G31" t="s">
        <v>525</v>
      </c>
    </row>
    <row r="32" spans="1:7" x14ac:dyDescent="0.3">
      <c r="A32">
        <v>0</v>
      </c>
      <c r="B32" t="s">
        <v>105</v>
      </c>
      <c r="C32" t="s">
        <v>103</v>
      </c>
      <c r="D32" t="s">
        <v>2</v>
      </c>
      <c r="E32" t="s">
        <v>103</v>
      </c>
      <c r="F32" t="s">
        <v>13</v>
      </c>
      <c r="G32" t="s">
        <v>525</v>
      </c>
    </row>
    <row r="33" spans="1:7" x14ac:dyDescent="0.3">
      <c r="A33">
        <v>0</v>
      </c>
      <c r="B33" t="s">
        <v>312</v>
      </c>
      <c r="C33" t="s">
        <v>320</v>
      </c>
      <c r="D33" t="s">
        <v>2</v>
      </c>
      <c r="E33" t="s">
        <v>320</v>
      </c>
      <c r="F33" t="s">
        <v>13</v>
      </c>
      <c r="G33" t="s">
        <v>525</v>
      </c>
    </row>
    <row r="34" spans="1:7" x14ac:dyDescent="0.3">
      <c r="A34">
        <v>0</v>
      </c>
      <c r="B34" t="s">
        <v>312</v>
      </c>
      <c r="C34" t="s">
        <v>334</v>
      </c>
      <c r="D34" t="s">
        <v>2</v>
      </c>
      <c r="E34" t="s">
        <v>334</v>
      </c>
      <c r="F34" t="s">
        <v>13</v>
      </c>
      <c r="G34" t="s">
        <v>525</v>
      </c>
    </row>
    <row r="35" spans="1:7" x14ac:dyDescent="0.3">
      <c r="A35">
        <v>0</v>
      </c>
      <c r="B35" t="s">
        <v>312</v>
      </c>
      <c r="C35" t="s">
        <v>435</v>
      </c>
      <c r="D35" t="s">
        <v>2</v>
      </c>
      <c r="E35" t="s">
        <v>435</v>
      </c>
      <c r="F35" t="s">
        <v>13</v>
      </c>
      <c r="G35" t="s">
        <v>525</v>
      </c>
    </row>
    <row r="36" spans="1:7" x14ac:dyDescent="0.3">
      <c r="A36">
        <v>0</v>
      </c>
      <c r="B36" t="s">
        <v>319</v>
      </c>
      <c r="C36" t="s">
        <v>456</v>
      </c>
      <c r="D36" t="s">
        <v>2</v>
      </c>
      <c r="E36" t="s">
        <v>456</v>
      </c>
      <c r="F36" t="s">
        <v>13</v>
      </c>
      <c r="G36" t="s">
        <v>525</v>
      </c>
    </row>
    <row r="37" spans="1:7" x14ac:dyDescent="0.3">
      <c r="A37">
        <v>0</v>
      </c>
      <c r="B37" t="s">
        <v>312</v>
      </c>
      <c r="C37" t="s">
        <v>474</v>
      </c>
      <c r="D37" t="s">
        <v>2</v>
      </c>
      <c r="E37" t="s">
        <v>474</v>
      </c>
      <c r="F37" t="s">
        <v>13</v>
      </c>
      <c r="G37" t="s">
        <v>525</v>
      </c>
    </row>
    <row r="38" spans="1:7" x14ac:dyDescent="0.3">
      <c r="A38">
        <v>0</v>
      </c>
      <c r="B38" t="s">
        <v>319</v>
      </c>
      <c r="C38" t="s">
        <v>318</v>
      </c>
      <c r="D38" t="s">
        <v>2</v>
      </c>
      <c r="E38" t="s">
        <v>318</v>
      </c>
      <c r="F38" t="s">
        <v>13</v>
      </c>
      <c r="G38" t="s">
        <v>525</v>
      </c>
    </row>
    <row r="39" spans="1:7" x14ac:dyDescent="0.3">
      <c r="A39">
        <v>0</v>
      </c>
      <c r="B39" t="s">
        <v>314</v>
      </c>
      <c r="C39" t="s">
        <v>475</v>
      </c>
      <c r="D39" t="s">
        <v>2</v>
      </c>
      <c r="E39" t="s">
        <v>475</v>
      </c>
      <c r="F39" t="s">
        <v>13</v>
      </c>
      <c r="G39" t="s">
        <v>525</v>
      </c>
    </row>
    <row r="40" spans="1:7" x14ac:dyDescent="0.3">
      <c r="A40">
        <v>0</v>
      </c>
      <c r="B40" t="s">
        <v>314</v>
      </c>
      <c r="C40" t="s">
        <v>449</v>
      </c>
      <c r="D40" t="s">
        <v>2</v>
      </c>
      <c r="E40" t="s">
        <v>449</v>
      </c>
      <c r="F40" t="s">
        <v>13</v>
      </c>
      <c r="G40" t="s">
        <v>525</v>
      </c>
    </row>
    <row r="41" spans="1:7" x14ac:dyDescent="0.3">
      <c r="A41">
        <v>0</v>
      </c>
      <c r="B41" t="s">
        <v>314</v>
      </c>
      <c r="C41" t="s">
        <v>176</v>
      </c>
      <c r="D41" t="s">
        <v>2</v>
      </c>
      <c r="E41" t="s">
        <v>176</v>
      </c>
      <c r="F41" t="s">
        <v>13</v>
      </c>
      <c r="G41" t="s">
        <v>525</v>
      </c>
    </row>
    <row r="42" spans="1:7" x14ac:dyDescent="0.3">
      <c r="A42">
        <v>0</v>
      </c>
      <c r="B42" t="s">
        <v>312</v>
      </c>
      <c r="C42" t="s">
        <v>388</v>
      </c>
      <c r="D42" t="s">
        <v>2</v>
      </c>
      <c r="E42" t="s">
        <v>388</v>
      </c>
      <c r="F42" t="s">
        <v>13</v>
      </c>
      <c r="G42" t="s">
        <v>525</v>
      </c>
    </row>
    <row r="43" spans="1:7" x14ac:dyDescent="0.3">
      <c r="A43">
        <v>0</v>
      </c>
      <c r="B43" t="s">
        <v>319</v>
      </c>
      <c r="C43" t="s">
        <v>429</v>
      </c>
      <c r="D43" t="s">
        <v>2</v>
      </c>
      <c r="E43" t="s">
        <v>429</v>
      </c>
      <c r="F43" t="s">
        <v>13</v>
      </c>
      <c r="G43" t="s">
        <v>525</v>
      </c>
    </row>
    <row r="44" spans="1:7" x14ac:dyDescent="0.3">
      <c r="A44">
        <v>0</v>
      </c>
      <c r="B44" t="s">
        <v>312</v>
      </c>
      <c r="C44" t="s">
        <v>272</v>
      </c>
      <c r="D44" t="s">
        <v>2</v>
      </c>
      <c r="E44" t="s">
        <v>272</v>
      </c>
      <c r="F44" t="s">
        <v>13</v>
      </c>
      <c r="G44" t="s">
        <v>525</v>
      </c>
    </row>
    <row r="45" spans="1:7" x14ac:dyDescent="0.3">
      <c r="A45">
        <v>0</v>
      </c>
      <c r="B45" t="s">
        <v>312</v>
      </c>
      <c r="C45" t="s">
        <v>410</v>
      </c>
      <c r="D45" t="s">
        <v>2</v>
      </c>
      <c r="E45" t="s">
        <v>410</v>
      </c>
      <c r="F45" t="s">
        <v>13</v>
      </c>
      <c r="G45" t="s">
        <v>525</v>
      </c>
    </row>
    <row r="46" spans="1:7" x14ac:dyDescent="0.3">
      <c r="A46">
        <v>0</v>
      </c>
      <c r="B46" t="s">
        <v>319</v>
      </c>
      <c r="C46" t="s">
        <v>363</v>
      </c>
      <c r="D46" t="s">
        <v>2</v>
      </c>
      <c r="E46" t="s">
        <v>363</v>
      </c>
      <c r="F46" t="s">
        <v>13</v>
      </c>
      <c r="G46" t="s">
        <v>525</v>
      </c>
    </row>
    <row r="47" spans="1:7" x14ac:dyDescent="0.3">
      <c r="A47">
        <v>0</v>
      </c>
      <c r="B47" t="s">
        <v>312</v>
      </c>
      <c r="C47" t="s">
        <v>382</v>
      </c>
      <c r="D47" t="s">
        <v>2</v>
      </c>
      <c r="E47" t="s">
        <v>382</v>
      </c>
      <c r="F47" t="s">
        <v>13</v>
      </c>
      <c r="G47" t="s">
        <v>525</v>
      </c>
    </row>
    <row r="48" spans="1:7" x14ac:dyDescent="0.3">
      <c r="A48">
        <v>0</v>
      </c>
      <c r="B48" t="s">
        <v>312</v>
      </c>
      <c r="C48" t="s">
        <v>424</v>
      </c>
      <c r="D48" t="s">
        <v>2</v>
      </c>
      <c r="E48" t="s">
        <v>424</v>
      </c>
      <c r="F48" t="s">
        <v>13</v>
      </c>
      <c r="G48" t="s">
        <v>525</v>
      </c>
    </row>
    <row r="49" spans="1:7" x14ac:dyDescent="0.3">
      <c r="A49">
        <v>0</v>
      </c>
      <c r="B49" t="s">
        <v>314</v>
      </c>
      <c r="C49" t="s">
        <v>351</v>
      </c>
      <c r="D49" t="s">
        <v>2</v>
      </c>
      <c r="E49" t="s">
        <v>351</v>
      </c>
      <c r="F49" t="s">
        <v>13</v>
      </c>
      <c r="G49" t="s">
        <v>525</v>
      </c>
    </row>
    <row r="50" spans="1:7" x14ac:dyDescent="0.3">
      <c r="A50">
        <v>0</v>
      </c>
      <c r="B50" t="s">
        <v>312</v>
      </c>
      <c r="C50" t="s">
        <v>347</v>
      </c>
      <c r="D50" t="s">
        <v>2</v>
      </c>
      <c r="E50" t="s">
        <v>347</v>
      </c>
      <c r="F50" t="s">
        <v>13</v>
      </c>
      <c r="G50" t="s">
        <v>525</v>
      </c>
    </row>
    <row r="51" spans="1:7" x14ac:dyDescent="0.3">
      <c r="A51">
        <v>0</v>
      </c>
      <c r="B51" t="s">
        <v>314</v>
      </c>
      <c r="C51" t="s">
        <v>453</v>
      </c>
      <c r="D51" t="s">
        <v>2</v>
      </c>
      <c r="E51" t="s">
        <v>453</v>
      </c>
      <c r="F51" t="s">
        <v>13</v>
      </c>
      <c r="G51" t="s">
        <v>525</v>
      </c>
    </row>
    <row r="52" spans="1:7" x14ac:dyDescent="0.3">
      <c r="A52">
        <v>0</v>
      </c>
      <c r="B52" t="s">
        <v>319</v>
      </c>
      <c r="C52" t="s">
        <v>457</v>
      </c>
      <c r="D52" t="s">
        <v>2</v>
      </c>
      <c r="E52" t="s">
        <v>457</v>
      </c>
      <c r="F52" t="s">
        <v>13</v>
      </c>
      <c r="G52" t="s">
        <v>525</v>
      </c>
    </row>
    <row r="53" spans="1:7" x14ac:dyDescent="0.3">
      <c r="A53">
        <v>0</v>
      </c>
      <c r="B53" t="s">
        <v>312</v>
      </c>
      <c r="C53" t="s">
        <v>485</v>
      </c>
      <c r="D53" t="s">
        <v>2</v>
      </c>
      <c r="E53" t="s">
        <v>485</v>
      </c>
      <c r="F53" t="s">
        <v>13</v>
      </c>
      <c r="G53" t="s">
        <v>525</v>
      </c>
    </row>
    <row r="54" spans="1:7" x14ac:dyDescent="0.3">
      <c r="A54">
        <v>0</v>
      </c>
      <c r="B54" t="s">
        <v>312</v>
      </c>
      <c r="C54" t="s">
        <v>355</v>
      </c>
      <c r="D54" t="s">
        <v>2</v>
      </c>
      <c r="E54" t="s">
        <v>355</v>
      </c>
      <c r="F54" t="s">
        <v>13</v>
      </c>
      <c r="G54" t="s">
        <v>525</v>
      </c>
    </row>
    <row r="55" spans="1:7" x14ac:dyDescent="0.3">
      <c r="A55">
        <v>0</v>
      </c>
      <c r="B55" t="s">
        <v>312</v>
      </c>
      <c r="C55" t="s">
        <v>338</v>
      </c>
      <c r="D55" t="s">
        <v>2</v>
      </c>
      <c r="E55" t="s">
        <v>338</v>
      </c>
      <c r="F55" t="s">
        <v>13</v>
      </c>
      <c r="G55" t="s">
        <v>525</v>
      </c>
    </row>
    <row r="56" spans="1:7" x14ac:dyDescent="0.3">
      <c r="A56">
        <v>0</v>
      </c>
      <c r="B56" t="s">
        <v>312</v>
      </c>
      <c r="C56" t="s">
        <v>394</v>
      </c>
      <c r="D56" t="s">
        <v>2</v>
      </c>
      <c r="E56" t="s">
        <v>394</v>
      </c>
      <c r="F56" t="s">
        <v>13</v>
      </c>
      <c r="G56" t="s">
        <v>525</v>
      </c>
    </row>
    <row r="57" spans="1:7" x14ac:dyDescent="0.3">
      <c r="A57">
        <v>0</v>
      </c>
      <c r="B57" t="s">
        <v>312</v>
      </c>
      <c r="C57" t="s">
        <v>438</v>
      </c>
      <c r="D57" t="s">
        <v>2</v>
      </c>
      <c r="E57" t="s">
        <v>438</v>
      </c>
      <c r="F57" t="s">
        <v>13</v>
      </c>
      <c r="G57" t="s">
        <v>525</v>
      </c>
    </row>
    <row r="58" spans="1:7" x14ac:dyDescent="0.3">
      <c r="A58">
        <v>0</v>
      </c>
      <c r="B58" t="s">
        <v>312</v>
      </c>
      <c r="C58" t="s">
        <v>486</v>
      </c>
      <c r="D58" t="s">
        <v>2</v>
      </c>
      <c r="E58" t="s">
        <v>486</v>
      </c>
      <c r="F58" t="s">
        <v>13</v>
      </c>
      <c r="G58" t="s">
        <v>525</v>
      </c>
    </row>
    <row r="59" spans="1:7" x14ac:dyDescent="0.3">
      <c r="A59">
        <v>0</v>
      </c>
      <c r="B59" t="s">
        <v>319</v>
      </c>
      <c r="C59" t="s">
        <v>419</v>
      </c>
      <c r="D59" t="s">
        <v>2</v>
      </c>
      <c r="E59" t="s">
        <v>419</v>
      </c>
      <c r="F59" t="s">
        <v>13</v>
      </c>
      <c r="G59" t="s">
        <v>525</v>
      </c>
    </row>
    <row r="60" spans="1:7" x14ac:dyDescent="0.3">
      <c r="A60">
        <v>0</v>
      </c>
      <c r="B60" t="s">
        <v>57</v>
      </c>
      <c r="C60" t="s">
        <v>353</v>
      </c>
      <c r="D60" t="s">
        <v>2</v>
      </c>
      <c r="E60" t="s">
        <v>353</v>
      </c>
      <c r="F60" t="s">
        <v>13</v>
      </c>
      <c r="G60" t="s">
        <v>525</v>
      </c>
    </row>
    <row r="61" spans="1:7" x14ac:dyDescent="0.3">
      <c r="A61">
        <v>0</v>
      </c>
      <c r="B61" t="s">
        <v>319</v>
      </c>
      <c r="C61" t="s">
        <v>489</v>
      </c>
      <c r="D61" t="s">
        <v>2</v>
      </c>
      <c r="E61" t="s">
        <v>489</v>
      </c>
      <c r="F61" t="s">
        <v>13</v>
      </c>
      <c r="G61" t="s">
        <v>525</v>
      </c>
    </row>
    <row r="62" spans="1:7" x14ac:dyDescent="0.3">
      <c r="A62">
        <v>0</v>
      </c>
      <c r="B62" t="s">
        <v>312</v>
      </c>
      <c r="C62" t="s">
        <v>386</v>
      </c>
      <c r="D62" t="s">
        <v>2</v>
      </c>
      <c r="E62" t="s">
        <v>386</v>
      </c>
      <c r="F62" t="s">
        <v>13</v>
      </c>
      <c r="G62" t="s">
        <v>525</v>
      </c>
    </row>
    <row r="63" spans="1:7" x14ac:dyDescent="0.3">
      <c r="A63">
        <v>0</v>
      </c>
      <c r="B63" t="s">
        <v>319</v>
      </c>
      <c r="C63" t="s">
        <v>389</v>
      </c>
      <c r="D63" t="s">
        <v>2</v>
      </c>
      <c r="E63" t="s">
        <v>389</v>
      </c>
      <c r="F63" t="s">
        <v>13</v>
      </c>
      <c r="G63" t="s">
        <v>525</v>
      </c>
    </row>
    <row r="64" spans="1:7" x14ac:dyDescent="0.3">
      <c r="A64">
        <v>0</v>
      </c>
      <c r="B64" t="s">
        <v>312</v>
      </c>
      <c r="C64" t="s">
        <v>340</v>
      </c>
      <c r="D64" t="s">
        <v>2</v>
      </c>
      <c r="E64" t="s">
        <v>340</v>
      </c>
      <c r="F64" t="s">
        <v>13</v>
      </c>
      <c r="G64" t="s">
        <v>525</v>
      </c>
    </row>
    <row r="65" spans="1:7" x14ac:dyDescent="0.3">
      <c r="A65">
        <v>0</v>
      </c>
      <c r="B65" t="s">
        <v>312</v>
      </c>
      <c r="C65" t="s">
        <v>368</v>
      </c>
      <c r="D65" t="s">
        <v>2</v>
      </c>
      <c r="E65" t="s">
        <v>368</v>
      </c>
      <c r="F65" t="s">
        <v>13</v>
      </c>
      <c r="G65" t="s">
        <v>525</v>
      </c>
    </row>
    <row r="66" spans="1:7" x14ac:dyDescent="0.3">
      <c r="A66">
        <v>0</v>
      </c>
      <c r="B66" t="s">
        <v>312</v>
      </c>
      <c r="C66" t="s">
        <v>328</v>
      </c>
      <c r="D66" t="s">
        <v>2</v>
      </c>
      <c r="E66" t="s">
        <v>328</v>
      </c>
      <c r="F66" t="s">
        <v>13</v>
      </c>
      <c r="G66" t="s">
        <v>525</v>
      </c>
    </row>
    <row r="67" spans="1:7" x14ac:dyDescent="0.3">
      <c r="A67">
        <v>0</v>
      </c>
      <c r="B67" t="s">
        <v>312</v>
      </c>
      <c r="C67" t="s">
        <v>479</v>
      </c>
      <c r="D67" t="s">
        <v>2</v>
      </c>
      <c r="E67" t="s">
        <v>479</v>
      </c>
      <c r="F67" t="s">
        <v>13</v>
      </c>
      <c r="G67" t="s">
        <v>525</v>
      </c>
    </row>
    <row r="68" spans="1:7" x14ac:dyDescent="0.3">
      <c r="A68">
        <v>0</v>
      </c>
      <c r="B68" t="s">
        <v>57</v>
      </c>
      <c r="C68" t="s">
        <v>116</v>
      </c>
      <c r="D68" t="s">
        <v>2</v>
      </c>
      <c r="E68" t="s">
        <v>116</v>
      </c>
      <c r="F68" t="s">
        <v>13</v>
      </c>
      <c r="G68" t="s">
        <v>525</v>
      </c>
    </row>
    <row r="69" spans="1:7" x14ac:dyDescent="0.3">
      <c r="A69">
        <v>0</v>
      </c>
      <c r="B69" t="s">
        <v>312</v>
      </c>
      <c r="C69" t="s">
        <v>352</v>
      </c>
      <c r="D69" t="s">
        <v>2</v>
      </c>
      <c r="E69" t="s">
        <v>352</v>
      </c>
      <c r="F69" t="s">
        <v>13</v>
      </c>
      <c r="G69" t="s">
        <v>525</v>
      </c>
    </row>
    <row r="70" spans="1:7" x14ac:dyDescent="0.3">
      <c r="A70">
        <v>0</v>
      </c>
      <c r="B70" t="s">
        <v>312</v>
      </c>
      <c r="C70" t="s">
        <v>417</v>
      </c>
      <c r="D70" t="s">
        <v>2</v>
      </c>
      <c r="E70" t="s">
        <v>417</v>
      </c>
      <c r="F70" t="s">
        <v>13</v>
      </c>
      <c r="G70" t="s">
        <v>525</v>
      </c>
    </row>
    <row r="71" spans="1:7" x14ac:dyDescent="0.3">
      <c r="A71">
        <v>0</v>
      </c>
      <c r="B71" t="s">
        <v>312</v>
      </c>
      <c r="C71" t="s">
        <v>447</v>
      </c>
      <c r="D71" t="s">
        <v>2</v>
      </c>
      <c r="E71" t="s">
        <v>447</v>
      </c>
      <c r="F71" t="s">
        <v>13</v>
      </c>
      <c r="G71" t="s">
        <v>525</v>
      </c>
    </row>
    <row r="72" spans="1:7" x14ac:dyDescent="0.3">
      <c r="A72">
        <v>0</v>
      </c>
      <c r="B72" t="s">
        <v>319</v>
      </c>
      <c r="C72" t="s">
        <v>329</v>
      </c>
      <c r="D72" t="s">
        <v>2</v>
      </c>
      <c r="E72" t="s">
        <v>329</v>
      </c>
      <c r="F72" t="s">
        <v>13</v>
      </c>
      <c r="G72" t="s">
        <v>525</v>
      </c>
    </row>
    <row r="73" spans="1:7" x14ac:dyDescent="0.3">
      <c r="A73">
        <v>0</v>
      </c>
      <c r="B73" t="s">
        <v>312</v>
      </c>
      <c r="C73" t="s">
        <v>252</v>
      </c>
      <c r="D73" t="s">
        <v>2</v>
      </c>
      <c r="E73" t="s">
        <v>252</v>
      </c>
      <c r="F73" t="s">
        <v>13</v>
      </c>
      <c r="G73" t="s">
        <v>525</v>
      </c>
    </row>
    <row r="74" spans="1:7" x14ac:dyDescent="0.3">
      <c r="A74">
        <v>0</v>
      </c>
      <c r="B74" t="s">
        <v>312</v>
      </c>
      <c r="C74" t="s">
        <v>317</v>
      </c>
      <c r="D74" t="s">
        <v>2</v>
      </c>
      <c r="E74" t="s">
        <v>317</v>
      </c>
      <c r="F74" t="s">
        <v>13</v>
      </c>
      <c r="G74" t="s">
        <v>525</v>
      </c>
    </row>
    <row r="75" spans="1:7" x14ac:dyDescent="0.3">
      <c r="A75">
        <v>0</v>
      </c>
      <c r="B75" t="s">
        <v>312</v>
      </c>
      <c r="C75" t="s">
        <v>436</v>
      </c>
      <c r="D75" t="s">
        <v>2</v>
      </c>
      <c r="E75" t="s">
        <v>436</v>
      </c>
      <c r="F75" t="s">
        <v>13</v>
      </c>
      <c r="G75" t="s">
        <v>525</v>
      </c>
    </row>
    <row r="76" spans="1:7" x14ac:dyDescent="0.3">
      <c r="A76">
        <v>0</v>
      </c>
      <c r="B76" t="s">
        <v>319</v>
      </c>
      <c r="C76" t="s">
        <v>490</v>
      </c>
      <c r="D76" t="s">
        <v>2</v>
      </c>
      <c r="E76" t="s">
        <v>490</v>
      </c>
      <c r="F76" t="s">
        <v>13</v>
      </c>
      <c r="G76" t="s">
        <v>525</v>
      </c>
    </row>
    <row r="77" spans="1:7" x14ac:dyDescent="0.3">
      <c r="A77">
        <v>0</v>
      </c>
      <c r="B77" t="s">
        <v>312</v>
      </c>
      <c r="C77" t="s">
        <v>391</v>
      </c>
      <c r="D77" t="s">
        <v>2</v>
      </c>
      <c r="E77" t="s">
        <v>391</v>
      </c>
      <c r="F77" t="s">
        <v>13</v>
      </c>
      <c r="G77" t="s">
        <v>525</v>
      </c>
    </row>
    <row r="78" spans="1:7" x14ac:dyDescent="0.3">
      <c r="A78">
        <v>0</v>
      </c>
      <c r="B78" t="s">
        <v>312</v>
      </c>
      <c r="C78" t="s">
        <v>235</v>
      </c>
      <c r="D78" t="s">
        <v>2</v>
      </c>
      <c r="E78" t="s">
        <v>235</v>
      </c>
      <c r="F78" t="s">
        <v>13</v>
      </c>
      <c r="G78" t="s">
        <v>525</v>
      </c>
    </row>
    <row r="79" spans="1:7" x14ac:dyDescent="0.3">
      <c r="A79">
        <v>0</v>
      </c>
      <c r="B79" t="s">
        <v>312</v>
      </c>
      <c r="C79" t="s">
        <v>493</v>
      </c>
      <c r="D79" t="s">
        <v>2</v>
      </c>
      <c r="E79" t="s">
        <v>493</v>
      </c>
      <c r="F79" t="s">
        <v>13</v>
      </c>
      <c r="G79" t="s">
        <v>525</v>
      </c>
    </row>
    <row r="80" spans="1:7" x14ac:dyDescent="0.3">
      <c r="A80">
        <v>0</v>
      </c>
      <c r="B80" t="s">
        <v>312</v>
      </c>
      <c r="C80" t="s">
        <v>335</v>
      </c>
      <c r="D80" t="s">
        <v>2</v>
      </c>
      <c r="E80" t="s">
        <v>335</v>
      </c>
      <c r="F80" t="s">
        <v>13</v>
      </c>
      <c r="G80" t="s">
        <v>525</v>
      </c>
    </row>
    <row r="81" spans="1:7" x14ac:dyDescent="0.3">
      <c r="A81">
        <v>0</v>
      </c>
      <c r="B81" t="s">
        <v>312</v>
      </c>
      <c r="C81" t="s">
        <v>354</v>
      </c>
      <c r="D81" t="s">
        <v>2</v>
      </c>
      <c r="E81" t="s">
        <v>354</v>
      </c>
      <c r="F81" t="s">
        <v>13</v>
      </c>
      <c r="G81" t="s">
        <v>525</v>
      </c>
    </row>
    <row r="82" spans="1:7" x14ac:dyDescent="0.3">
      <c r="A82">
        <v>0</v>
      </c>
      <c r="B82" t="s">
        <v>319</v>
      </c>
      <c r="C82" t="s">
        <v>360</v>
      </c>
      <c r="D82" t="s">
        <v>2</v>
      </c>
      <c r="E82" t="s">
        <v>360</v>
      </c>
      <c r="F82" t="s">
        <v>13</v>
      </c>
      <c r="G82" t="s">
        <v>525</v>
      </c>
    </row>
    <row r="83" spans="1:7" x14ac:dyDescent="0.3">
      <c r="A83">
        <v>0</v>
      </c>
      <c r="B83" t="s">
        <v>314</v>
      </c>
      <c r="C83" t="s">
        <v>356</v>
      </c>
      <c r="D83" t="s">
        <v>2</v>
      </c>
      <c r="E83" t="s">
        <v>356</v>
      </c>
      <c r="F83" t="s">
        <v>13</v>
      </c>
      <c r="G83" t="s">
        <v>525</v>
      </c>
    </row>
    <row r="84" spans="1:7" x14ac:dyDescent="0.3">
      <c r="A84">
        <v>0</v>
      </c>
      <c r="B84" t="s">
        <v>312</v>
      </c>
      <c r="C84" t="s">
        <v>405</v>
      </c>
      <c r="D84" t="s">
        <v>2</v>
      </c>
      <c r="E84" t="s">
        <v>405</v>
      </c>
      <c r="F84" t="s">
        <v>13</v>
      </c>
      <c r="G84" t="s">
        <v>525</v>
      </c>
    </row>
    <row r="85" spans="1:7" x14ac:dyDescent="0.3">
      <c r="A85">
        <v>0</v>
      </c>
      <c r="B85" t="s">
        <v>312</v>
      </c>
      <c r="C85" t="s">
        <v>471</v>
      </c>
      <c r="D85" t="s">
        <v>2</v>
      </c>
      <c r="E85" t="s">
        <v>471</v>
      </c>
      <c r="F85" t="s">
        <v>13</v>
      </c>
      <c r="G85" t="s">
        <v>525</v>
      </c>
    </row>
    <row r="86" spans="1:7" x14ac:dyDescent="0.3">
      <c r="A86">
        <v>0</v>
      </c>
      <c r="B86" t="s">
        <v>319</v>
      </c>
      <c r="C86" t="s">
        <v>421</v>
      </c>
      <c r="D86" t="s">
        <v>2</v>
      </c>
      <c r="E86" t="s">
        <v>421</v>
      </c>
      <c r="F86" t="s">
        <v>13</v>
      </c>
      <c r="G86" t="s">
        <v>525</v>
      </c>
    </row>
    <row r="87" spans="1:7" x14ac:dyDescent="0.3">
      <c r="A87">
        <v>0</v>
      </c>
      <c r="B87" t="s">
        <v>312</v>
      </c>
      <c r="C87" t="s">
        <v>321</v>
      </c>
      <c r="D87" t="s">
        <v>2</v>
      </c>
      <c r="E87" t="s">
        <v>321</v>
      </c>
      <c r="F87" t="s">
        <v>13</v>
      </c>
      <c r="G87" t="s">
        <v>525</v>
      </c>
    </row>
    <row r="88" spans="1:7" x14ac:dyDescent="0.3">
      <c r="A88">
        <v>0</v>
      </c>
      <c r="B88" t="s">
        <v>105</v>
      </c>
      <c r="C88" t="s">
        <v>113</v>
      </c>
      <c r="D88" t="s">
        <v>2</v>
      </c>
      <c r="E88" t="s">
        <v>113</v>
      </c>
      <c r="F88" t="s">
        <v>13</v>
      </c>
      <c r="G88" t="s">
        <v>525</v>
      </c>
    </row>
    <row r="89" spans="1:7" x14ac:dyDescent="0.3">
      <c r="A89">
        <v>0</v>
      </c>
      <c r="B89" t="s">
        <v>312</v>
      </c>
      <c r="C89" t="s">
        <v>348</v>
      </c>
      <c r="D89" t="s">
        <v>2</v>
      </c>
      <c r="E89" t="s">
        <v>348</v>
      </c>
      <c r="F89" t="s">
        <v>13</v>
      </c>
      <c r="G89" t="s">
        <v>525</v>
      </c>
    </row>
    <row r="90" spans="1:7" x14ac:dyDescent="0.3">
      <c r="A90">
        <v>0</v>
      </c>
      <c r="B90" t="s">
        <v>105</v>
      </c>
      <c r="C90" t="s">
        <v>469</v>
      </c>
      <c r="D90" t="s">
        <v>2</v>
      </c>
      <c r="E90" t="s">
        <v>469</v>
      </c>
      <c r="F90" t="s">
        <v>13</v>
      </c>
      <c r="G90" t="s">
        <v>525</v>
      </c>
    </row>
    <row r="91" spans="1:7" x14ac:dyDescent="0.3">
      <c r="A91">
        <v>0</v>
      </c>
      <c r="B91" t="s">
        <v>314</v>
      </c>
      <c r="C91" t="s">
        <v>481</v>
      </c>
      <c r="D91" t="s">
        <v>2</v>
      </c>
      <c r="E91" t="s">
        <v>481</v>
      </c>
      <c r="F91" t="s">
        <v>13</v>
      </c>
      <c r="G91" t="s">
        <v>525</v>
      </c>
    </row>
    <row r="92" spans="1:7" x14ac:dyDescent="0.3">
      <c r="A92">
        <v>0</v>
      </c>
      <c r="B92" t="s">
        <v>312</v>
      </c>
      <c r="C92" t="s">
        <v>398</v>
      </c>
      <c r="D92" t="s">
        <v>2</v>
      </c>
      <c r="E92" t="s">
        <v>398</v>
      </c>
      <c r="F92" t="s">
        <v>13</v>
      </c>
      <c r="G92" t="s">
        <v>525</v>
      </c>
    </row>
    <row r="93" spans="1:7" x14ac:dyDescent="0.3">
      <c r="A93">
        <v>0</v>
      </c>
      <c r="B93" t="s">
        <v>314</v>
      </c>
      <c r="C93" t="s">
        <v>342</v>
      </c>
      <c r="D93" t="s">
        <v>2</v>
      </c>
      <c r="E93" t="s">
        <v>342</v>
      </c>
      <c r="F93" t="s">
        <v>13</v>
      </c>
      <c r="G93" t="s">
        <v>525</v>
      </c>
    </row>
    <row r="94" spans="1:7" x14ac:dyDescent="0.3">
      <c r="A94">
        <v>0</v>
      </c>
      <c r="B94" t="s">
        <v>312</v>
      </c>
      <c r="C94" t="s">
        <v>322</v>
      </c>
      <c r="D94" t="s">
        <v>2</v>
      </c>
      <c r="E94" t="s">
        <v>322</v>
      </c>
      <c r="F94" t="s">
        <v>13</v>
      </c>
      <c r="G94" t="s">
        <v>525</v>
      </c>
    </row>
    <row r="95" spans="1:7" x14ac:dyDescent="0.3">
      <c r="A95">
        <v>0</v>
      </c>
      <c r="B95" t="s">
        <v>314</v>
      </c>
      <c r="C95" t="s">
        <v>409</v>
      </c>
      <c r="D95" t="s">
        <v>2</v>
      </c>
      <c r="E95" t="s">
        <v>409</v>
      </c>
      <c r="F95" t="s">
        <v>13</v>
      </c>
      <c r="G95" t="s">
        <v>525</v>
      </c>
    </row>
    <row r="96" spans="1:7" x14ac:dyDescent="0.3">
      <c r="A96">
        <v>0</v>
      </c>
      <c r="B96" t="s">
        <v>314</v>
      </c>
      <c r="C96" t="s">
        <v>480</v>
      </c>
      <c r="D96" t="s">
        <v>2</v>
      </c>
      <c r="E96" t="s">
        <v>480</v>
      </c>
      <c r="F96" t="s">
        <v>13</v>
      </c>
      <c r="G96" t="s">
        <v>525</v>
      </c>
    </row>
    <row r="97" spans="1:7" x14ac:dyDescent="0.3">
      <c r="A97">
        <v>0</v>
      </c>
      <c r="B97" t="s">
        <v>105</v>
      </c>
      <c r="C97" t="s">
        <v>121</v>
      </c>
      <c r="D97" t="s">
        <v>2</v>
      </c>
      <c r="E97" t="s">
        <v>121</v>
      </c>
      <c r="F97" t="s">
        <v>13</v>
      </c>
      <c r="G97" t="s">
        <v>525</v>
      </c>
    </row>
    <row r="98" spans="1:7" x14ac:dyDescent="0.3">
      <c r="A98">
        <v>0</v>
      </c>
      <c r="B98" t="s">
        <v>312</v>
      </c>
      <c r="C98" t="s">
        <v>359</v>
      </c>
      <c r="D98" t="s">
        <v>2</v>
      </c>
      <c r="E98" t="s">
        <v>359</v>
      </c>
      <c r="F98" t="s">
        <v>13</v>
      </c>
      <c r="G98" t="s">
        <v>525</v>
      </c>
    </row>
    <row r="99" spans="1:7" x14ac:dyDescent="0.3">
      <c r="A99">
        <v>0</v>
      </c>
      <c r="B99" t="s">
        <v>319</v>
      </c>
      <c r="C99" t="s">
        <v>468</v>
      </c>
      <c r="D99" t="s">
        <v>2</v>
      </c>
      <c r="E99" t="s">
        <v>468</v>
      </c>
      <c r="F99" t="s">
        <v>13</v>
      </c>
      <c r="G99" t="s">
        <v>525</v>
      </c>
    </row>
    <row r="100" spans="1:7" x14ac:dyDescent="0.3">
      <c r="A100">
        <v>0</v>
      </c>
      <c r="B100" t="s">
        <v>319</v>
      </c>
      <c r="C100" t="s">
        <v>458</v>
      </c>
      <c r="D100" t="s">
        <v>2</v>
      </c>
      <c r="E100" t="s">
        <v>458</v>
      </c>
      <c r="F100" t="s">
        <v>13</v>
      </c>
      <c r="G100" t="s">
        <v>525</v>
      </c>
    </row>
    <row r="101" spans="1:7" x14ac:dyDescent="0.3">
      <c r="A101">
        <v>0</v>
      </c>
      <c r="B101" t="s">
        <v>312</v>
      </c>
      <c r="C101" t="s">
        <v>370</v>
      </c>
      <c r="D101" t="s">
        <v>2</v>
      </c>
      <c r="E101" t="s">
        <v>370</v>
      </c>
      <c r="F101" t="s">
        <v>13</v>
      </c>
      <c r="G101" t="s">
        <v>525</v>
      </c>
    </row>
    <row r="102" spans="1:7" x14ac:dyDescent="0.3">
      <c r="A102">
        <v>0</v>
      </c>
      <c r="B102" t="s">
        <v>57</v>
      </c>
      <c r="C102" t="s">
        <v>114</v>
      </c>
      <c r="D102" t="s">
        <v>2</v>
      </c>
      <c r="E102" t="s">
        <v>114</v>
      </c>
      <c r="F102" t="s">
        <v>13</v>
      </c>
      <c r="G102" t="s">
        <v>525</v>
      </c>
    </row>
    <row r="103" spans="1:7" x14ac:dyDescent="0.3">
      <c r="A103">
        <v>0</v>
      </c>
      <c r="B103" t="s">
        <v>319</v>
      </c>
      <c r="C103" t="s">
        <v>404</v>
      </c>
      <c r="D103" t="s">
        <v>2</v>
      </c>
      <c r="E103" t="s">
        <v>404</v>
      </c>
      <c r="F103" t="s">
        <v>13</v>
      </c>
      <c r="G103" t="s">
        <v>525</v>
      </c>
    </row>
    <row r="104" spans="1:7" x14ac:dyDescent="0.3">
      <c r="A104">
        <v>0</v>
      </c>
      <c r="B104" t="s">
        <v>312</v>
      </c>
      <c r="C104" t="s">
        <v>369</v>
      </c>
      <c r="D104" t="s">
        <v>2</v>
      </c>
      <c r="E104" t="s">
        <v>369</v>
      </c>
      <c r="F104" t="s">
        <v>13</v>
      </c>
      <c r="G104" t="s">
        <v>525</v>
      </c>
    </row>
    <row r="105" spans="1:7" x14ac:dyDescent="0.3">
      <c r="A105">
        <v>0</v>
      </c>
      <c r="B105" t="s">
        <v>57</v>
      </c>
      <c r="C105" t="s">
        <v>122</v>
      </c>
      <c r="D105" t="s">
        <v>2</v>
      </c>
      <c r="E105" t="s">
        <v>122</v>
      </c>
      <c r="F105" t="s">
        <v>13</v>
      </c>
      <c r="G105" t="s">
        <v>525</v>
      </c>
    </row>
    <row r="106" spans="1:7" x14ac:dyDescent="0.3">
      <c r="A106">
        <v>0</v>
      </c>
      <c r="B106" t="s">
        <v>319</v>
      </c>
      <c r="C106" t="s">
        <v>390</v>
      </c>
      <c r="D106" t="s">
        <v>2</v>
      </c>
      <c r="E106" t="s">
        <v>390</v>
      </c>
      <c r="F106" t="s">
        <v>13</v>
      </c>
      <c r="G106" t="s">
        <v>525</v>
      </c>
    </row>
    <row r="107" spans="1:7" x14ac:dyDescent="0.3">
      <c r="A107">
        <v>0</v>
      </c>
      <c r="B107" t="s">
        <v>312</v>
      </c>
      <c r="C107" t="s">
        <v>492</v>
      </c>
      <c r="D107" t="s">
        <v>2</v>
      </c>
      <c r="E107" t="s">
        <v>492</v>
      </c>
      <c r="F107" t="s">
        <v>13</v>
      </c>
      <c r="G107" t="s">
        <v>525</v>
      </c>
    </row>
    <row r="108" spans="1:7" x14ac:dyDescent="0.3">
      <c r="A108">
        <v>0</v>
      </c>
      <c r="B108" t="s">
        <v>312</v>
      </c>
      <c r="C108" t="s">
        <v>345</v>
      </c>
      <c r="D108" t="s">
        <v>2</v>
      </c>
      <c r="E108" t="s">
        <v>345</v>
      </c>
      <c r="F108" t="s">
        <v>13</v>
      </c>
      <c r="G108" t="s">
        <v>525</v>
      </c>
    </row>
    <row r="109" spans="1:7" x14ac:dyDescent="0.3">
      <c r="A109">
        <v>0</v>
      </c>
      <c r="B109" t="s">
        <v>314</v>
      </c>
      <c r="C109" t="s">
        <v>374</v>
      </c>
      <c r="D109" t="s">
        <v>2</v>
      </c>
      <c r="E109" t="s">
        <v>374</v>
      </c>
      <c r="F109" t="s">
        <v>13</v>
      </c>
      <c r="G109" t="s">
        <v>525</v>
      </c>
    </row>
    <row r="110" spans="1:7" x14ac:dyDescent="0.3">
      <c r="A110">
        <v>0</v>
      </c>
      <c r="B110" t="s">
        <v>105</v>
      </c>
      <c r="C110" t="s">
        <v>124</v>
      </c>
      <c r="D110" t="s">
        <v>2</v>
      </c>
      <c r="E110" t="s">
        <v>124</v>
      </c>
      <c r="F110" t="s">
        <v>13</v>
      </c>
      <c r="G110" t="s">
        <v>525</v>
      </c>
    </row>
    <row r="111" spans="1:7" x14ac:dyDescent="0.3">
      <c r="A111">
        <v>0</v>
      </c>
      <c r="B111" t="s">
        <v>312</v>
      </c>
      <c r="C111" t="s">
        <v>440</v>
      </c>
      <c r="D111" t="s">
        <v>2</v>
      </c>
      <c r="E111" t="s">
        <v>440</v>
      </c>
      <c r="F111" t="s">
        <v>13</v>
      </c>
      <c r="G111" t="s">
        <v>525</v>
      </c>
    </row>
    <row r="112" spans="1:7" x14ac:dyDescent="0.3">
      <c r="A112">
        <v>0</v>
      </c>
      <c r="B112" t="s">
        <v>312</v>
      </c>
      <c r="C112" t="s">
        <v>316</v>
      </c>
      <c r="D112" t="s">
        <v>2</v>
      </c>
      <c r="E112" t="s">
        <v>316</v>
      </c>
      <c r="F112" t="s">
        <v>13</v>
      </c>
      <c r="G112" t="s">
        <v>525</v>
      </c>
    </row>
    <row r="113" spans="1:7" x14ac:dyDescent="0.3">
      <c r="A113">
        <v>0</v>
      </c>
      <c r="B113" t="s">
        <v>312</v>
      </c>
      <c r="C113" t="s">
        <v>427</v>
      </c>
      <c r="D113" t="s">
        <v>2</v>
      </c>
      <c r="E113" t="s">
        <v>427</v>
      </c>
      <c r="F113" t="s">
        <v>13</v>
      </c>
      <c r="G113" t="s">
        <v>525</v>
      </c>
    </row>
    <row r="114" spans="1:7" x14ac:dyDescent="0.3">
      <c r="A114">
        <v>0</v>
      </c>
      <c r="B114" t="s">
        <v>312</v>
      </c>
      <c r="C114" t="s">
        <v>332</v>
      </c>
      <c r="D114" t="s">
        <v>2</v>
      </c>
      <c r="E114" t="s">
        <v>332</v>
      </c>
      <c r="F114" t="s">
        <v>13</v>
      </c>
      <c r="G114" t="s">
        <v>525</v>
      </c>
    </row>
    <row r="115" spans="1:7" x14ac:dyDescent="0.3">
      <c r="A115">
        <v>0</v>
      </c>
      <c r="B115" t="s">
        <v>312</v>
      </c>
      <c r="C115" t="s">
        <v>336</v>
      </c>
      <c r="D115" t="s">
        <v>2</v>
      </c>
      <c r="E115" t="s">
        <v>336</v>
      </c>
      <c r="F115" t="s">
        <v>13</v>
      </c>
      <c r="G115" t="s">
        <v>525</v>
      </c>
    </row>
    <row r="116" spans="1:7" x14ac:dyDescent="0.3">
      <c r="A116">
        <v>0</v>
      </c>
      <c r="B116" t="s">
        <v>314</v>
      </c>
      <c r="C116" t="s">
        <v>393</v>
      </c>
      <c r="D116" t="s">
        <v>2</v>
      </c>
      <c r="E116" t="s">
        <v>393</v>
      </c>
      <c r="F116" t="s">
        <v>13</v>
      </c>
      <c r="G116" t="s">
        <v>525</v>
      </c>
    </row>
    <row r="117" spans="1:7" x14ac:dyDescent="0.3">
      <c r="A117">
        <v>0</v>
      </c>
      <c r="B117" t="s">
        <v>312</v>
      </c>
      <c r="C117" t="s">
        <v>339</v>
      </c>
      <c r="D117" t="s">
        <v>2</v>
      </c>
      <c r="E117" t="s">
        <v>339</v>
      </c>
      <c r="F117" t="s">
        <v>13</v>
      </c>
      <c r="G117" t="s">
        <v>525</v>
      </c>
    </row>
    <row r="118" spans="1:7" x14ac:dyDescent="0.3">
      <c r="A118">
        <v>0</v>
      </c>
      <c r="B118" t="s">
        <v>312</v>
      </c>
      <c r="C118" t="s">
        <v>400</v>
      </c>
      <c r="D118" t="s">
        <v>2</v>
      </c>
      <c r="E118" t="s">
        <v>400</v>
      </c>
      <c r="F118" t="s">
        <v>13</v>
      </c>
      <c r="G118" t="s">
        <v>525</v>
      </c>
    </row>
    <row r="119" spans="1:7" x14ac:dyDescent="0.3">
      <c r="A119">
        <v>0</v>
      </c>
      <c r="B119" t="s">
        <v>312</v>
      </c>
      <c r="C119" t="s">
        <v>380</v>
      </c>
      <c r="D119" t="s">
        <v>2</v>
      </c>
      <c r="E119" t="s">
        <v>380</v>
      </c>
      <c r="F119" t="s">
        <v>13</v>
      </c>
      <c r="G119" t="s">
        <v>525</v>
      </c>
    </row>
    <row r="120" spans="1:7" x14ac:dyDescent="0.3">
      <c r="A120">
        <v>0</v>
      </c>
      <c r="B120" t="s">
        <v>312</v>
      </c>
      <c r="C120" t="s">
        <v>442</v>
      </c>
      <c r="D120" t="s">
        <v>2</v>
      </c>
      <c r="E120" t="s">
        <v>442</v>
      </c>
      <c r="F120" t="s">
        <v>13</v>
      </c>
      <c r="G120" t="s">
        <v>525</v>
      </c>
    </row>
    <row r="121" spans="1:7" x14ac:dyDescent="0.3">
      <c r="A121">
        <v>0</v>
      </c>
      <c r="B121" t="s">
        <v>314</v>
      </c>
      <c r="C121" t="s">
        <v>349</v>
      </c>
      <c r="D121" t="s">
        <v>2</v>
      </c>
      <c r="E121" t="s">
        <v>349</v>
      </c>
      <c r="F121" t="s">
        <v>13</v>
      </c>
      <c r="G121" t="s">
        <v>525</v>
      </c>
    </row>
    <row r="122" spans="1:7" x14ac:dyDescent="0.3">
      <c r="A122">
        <v>0</v>
      </c>
      <c r="B122" t="s">
        <v>57</v>
      </c>
      <c r="C122" t="s">
        <v>470</v>
      </c>
      <c r="D122" t="s">
        <v>2</v>
      </c>
      <c r="E122" t="s">
        <v>470</v>
      </c>
      <c r="F122" t="s">
        <v>13</v>
      </c>
      <c r="G122" t="s">
        <v>525</v>
      </c>
    </row>
    <row r="123" spans="1:7" x14ac:dyDescent="0.3">
      <c r="A123">
        <v>0</v>
      </c>
      <c r="B123" t="s">
        <v>319</v>
      </c>
      <c r="C123" t="s">
        <v>463</v>
      </c>
      <c r="D123" t="s">
        <v>2</v>
      </c>
      <c r="E123" t="s">
        <v>463</v>
      </c>
      <c r="F123" t="s">
        <v>13</v>
      </c>
      <c r="G123" t="s">
        <v>525</v>
      </c>
    </row>
    <row r="124" spans="1:7" x14ac:dyDescent="0.3">
      <c r="A124">
        <v>0</v>
      </c>
      <c r="B124" t="s">
        <v>314</v>
      </c>
      <c r="C124" t="s">
        <v>343</v>
      </c>
      <c r="D124" t="s">
        <v>2</v>
      </c>
      <c r="E124" t="s">
        <v>343</v>
      </c>
      <c r="F124" t="s">
        <v>13</v>
      </c>
      <c r="G124" t="s">
        <v>525</v>
      </c>
    </row>
    <row r="125" spans="1:7" x14ac:dyDescent="0.3">
      <c r="A125">
        <v>0</v>
      </c>
      <c r="B125" t="s">
        <v>312</v>
      </c>
      <c r="C125" t="s">
        <v>371</v>
      </c>
      <c r="D125" t="s">
        <v>2</v>
      </c>
      <c r="E125" t="s">
        <v>371</v>
      </c>
      <c r="F125" t="s">
        <v>13</v>
      </c>
      <c r="G125" t="s">
        <v>525</v>
      </c>
    </row>
    <row r="126" spans="1:7" x14ac:dyDescent="0.3">
      <c r="A126">
        <v>0</v>
      </c>
      <c r="B126" t="s">
        <v>312</v>
      </c>
      <c r="C126" t="s">
        <v>366</v>
      </c>
      <c r="D126" t="s">
        <v>2</v>
      </c>
      <c r="E126" t="s">
        <v>366</v>
      </c>
      <c r="F126" t="s">
        <v>13</v>
      </c>
      <c r="G126" t="s">
        <v>525</v>
      </c>
    </row>
    <row r="127" spans="1:7" x14ac:dyDescent="0.3">
      <c r="A127">
        <v>0</v>
      </c>
      <c r="B127" t="s">
        <v>312</v>
      </c>
      <c r="C127" t="s">
        <v>384</v>
      </c>
      <c r="D127" t="s">
        <v>2</v>
      </c>
      <c r="E127" t="s">
        <v>384</v>
      </c>
      <c r="F127" t="s">
        <v>13</v>
      </c>
      <c r="G127" t="s">
        <v>525</v>
      </c>
    </row>
    <row r="128" spans="1:7" x14ac:dyDescent="0.3">
      <c r="A128">
        <v>0</v>
      </c>
      <c r="B128" t="s">
        <v>319</v>
      </c>
      <c r="C128" t="s">
        <v>464</v>
      </c>
      <c r="D128" t="s">
        <v>2</v>
      </c>
      <c r="E128" t="s">
        <v>464</v>
      </c>
      <c r="F128" t="s">
        <v>13</v>
      </c>
      <c r="G128" t="s">
        <v>525</v>
      </c>
    </row>
    <row r="129" spans="1:7" x14ac:dyDescent="0.3">
      <c r="A129">
        <v>0</v>
      </c>
      <c r="B129" t="s">
        <v>312</v>
      </c>
      <c r="C129" t="s">
        <v>323</v>
      </c>
      <c r="D129" t="s">
        <v>2</v>
      </c>
      <c r="E129" t="s">
        <v>323</v>
      </c>
      <c r="F129" t="s">
        <v>13</v>
      </c>
      <c r="G129" t="s">
        <v>525</v>
      </c>
    </row>
    <row r="130" spans="1:7" x14ac:dyDescent="0.3">
      <c r="A130">
        <v>0</v>
      </c>
      <c r="B130" t="s">
        <v>314</v>
      </c>
      <c r="C130" t="s">
        <v>414</v>
      </c>
      <c r="D130" t="s">
        <v>2</v>
      </c>
      <c r="E130" t="s">
        <v>414</v>
      </c>
      <c r="F130" t="s">
        <v>13</v>
      </c>
      <c r="G130" t="s">
        <v>525</v>
      </c>
    </row>
    <row r="131" spans="1:7" x14ac:dyDescent="0.3">
      <c r="A131">
        <v>0</v>
      </c>
      <c r="B131" t="s">
        <v>312</v>
      </c>
      <c r="C131" t="s">
        <v>261</v>
      </c>
      <c r="D131" t="s">
        <v>2</v>
      </c>
      <c r="E131" t="s">
        <v>261</v>
      </c>
      <c r="F131" t="s">
        <v>13</v>
      </c>
      <c r="G131" t="s">
        <v>525</v>
      </c>
    </row>
    <row r="132" spans="1:7" x14ac:dyDescent="0.3">
      <c r="A132">
        <v>0</v>
      </c>
      <c r="B132" t="s">
        <v>319</v>
      </c>
      <c r="C132" t="s">
        <v>364</v>
      </c>
      <c r="D132" t="s">
        <v>2</v>
      </c>
      <c r="E132" t="s">
        <v>364</v>
      </c>
      <c r="F132" t="s">
        <v>13</v>
      </c>
      <c r="G132" t="s">
        <v>525</v>
      </c>
    </row>
    <row r="133" spans="1:7" x14ac:dyDescent="0.3">
      <c r="A133">
        <v>0</v>
      </c>
      <c r="B133" t="s">
        <v>312</v>
      </c>
      <c r="C133" t="s">
        <v>373</v>
      </c>
      <c r="D133" t="s">
        <v>2</v>
      </c>
      <c r="E133" t="s">
        <v>373</v>
      </c>
      <c r="F133" t="s">
        <v>13</v>
      </c>
      <c r="G133" t="s">
        <v>525</v>
      </c>
    </row>
    <row r="134" spans="1:7" x14ac:dyDescent="0.3">
      <c r="A134">
        <v>0</v>
      </c>
      <c r="B134" t="s">
        <v>312</v>
      </c>
      <c r="C134" t="s">
        <v>482</v>
      </c>
      <c r="D134" t="s">
        <v>2</v>
      </c>
      <c r="E134" t="s">
        <v>482</v>
      </c>
      <c r="F134" t="s">
        <v>13</v>
      </c>
      <c r="G134" t="s">
        <v>525</v>
      </c>
    </row>
    <row r="135" spans="1:7" x14ac:dyDescent="0.3">
      <c r="A135">
        <v>0</v>
      </c>
      <c r="B135" t="s">
        <v>312</v>
      </c>
      <c r="C135" t="s">
        <v>412</v>
      </c>
      <c r="D135" t="s">
        <v>2</v>
      </c>
      <c r="E135" t="s">
        <v>412</v>
      </c>
      <c r="F135" t="s">
        <v>13</v>
      </c>
      <c r="G135" t="s">
        <v>525</v>
      </c>
    </row>
    <row r="136" spans="1:7" x14ac:dyDescent="0.3">
      <c r="A136">
        <v>0</v>
      </c>
      <c r="B136" t="s">
        <v>312</v>
      </c>
      <c r="C136" t="s">
        <v>434</v>
      </c>
      <c r="D136" t="s">
        <v>2</v>
      </c>
      <c r="E136" t="s">
        <v>434</v>
      </c>
      <c r="F136" t="s">
        <v>13</v>
      </c>
      <c r="G136" t="s">
        <v>525</v>
      </c>
    </row>
    <row r="137" spans="1:7" x14ac:dyDescent="0.3">
      <c r="A137">
        <v>0</v>
      </c>
      <c r="B137" t="s">
        <v>314</v>
      </c>
      <c r="C137" t="s">
        <v>443</v>
      </c>
      <c r="D137" t="s">
        <v>2</v>
      </c>
      <c r="E137" t="s">
        <v>443</v>
      </c>
      <c r="F137" t="s">
        <v>13</v>
      </c>
      <c r="G137" t="s">
        <v>525</v>
      </c>
    </row>
    <row r="138" spans="1:7" x14ac:dyDescent="0.3">
      <c r="A138">
        <v>0</v>
      </c>
      <c r="B138" t="s">
        <v>319</v>
      </c>
      <c r="C138" t="s">
        <v>430</v>
      </c>
      <c r="D138" t="s">
        <v>2</v>
      </c>
      <c r="E138" t="s">
        <v>430</v>
      </c>
      <c r="F138" t="s">
        <v>13</v>
      </c>
      <c r="G138" t="s">
        <v>525</v>
      </c>
    </row>
    <row r="139" spans="1:7" x14ac:dyDescent="0.3">
      <c r="A139">
        <v>0</v>
      </c>
      <c r="B139" t="s">
        <v>314</v>
      </c>
      <c r="C139" t="s">
        <v>408</v>
      </c>
      <c r="D139" t="s">
        <v>2</v>
      </c>
      <c r="E139" t="s">
        <v>408</v>
      </c>
      <c r="F139" t="s">
        <v>13</v>
      </c>
      <c r="G139" t="s">
        <v>525</v>
      </c>
    </row>
    <row r="140" spans="1:7" x14ac:dyDescent="0.3">
      <c r="A140">
        <v>0</v>
      </c>
      <c r="B140" t="s">
        <v>312</v>
      </c>
      <c r="C140" t="s">
        <v>138</v>
      </c>
      <c r="D140" t="s">
        <v>2</v>
      </c>
      <c r="E140" t="s">
        <v>138</v>
      </c>
      <c r="F140" t="s">
        <v>13</v>
      </c>
      <c r="G140" t="s">
        <v>525</v>
      </c>
    </row>
    <row r="141" spans="1:7" x14ac:dyDescent="0.3">
      <c r="A141">
        <v>0</v>
      </c>
      <c r="B141" t="s">
        <v>312</v>
      </c>
      <c r="C141" t="s">
        <v>275</v>
      </c>
      <c r="D141" t="s">
        <v>2</v>
      </c>
      <c r="E141" t="s">
        <v>275</v>
      </c>
      <c r="F141" t="s">
        <v>13</v>
      </c>
      <c r="G141" t="s">
        <v>525</v>
      </c>
    </row>
    <row r="142" spans="1:7" x14ac:dyDescent="0.3">
      <c r="A142">
        <v>0</v>
      </c>
      <c r="B142" t="s">
        <v>312</v>
      </c>
      <c r="C142" t="s">
        <v>337</v>
      </c>
      <c r="D142" t="s">
        <v>2</v>
      </c>
      <c r="E142" t="s">
        <v>337</v>
      </c>
      <c r="F142" t="s">
        <v>13</v>
      </c>
      <c r="G142" t="s">
        <v>525</v>
      </c>
    </row>
    <row r="143" spans="1:7" x14ac:dyDescent="0.3">
      <c r="A143">
        <v>0</v>
      </c>
      <c r="B143" t="s">
        <v>312</v>
      </c>
      <c r="C143" t="s">
        <v>331</v>
      </c>
      <c r="D143" t="s">
        <v>2</v>
      </c>
      <c r="E143" t="s">
        <v>331</v>
      </c>
      <c r="F143" t="s">
        <v>13</v>
      </c>
      <c r="G143" t="s">
        <v>525</v>
      </c>
    </row>
    <row r="144" spans="1:7" x14ac:dyDescent="0.3">
      <c r="A144">
        <v>0</v>
      </c>
      <c r="B144" t="s">
        <v>312</v>
      </c>
      <c r="C144" t="s">
        <v>452</v>
      </c>
      <c r="D144" t="s">
        <v>2</v>
      </c>
      <c r="E144" t="s">
        <v>452</v>
      </c>
      <c r="F144" t="s">
        <v>13</v>
      </c>
      <c r="G144" t="s">
        <v>525</v>
      </c>
    </row>
    <row r="145" spans="1:7" x14ac:dyDescent="0.3">
      <c r="A145">
        <v>0</v>
      </c>
      <c r="B145" t="s">
        <v>319</v>
      </c>
      <c r="C145" t="s">
        <v>477</v>
      </c>
      <c r="D145" t="s">
        <v>2</v>
      </c>
      <c r="E145" t="s">
        <v>477</v>
      </c>
      <c r="F145" t="s">
        <v>13</v>
      </c>
      <c r="G145" t="s">
        <v>525</v>
      </c>
    </row>
    <row r="146" spans="1:7" x14ac:dyDescent="0.3">
      <c r="A146">
        <v>0</v>
      </c>
      <c r="B146" t="s">
        <v>312</v>
      </c>
      <c r="C146" t="s">
        <v>446</v>
      </c>
      <c r="D146" t="s">
        <v>2</v>
      </c>
      <c r="E146" t="s">
        <v>446</v>
      </c>
      <c r="F146" t="s">
        <v>13</v>
      </c>
      <c r="G146" t="s">
        <v>525</v>
      </c>
    </row>
    <row r="147" spans="1:7" x14ac:dyDescent="0.3">
      <c r="A147">
        <v>0</v>
      </c>
      <c r="B147" t="s">
        <v>319</v>
      </c>
      <c r="C147" t="s">
        <v>491</v>
      </c>
      <c r="D147" t="s">
        <v>2</v>
      </c>
      <c r="E147" t="s">
        <v>491</v>
      </c>
      <c r="F147" t="s">
        <v>13</v>
      </c>
      <c r="G147" t="s">
        <v>525</v>
      </c>
    </row>
    <row r="148" spans="1:7" x14ac:dyDescent="0.3">
      <c r="A148">
        <v>0</v>
      </c>
      <c r="B148" t="s">
        <v>312</v>
      </c>
      <c r="C148" t="s">
        <v>326</v>
      </c>
      <c r="D148" t="s">
        <v>2</v>
      </c>
      <c r="E148" t="s">
        <v>326</v>
      </c>
      <c r="F148" t="s">
        <v>13</v>
      </c>
      <c r="G148" t="s">
        <v>525</v>
      </c>
    </row>
    <row r="149" spans="1:7" x14ac:dyDescent="0.3">
      <c r="A149">
        <v>0</v>
      </c>
      <c r="B149" t="s">
        <v>319</v>
      </c>
      <c r="C149" t="s">
        <v>415</v>
      </c>
      <c r="D149" t="s">
        <v>2</v>
      </c>
      <c r="E149" t="s">
        <v>415</v>
      </c>
      <c r="F149" t="s">
        <v>13</v>
      </c>
      <c r="G149" t="s">
        <v>525</v>
      </c>
    </row>
    <row r="150" spans="1:7" x14ac:dyDescent="0.3">
      <c r="A150">
        <v>0</v>
      </c>
      <c r="B150" t="s">
        <v>314</v>
      </c>
      <c r="C150" t="s">
        <v>451</v>
      </c>
      <c r="D150" t="s">
        <v>2</v>
      </c>
      <c r="E150" t="s">
        <v>451</v>
      </c>
      <c r="F150" t="s">
        <v>13</v>
      </c>
      <c r="G150" t="s">
        <v>525</v>
      </c>
    </row>
    <row r="151" spans="1:7" x14ac:dyDescent="0.3">
      <c r="A151">
        <v>0</v>
      </c>
      <c r="B151" t="s">
        <v>314</v>
      </c>
      <c r="C151" t="s">
        <v>448</v>
      </c>
      <c r="D151" t="s">
        <v>2</v>
      </c>
      <c r="E151" t="s">
        <v>448</v>
      </c>
      <c r="F151" t="s">
        <v>13</v>
      </c>
      <c r="G151" t="s">
        <v>525</v>
      </c>
    </row>
    <row r="152" spans="1:7" x14ac:dyDescent="0.3">
      <c r="A152">
        <v>0</v>
      </c>
      <c r="B152" t="s">
        <v>312</v>
      </c>
      <c r="C152" t="s">
        <v>423</v>
      </c>
      <c r="D152" t="s">
        <v>2</v>
      </c>
      <c r="E152" t="s">
        <v>423</v>
      </c>
      <c r="F152" t="s">
        <v>13</v>
      </c>
      <c r="G152" t="s">
        <v>525</v>
      </c>
    </row>
    <row r="153" spans="1:7" x14ac:dyDescent="0.3">
      <c r="A153">
        <v>0</v>
      </c>
      <c r="B153" t="s">
        <v>319</v>
      </c>
      <c r="C153" t="s">
        <v>361</v>
      </c>
      <c r="D153" t="s">
        <v>2</v>
      </c>
      <c r="E153" t="s">
        <v>361</v>
      </c>
      <c r="F153" t="s">
        <v>13</v>
      </c>
      <c r="G153" t="s">
        <v>525</v>
      </c>
    </row>
    <row r="154" spans="1:7" x14ac:dyDescent="0.3">
      <c r="A154">
        <v>0</v>
      </c>
      <c r="B154" t="s">
        <v>314</v>
      </c>
      <c r="C154" t="s">
        <v>467</v>
      </c>
      <c r="D154" t="s">
        <v>2</v>
      </c>
      <c r="E154" t="s">
        <v>467</v>
      </c>
      <c r="F154" t="s">
        <v>13</v>
      </c>
      <c r="G154" t="s">
        <v>525</v>
      </c>
    </row>
    <row r="155" spans="1:7" x14ac:dyDescent="0.3">
      <c r="A155">
        <v>0</v>
      </c>
      <c r="B155" t="s">
        <v>319</v>
      </c>
      <c r="C155" t="s">
        <v>420</v>
      </c>
      <c r="D155" t="s">
        <v>2</v>
      </c>
      <c r="E155" t="s">
        <v>420</v>
      </c>
      <c r="F155" t="s">
        <v>13</v>
      </c>
      <c r="G155" t="s">
        <v>525</v>
      </c>
    </row>
    <row r="156" spans="1:7" x14ac:dyDescent="0.3">
      <c r="A156">
        <v>0</v>
      </c>
      <c r="B156" t="s">
        <v>314</v>
      </c>
      <c r="C156" t="s">
        <v>487</v>
      </c>
      <c r="D156" t="s">
        <v>2</v>
      </c>
      <c r="E156" t="s">
        <v>487</v>
      </c>
      <c r="F156" t="s">
        <v>13</v>
      </c>
      <c r="G156" t="s">
        <v>525</v>
      </c>
    </row>
    <row r="157" spans="1:7" x14ac:dyDescent="0.3">
      <c r="A157">
        <v>0</v>
      </c>
      <c r="B157" t="s">
        <v>312</v>
      </c>
      <c r="C157" t="s">
        <v>149</v>
      </c>
      <c r="D157" t="s">
        <v>2</v>
      </c>
      <c r="E157" t="s">
        <v>149</v>
      </c>
      <c r="F157" t="s">
        <v>13</v>
      </c>
      <c r="G157" t="s">
        <v>525</v>
      </c>
    </row>
    <row r="158" spans="1:7" x14ac:dyDescent="0.3">
      <c r="A158">
        <v>0</v>
      </c>
      <c r="B158" t="s">
        <v>314</v>
      </c>
      <c r="C158" t="s">
        <v>377</v>
      </c>
      <c r="D158" t="s">
        <v>2</v>
      </c>
      <c r="E158" t="s">
        <v>377</v>
      </c>
      <c r="F158" t="s">
        <v>13</v>
      </c>
      <c r="G158" t="s">
        <v>525</v>
      </c>
    </row>
    <row r="159" spans="1:7" x14ac:dyDescent="0.3">
      <c r="A159">
        <v>0</v>
      </c>
      <c r="B159" t="s">
        <v>312</v>
      </c>
      <c r="C159" t="s">
        <v>403</v>
      </c>
      <c r="D159" t="s">
        <v>2</v>
      </c>
      <c r="E159" t="s">
        <v>403</v>
      </c>
      <c r="F159" t="s">
        <v>13</v>
      </c>
      <c r="G159" t="s">
        <v>525</v>
      </c>
    </row>
    <row r="160" spans="1:7" x14ac:dyDescent="0.3">
      <c r="A160">
        <v>0</v>
      </c>
      <c r="B160" t="s">
        <v>312</v>
      </c>
      <c r="C160" t="s">
        <v>387</v>
      </c>
      <c r="D160" t="s">
        <v>2</v>
      </c>
      <c r="E160" t="s">
        <v>387</v>
      </c>
      <c r="F160" t="s">
        <v>13</v>
      </c>
      <c r="G160" t="s">
        <v>525</v>
      </c>
    </row>
    <row r="161" spans="1:7" x14ac:dyDescent="0.3">
      <c r="A161">
        <v>0</v>
      </c>
      <c r="B161" t="s">
        <v>312</v>
      </c>
      <c r="C161" t="s">
        <v>431</v>
      </c>
      <c r="D161" t="s">
        <v>2</v>
      </c>
      <c r="E161" t="s">
        <v>431</v>
      </c>
      <c r="F161" t="s">
        <v>13</v>
      </c>
      <c r="G161" t="s">
        <v>525</v>
      </c>
    </row>
    <row r="162" spans="1:7" x14ac:dyDescent="0.3">
      <c r="A162">
        <v>0</v>
      </c>
      <c r="B162" t="s">
        <v>319</v>
      </c>
      <c r="C162" t="s">
        <v>459</v>
      </c>
      <c r="D162" t="s">
        <v>2</v>
      </c>
      <c r="E162" t="s">
        <v>459</v>
      </c>
      <c r="F162" t="s">
        <v>13</v>
      </c>
      <c r="G162" t="s">
        <v>525</v>
      </c>
    </row>
    <row r="163" spans="1:7" x14ac:dyDescent="0.3">
      <c r="A163">
        <v>0</v>
      </c>
      <c r="B163" t="s">
        <v>314</v>
      </c>
      <c r="C163" t="s">
        <v>376</v>
      </c>
      <c r="D163" t="s">
        <v>2</v>
      </c>
      <c r="E163" t="s">
        <v>376</v>
      </c>
      <c r="F163" t="s">
        <v>13</v>
      </c>
      <c r="G163" t="s">
        <v>525</v>
      </c>
    </row>
    <row r="164" spans="1:7" x14ac:dyDescent="0.3">
      <c r="A164">
        <v>0</v>
      </c>
      <c r="B164" t="s">
        <v>312</v>
      </c>
      <c r="C164" t="s">
        <v>379</v>
      </c>
      <c r="D164" t="s">
        <v>2</v>
      </c>
      <c r="E164" t="s">
        <v>379</v>
      </c>
      <c r="F164" t="s">
        <v>13</v>
      </c>
      <c r="G164" t="s">
        <v>525</v>
      </c>
    </row>
    <row r="165" spans="1:7" x14ac:dyDescent="0.3">
      <c r="A165">
        <v>0</v>
      </c>
      <c r="B165" t="s">
        <v>314</v>
      </c>
      <c r="C165" t="s">
        <v>445</v>
      </c>
      <c r="D165" t="s">
        <v>2</v>
      </c>
      <c r="E165" t="s">
        <v>445</v>
      </c>
      <c r="F165" t="s">
        <v>13</v>
      </c>
      <c r="G165" t="s">
        <v>525</v>
      </c>
    </row>
    <row r="166" spans="1:7" x14ac:dyDescent="0.3">
      <c r="A166">
        <v>0</v>
      </c>
      <c r="B166" t="s">
        <v>319</v>
      </c>
      <c r="C166" t="s">
        <v>460</v>
      </c>
      <c r="D166" t="s">
        <v>2</v>
      </c>
      <c r="E166" t="s">
        <v>460</v>
      </c>
      <c r="F166" t="s">
        <v>13</v>
      </c>
      <c r="G166" t="s">
        <v>525</v>
      </c>
    </row>
    <row r="167" spans="1:7" x14ac:dyDescent="0.3">
      <c r="A167">
        <v>0</v>
      </c>
      <c r="B167" t="s">
        <v>314</v>
      </c>
      <c r="C167" t="s">
        <v>450</v>
      </c>
      <c r="D167" t="s">
        <v>2</v>
      </c>
      <c r="E167" t="s">
        <v>450</v>
      </c>
      <c r="F167" t="s">
        <v>13</v>
      </c>
      <c r="G167" t="s">
        <v>525</v>
      </c>
    </row>
    <row r="168" spans="1:7" x14ac:dyDescent="0.3">
      <c r="A168">
        <v>0</v>
      </c>
      <c r="B168" t="s">
        <v>312</v>
      </c>
      <c r="C168" t="s">
        <v>473</v>
      </c>
      <c r="D168" t="s">
        <v>2</v>
      </c>
      <c r="E168" t="s">
        <v>473</v>
      </c>
      <c r="F168" t="s">
        <v>13</v>
      </c>
      <c r="G168" t="s">
        <v>525</v>
      </c>
    </row>
    <row r="169" spans="1:7" x14ac:dyDescent="0.3">
      <c r="A169">
        <v>0</v>
      </c>
      <c r="B169" t="s">
        <v>314</v>
      </c>
      <c r="C169" t="s">
        <v>313</v>
      </c>
      <c r="D169" t="s">
        <v>2</v>
      </c>
      <c r="E169" t="s">
        <v>313</v>
      </c>
      <c r="F169" t="s">
        <v>13</v>
      </c>
      <c r="G169" t="s">
        <v>525</v>
      </c>
    </row>
    <row r="170" spans="1:7" x14ac:dyDescent="0.3">
      <c r="A170">
        <v>0</v>
      </c>
      <c r="B170" t="s">
        <v>312</v>
      </c>
      <c r="C170" t="s">
        <v>472</v>
      </c>
      <c r="D170" t="s">
        <v>2</v>
      </c>
      <c r="E170" t="s">
        <v>472</v>
      </c>
      <c r="F170" t="s">
        <v>13</v>
      </c>
      <c r="G170" t="s">
        <v>525</v>
      </c>
    </row>
    <row r="171" spans="1:7" x14ac:dyDescent="0.3">
      <c r="A171">
        <v>0</v>
      </c>
      <c r="B171" t="s">
        <v>312</v>
      </c>
      <c r="C171" t="s">
        <v>402</v>
      </c>
      <c r="D171" t="s">
        <v>2</v>
      </c>
      <c r="E171" t="s">
        <v>402</v>
      </c>
      <c r="F171" t="s">
        <v>13</v>
      </c>
      <c r="G171" t="s">
        <v>525</v>
      </c>
    </row>
    <row r="172" spans="1:7" x14ac:dyDescent="0.3">
      <c r="A172">
        <v>0</v>
      </c>
      <c r="B172" t="s">
        <v>314</v>
      </c>
      <c r="C172" t="s">
        <v>455</v>
      </c>
      <c r="D172" t="s">
        <v>2</v>
      </c>
      <c r="E172" t="s">
        <v>455</v>
      </c>
      <c r="F172" t="s">
        <v>13</v>
      </c>
      <c r="G172" t="s">
        <v>525</v>
      </c>
    </row>
    <row r="173" spans="1:7" x14ac:dyDescent="0.3">
      <c r="A173">
        <v>0</v>
      </c>
      <c r="B173" t="s">
        <v>312</v>
      </c>
      <c r="C173" t="s">
        <v>411</v>
      </c>
      <c r="D173" t="s">
        <v>2</v>
      </c>
      <c r="E173" t="s">
        <v>411</v>
      </c>
      <c r="F173" t="s">
        <v>13</v>
      </c>
      <c r="G173" t="s">
        <v>525</v>
      </c>
    </row>
    <row r="174" spans="1:7" x14ac:dyDescent="0.3">
      <c r="A174">
        <v>0</v>
      </c>
      <c r="B174" t="s">
        <v>312</v>
      </c>
      <c r="C174" t="s">
        <v>488</v>
      </c>
      <c r="D174" t="s">
        <v>2</v>
      </c>
      <c r="E174" t="s">
        <v>488</v>
      </c>
      <c r="F174" t="s">
        <v>13</v>
      </c>
      <c r="G174" t="s">
        <v>525</v>
      </c>
    </row>
    <row r="175" spans="1:7" x14ac:dyDescent="0.3">
      <c r="A175">
        <v>0</v>
      </c>
      <c r="B175" t="s">
        <v>319</v>
      </c>
      <c r="C175" t="s">
        <v>462</v>
      </c>
      <c r="D175" t="s">
        <v>2</v>
      </c>
      <c r="E175" t="s">
        <v>462</v>
      </c>
      <c r="F175" t="s">
        <v>13</v>
      </c>
      <c r="G175" t="s">
        <v>525</v>
      </c>
    </row>
    <row r="176" spans="1:7" x14ac:dyDescent="0.3">
      <c r="A176">
        <v>0</v>
      </c>
      <c r="B176" t="s">
        <v>312</v>
      </c>
      <c r="C176" t="s">
        <v>246</v>
      </c>
      <c r="D176" t="s">
        <v>2</v>
      </c>
      <c r="E176" t="s">
        <v>246</v>
      </c>
      <c r="F176" t="s">
        <v>13</v>
      </c>
      <c r="G176" t="s">
        <v>525</v>
      </c>
    </row>
    <row r="177" spans="1:7" x14ac:dyDescent="0.3">
      <c r="A177">
        <v>0</v>
      </c>
      <c r="B177" t="s">
        <v>312</v>
      </c>
      <c r="C177" t="s">
        <v>357</v>
      </c>
      <c r="D177" t="s">
        <v>2</v>
      </c>
      <c r="E177" t="s">
        <v>357</v>
      </c>
      <c r="F177" t="s">
        <v>13</v>
      </c>
      <c r="G177" t="s">
        <v>525</v>
      </c>
    </row>
    <row r="178" spans="1:7" x14ac:dyDescent="0.3">
      <c r="A178">
        <v>0</v>
      </c>
      <c r="B178" t="s">
        <v>314</v>
      </c>
      <c r="C178" t="s">
        <v>341</v>
      </c>
      <c r="D178" t="s">
        <v>2</v>
      </c>
      <c r="E178" t="s">
        <v>341</v>
      </c>
      <c r="F178" t="s">
        <v>13</v>
      </c>
      <c r="G178" t="s">
        <v>525</v>
      </c>
    </row>
    <row r="179" spans="1:7" x14ac:dyDescent="0.3">
      <c r="A179">
        <v>0</v>
      </c>
      <c r="B179" t="s">
        <v>319</v>
      </c>
      <c r="C179" t="s">
        <v>466</v>
      </c>
      <c r="D179" t="s">
        <v>2</v>
      </c>
      <c r="E179" t="s">
        <v>466</v>
      </c>
      <c r="F179" t="s">
        <v>13</v>
      </c>
      <c r="G179" t="s">
        <v>525</v>
      </c>
    </row>
    <row r="180" spans="1:7" x14ac:dyDescent="0.3">
      <c r="A180">
        <v>0</v>
      </c>
      <c r="B180" t="s">
        <v>319</v>
      </c>
      <c r="C180" t="s">
        <v>362</v>
      </c>
      <c r="D180" t="s">
        <v>2</v>
      </c>
      <c r="E180" t="s">
        <v>362</v>
      </c>
      <c r="F180" t="s">
        <v>13</v>
      </c>
      <c r="G180" t="s">
        <v>525</v>
      </c>
    </row>
    <row r="181" spans="1:7" x14ac:dyDescent="0.3">
      <c r="A181">
        <v>0</v>
      </c>
      <c r="B181" t="s">
        <v>312</v>
      </c>
      <c r="C181" t="s">
        <v>433</v>
      </c>
      <c r="D181" t="s">
        <v>2</v>
      </c>
      <c r="E181" t="s">
        <v>433</v>
      </c>
      <c r="F181" t="s">
        <v>13</v>
      </c>
      <c r="G181" t="s">
        <v>525</v>
      </c>
    </row>
    <row r="182" spans="1:7" x14ac:dyDescent="0.3">
      <c r="A182">
        <v>0</v>
      </c>
      <c r="B182" t="s">
        <v>312</v>
      </c>
      <c r="C182" t="s">
        <v>397</v>
      </c>
      <c r="D182" t="s">
        <v>2</v>
      </c>
      <c r="E182" t="s">
        <v>397</v>
      </c>
      <c r="F182" t="s">
        <v>13</v>
      </c>
      <c r="G182" t="s">
        <v>525</v>
      </c>
    </row>
    <row r="183" spans="1:7" x14ac:dyDescent="0.3">
      <c r="A183">
        <v>0</v>
      </c>
      <c r="B183" t="s">
        <v>319</v>
      </c>
      <c r="C183" t="s">
        <v>378</v>
      </c>
      <c r="D183" t="s">
        <v>2</v>
      </c>
      <c r="E183" t="s">
        <v>378</v>
      </c>
      <c r="F183" t="s">
        <v>13</v>
      </c>
      <c r="G183" t="s">
        <v>525</v>
      </c>
    </row>
    <row r="184" spans="1:7" x14ac:dyDescent="0.3">
      <c r="A184">
        <v>0</v>
      </c>
      <c r="B184" t="s">
        <v>105</v>
      </c>
      <c r="C184" t="s">
        <v>117</v>
      </c>
      <c r="D184" t="s">
        <v>2</v>
      </c>
      <c r="E184" t="s">
        <v>117</v>
      </c>
      <c r="F184" t="s">
        <v>13</v>
      </c>
      <c r="G184" t="s">
        <v>525</v>
      </c>
    </row>
    <row r="185" spans="1:7" x14ac:dyDescent="0.3">
      <c r="A185">
        <v>0</v>
      </c>
      <c r="B185" t="s">
        <v>312</v>
      </c>
      <c r="C185" t="s">
        <v>476</v>
      </c>
      <c r="D185" t="s">
        <v>2</v>
      </c>
      <c r="E185" t="s">
        <v>476</v>
      </c>
      <c r="F185" t="s">
        <v>13</v>
      </c>
      <c r="G185" t="s">
        <v>525</v>
      </c>
    </row>
    <row r="186" spans="1:7" x14ac:dyDescent="0.3">
      <c r="A186">
        <v>0</v>
      </c>
      <c r="B186" t="s">
        <v>319</v>
      </c>
      <c r="C186" t="s">
        <v>478</v>
      </c>
      <c r="D186" t="s">
        <v>2</v>
      </c>
      <c r="E186" t="s">
        <v>478</v>
      </c>
      <c r="F186" t="s">
        <v>13</v>
      </c>
      <c r="G186" t="s">
        <v>525</v>
      </c>
    </row>
    <row r="187" spans="1:7" x14ac:dyDescent="0.3">
      <c r="A187">
        <v>0</v>
      </c>
      <c r="B187" t="s">
        <v>312</v>
      </c>
      <c r="C187" t="s">
        <v>367</v>
      </c>
      <c r="D187" t="s">
        <v>2</v>
      </c>
      <c r="E187" t="s">
        <v>367</v>
      </c>
      <c r="F187" t="s">
        <v>13</v>
      </c>
      <c r="G187" t="s">
        <v>525</v>
      </c>
    </row>
    <row r="188" spans="1:7" x14ac:dyDescent="0.3">
      <c r="A188">
        <v>0</v>
      </c>
      <c r="B188" t="s">
        <v>312</v>
      </c>
      <c r="C188" t="s">
        <v>346</v>
      </c>
      <c r="D188" t="s">
        <v>2</v>
      </c>
      <c r="E188" t="s">
        <v>346</v>
      </c>
      <c r="F188" t="s">
        <v>13</v>
      </c>
      <c r="G188" t="s">
        <v>525</v>
      </c>
    </row>
    <row r="189" spans="1:7" x14ac:dyDescent="0.3">
      <c r="A189">
        <v>0</v>
      </c>
      <c r="B189" t="s">
        <v>105</v>
      </c>
      <c r="C189" t="s">
        <v>119</v>
      </c>
      <c r="D189" t="s">
        <v>2</v>
      </c>
      <c r="E189" t="s">
        <v>119</v>
      </c>
      <c r="F189" t="s">
        <v>13</v>
      </c>
      <c r="G189" t="s">
        <v>525</v>
      </c>
    </row>
    <row r="190" spans="1:7" x14ac:dyDescent="0.3">
      <c r="A190">
        <v>0</v>
      </c>
      <c r="B190" t="s">
        <v>312</v>
      </c>
      <c r="C190" t="s">
        <v>385</v>
      </c>
      <c r="D190" t="s">
        <v>2</v>
      </c>
      <c r="E190" t="s">
        <v>385</v>
      </c>
      <c r="F190" t="s">
        <v>13</v>
      </c>
      <c r="G190" t="s">
        <v>525</v>
      </c>
    </row>
    <row r="191" spans="1:7" x14ac:dyDescent="0.3">
      <c r="A191">
        <v>0</v>
      </c>
      <c r="B191" t="s">
        <v>57</v>
      </c>
      <c r="C191" t="s">
        <v>120</v>
      </c>
      <c r="D191" t="s">
        <v>2</v>
      </c>
      <c r="E191" t="s">
        <v>120</v>
      </c>
      <c r="F191" t="s">
        <v>13</v>
      </c>
      <c r="G191" t="s">
        <v>525</v>
      </c>
    </row>
    <row r="192" spans="1:7" x14ac:dyDescent="0.3">
      <c r="A192">
        <v>0</v>
      </c>
      <c r="B192" t="s">
        <v>312</v>
      </c>
      <c r="C192" t="s">
        <v>324</v>
      </c>
      <c r="D192" t="s">
        <v>2</v>
      </c>
      <c r="E192" t="s">
        <v>324</v>
      </c>
      <c r="F192" t="s">
        <v>13</v>
      </c>
      <c r="G192" t="s">
        <v>525</v>
      </c>
    </row>
    <row r="193" spans="1:7" x14ac:dyDescent="0.3">
      <c r="A193">
        <v>0</v>
      </c>
      <c r="B193" t="s">
        <v>312</v>
      </c>
      <c r="C193" t="s">
        <v>327</v>
      </c>
      <c r="D193" t="s">
        <v>2</v>
      </c>
      <c r="E193" t="s">
        <v>327</v>
      </c>
      <c r="F193" t="s">
        <v>13</v>
      </c>
      <c r="G193" t="s">
        <v>525</v>
      </c>
    </row>
    <row r="194" spans="1:7" x14ac:dyDescent="0.3">
      <c r="A194">
        <v>0</v>
      </c>
      <c r="B194" t="s">
        <v>314</v>
      </c>
      <c r="C194" t="s">
        <v>441</v>
      </c>
      <c r="D194" t="s">
        <v>2</v>
      </c>
      <c r="E194" t="s">
        <v>441</v>
      </c>
      <c r="F194" t="s">
        <v>13</v>
      </c>
      <c r="G194" t="s">
        <v>525</v>
      </c>
    </row>
    <row r="195" spans="1:7" x14ac:dyDescent="0.3">
      <c r="A195">
        <v>0</v>
      </c>
      <c r="B195" t="s">
        <v>105</v>
      </c>
      <c r="C195" t="s">
        <v>115</v>
      </c>
      <c r="D195" t="s">
        <v>2</v>
      </c>
      <c r="E195" t="s">
        <v>115</v>
      </c>
      <c r="F195" t="s">
        <v>13</v>
      </c>
      <c r="G195" t="s">
        <v>525</v>
      </c>
    </row>
    <row r="196" spans="1:7" x14ac:dyDescent="0.3">
      <c r="A196">
        <v>0</v>
      </c>
      <c r="B196" t="s">
        <v>312</v>
      </c>
      <c r="C196" t="s">
        <v>484</v>
      </c>
      <c r="D196" t="s">
        <v>2</v>
      </c>
      <c r="E196" t="s">
        <v>484</v>
      </c>
      <c r="F196" t="s">
        <v>13</v>
      </c>
      <c r="G196" t="s">
        <v>525</v>
      </c>
    </row>
    <row r="197" spans="1:7" x14ac:dyDescent="0.3">
      <c r="A197">
        <v>0</v>
      </c>
      <c r="B197" t="s">
        <v>312</v>
      </c>
      <c r="C197" t="s">
        <v>311</v>
      </c>
      <c r="D197" t="s">
        <v>2</v>
      </c>
      <c r="E197" t="s">
        <v>311</v>
      </c>
      <c r="F197" t="s">
        <v>13</v>
      </c>
      <c r="G197" t="s">
        <v>525</v>
      </c>
    </row>
    <row r="198" spans="1:7" x14ac:dyDescent="0.3">
      <c r="A198">
        <v>0</v>
      </c>
      <c r="B198" t="s">
        <v>312</v>
      </c>
      <c r="C198" t="s">
        <v>365</v>
      </c>
      <c r="D198" t="s">
        <v>2</v>
      </c>
      <c r="E198" t="s">
        <v>365</v>
      </c>
      <c r="F198" t="s">
        <v>13</v>
      </c>
      <c r="G198" t="s">
        <v>525</v>
      </c>
    </row>
    <row r="199" spans="1:7" x14ac:dyDescent="0.3">
      <c r="A199">
        <v>0</v>
      </c>
      <c r="B199" t="s">
        <v>314</v>
      </c>
      <c r="C199" t="s">
        <v>350</v>
      </c>
      <c r="D199" t="s">
        <v>2</v>
      </c>
      <c r="E199" t="s">
        <v>350</v>
      </c>
      <c r="F199" t="s">
        <v>13</v>
      </c>
      <c r="G199" t="s">
        <v>525</v>
      </c>
    </row>
    <row r="200" spans="1:7" x14ac:dyDescent="0.3">
      <c r="A200">
        <v>0</v>
      </c>
      <c r="B200" t="s">
        <v>105</v>
      </c>
      <c r="C200" t="s">
        <v>123</v>
      </c>
      <c r="D200" t="s">
        <v>2</v>
      </c>
      <c r="E200" t="s">
        <v>123</v>
      </c>
      <c r="F200" t="s">
        <v>13</v>
      </c>
      <c r="G200" t="s">
        <v>525</v>
      </c>
    </row>
    <row r="201" spans="1:7" x14ac:dyDescent="0.3">
      <c r="A201">
        <v>0</v>
      </c>
      <c r="B201" t="s">
        <v>312</v>
      </c>
      <c r="C201" t="s">
        <v>396</v>
      </c>
      <c r="D201" t="s">
        <v>2</v>
      </c>
      <c r="E201" t="s">
        <v>396</v>
      </c>
      <c r="F201" t="s">
        <v>13</v>
      </c>
      <c r="G201" t="s">
        <v>525</v>
      </c>
    </row>
    <row r="202" spans="1:7" x14ac:dyDescent="0.3">
      <c r="A202">
        <v>0</v>
      </c>
      <c r="B202" t="s">
        <v>312</v>
      </c>
      <c r="C202" t="s">
        <v>428</v>
      </c>
      <c r="D202" t="s">
        <v>2</v>
      </c>
      <c r="E202" t="s">
        <v>428</v>
      </c>
      <c r="F202" t="s">
        <v>13</v>
      </c>
      <c r="G202" t="s">
        <v>525</v>
      </c>
    </row>
    <row r="203" spans="1:7" x14ac:dyDescent="0.3">
      <c r="A203">
        <v>0</v>
      </c>
      <c r="B203" t="s">
        <v>312</v>
      </c>
      <c r="C203" t="s">
        <v>383</v>
      </c>
      <c r="D203" t="s">
        <v>2</v>
      </c>
      <c r="E203" t="s">
        <v>383</v>
      </c>
      <c r="F203" t="s">
        <v>13</v>
      </c>
      <c r="G203" t="s">
        <v>525</v>
      </c>
    </row>
    <row r="204" spans="1:7" x14ac:dyDescent="0.3">
      <c r="A204">
        <v>0</v>
      </c>
      <c r="B204" t="s">
        <v>312</v>
      </c>
      <c r="C204" t="s">
        <v>426</v>
      </c>
      <c r="D204" t="s">
        <v>2</v>
      </c>
      <c r="E204" t="s">
        <v>426</v>
      </c>
      <c r="F204" t="s">
        <v>13</v>
      </c>
      <c r="G204" t="s">
        <v>525</v>
      </c>
    </row>
    <row r="205" spans="1:7" x14ac:dyDescent="0.3">
      <c r="A205">
        <v>0</v>
      </c>
      <c r="B205" t="s">
        <v>312</v>
      </c>
      <c r="C205" t="s">
        <v>437</v>
      </c>
      <c r="D205" t="s">
        <v>2</v>
      </c>
      <c r="E205" t="s">
        <v>437</v>
      </c>
      <c r="F205" t="s">
        <v>13</v>
      </c>
      <c r="G205" t="s">
        <v>525</v>
      </c>
    </row>
    <row r="206" spans="1:7" x14ac:dyDescent="0.3">
      <c r="A206">
        <v>0</v>
      </c>
      <c r="B206" t="s">
        <v>312</v>
      </c>
      <c r="C206" t="s">
        <v>454</v>
      </c>
      <c r="D206" t="s">
        <v>2</v>
      </c>
      <c r="E206" t="s">
        <v>454</v>
      </c>
      <c r="F206" t="s">
        <v>13</v>
      </c>
      <c r="G206" t="s">
        <v>525</v>
      </c>
    </row>
    <row r="207" spans="1:7" x14ac:dyDescent="0.3">
      <c r="A207">
        <v>0</v>
      </c>
      <c r="B207" t="s">
        <v>312</v>
      </c>
      <c r="C207" t="s">
        <v>425</v>
      </c>
      <c r="D207" t="s">
        <v>2</v>
      </c>
      <c r="E207" t="s">
        <v>425</v>
      </c>
      <c r="F207" t="s">
        <v>13</v>
      </c>
      <c r="G207" t="s">
        <v>525</v>
      </c>
    </row>
    <row r="208" spans="1:7" x14ac:dyDescent="0.3">
      <c r="A208">
        <v>0</v>
      </c>
      <c r="B208" t="s">
        <v>312</v>
      </c>
      <c r="C208" t="s">
        <v>344</v>
      </c>
      <c r="D208" t="s">
        <v>2</v>
      </c>
      <c r="E208" t="s">
        <v>344</v>
      </c>
      <c r="F208" t="s">
        <v>13</v>
      </c>
      <c r="G208" t="s">
        <v>525</v>
      </c>
    </row>
    <row r="209" spans="1:7" x14ac:dyDescent="0.3">
      <c r="A209">
        <v>0</v>
      </c>
      <c r="B209" t="s">
        <v>312</v>
      </c>
      <c r="C209" t="s">
        <v>407</v>
      </c>
      <c r="D209" t="s">
        <v>2</v>
      </c>
      <c r="E209" t="s">
        <v>407</v>
      </c>
      <c r="F209" t="s">
        <v>13</v>
      </c>
      <c r="G209" t="s">
        <v>525</v>
      </c>
    </row>
    <row r="210" spans="1:7" x14ac:dyDescent="0.3">
      <c r="A210">
        <v>0</v>
      </c>
      <c r="B210" t="s">
        <v>314</v>
      </c>
      <c r="C210" t="s">
        <v>413</v>
      </c>
      <c r="D210" t="s">
        <v>2</v>
      </c>
      <c r="E210" t="s">
        <v>413</v>
      </c>
      <c r="F210" t="s">
        <v>13</v>
      </c>
      <c r="G210" t="s">
        <v>525</v>
      </c>
    </row>
    <row r="211" spans="1:7" x14ac:dyDescent="0.3">
      <c r="A211">
        <v>0</v>
      </c>
      <c r="B211" t="s">
        <v>312</v>
      </c>
      <c r="C211" t="s">
        <v>392</v>
      </c>
      <c r="D211" t="s">
        <v>2</v>
      </c>
      <c r="E211" t="s">
        <v>392</v>
      </c>
      <c r="F211" t="s">
        <v>13</v>
      </c>
      <c r="G211" t="s">
        <v>525</v>
      </c>
    </row>
    <row r="212" spans="1:7" x14ac:dyDescent="0.3">
      <c r="A212">
        <v>0</v>
      </c>
      <c r="B212" t="s">
        <v>319</v>
      </c>
      <c r="C212" t="s">
        <v>422</v>
      </c>
      <c r="D212" t="s">
        <v>2</v>
      </c>
      <c r="E212" t="s">
        <v>422</v>
      </c>
      <c r="F212" t="s">
        <v>13</v>
      </c>
      <c r="G212" t="s">
        <v>525</v>
      </c>
    </row>
    <row r="213" spans="1:7" x14ac:dyDescent="0.3">
      <c r="A213">
        <v>0</v>
      </c>
      <c r="B213" t="s">
        <v>314</v>
      </c>
      <c r="C213" t="s">
        <v>495</v>
      </c>
      <c r="D213" t="s">
        <v>494</v>
      </c>
      <c r="E213" t="s">
        <v>495</v>
      </c>
      <c r="F213" t="s">
        <v>13</v>
      </c>
      <c r="G213" t="s">
        <v>525</v>
      </c>
    </row>
    <row r="214" spans="1:7" x14ac:dyDescent="0.3">
      <c r="A214">
        <v>0</v>
      </c>
      <c r="B214" t="s">
        <v>314</v>
      </c>
      <c r="C214" t="s">
        <v>497</v>
      </c>
      <c r="D214" t="s">
        <v>494</v>
      </c>
      <c r="E214" t="s">
        <v>497</v>
      </c>
      <c r="F214" t="s">
        <v>13</v>
      </c>
      <c r="G214" t="s">
        <v>525</v>
      </c>
    </row>
    <row r="215" spans="1:7" x14ac:dyDescent="0.3">
      <c r="A215">
        <v>0</v>
      </c>
      <c r="B215" t="s">
        <v>314</v>
      </c>
      <c r="C215" t="s">
        <v>496</v>
      </c>
      <c r="D215" t="s">
        <v>494</v>
      </c>
      <c r="E215" t="s">
        <v>496</v>
      </c>
      <c r="F215" t="s">
        <v>13</v>
      </c>
      <c r="G215" t="s">
        <v>525</v>
      </c>
    </row>
    <row r="216" spans="1:7" x14ac:dyDescent="0.3">
      <c r="A216">
        <v>0</v>
      </c>
      <c r="B216" t="s">
        <v>312</v>
      </c>
      <c r="C216" t="s">
        <v>513</v>
      </c>
      <c r="D216" t="s">
        <v>498</v>
      </c>
      <c r="E216" t="s">
        <v>513</v>
      </c>
      <c r="F216" t="s">
        <v>13</v>
      </c>
      <c r="G216" t="s">
        <v>525</v>
      </c>
    </row>
    <row r="217" spans="1:7" x14ac:dyDescent="0.3">
      <c r="A217">
        <v>0</v>
      </c>
      <c r="B217" t="s">
        <v>312</v>
      </c>
      <c r="C217" t="s">
        <v>515</v>
      </c>
      <c r="D217" t="s">
        <v>498</v>
      </c>
      <c r="E217" t="s">
        <v>515</v>
      </c>
      <c r="F217" t="s">
        <v>13</v>
      </c>
      <c r="G217" t="s">
        <v>525</v>
      </c>
    </row>
    <row r="218" spans="1:7" x14ac:dyDescent="0.3">
      <c r="A218">
        <v>0</v>
      </c>
      <c r="B218" t="s">
        <v>312</v>
      </c>
      <c r="C218" t="s">
        <v>509</v>
      </c>
      <c r="D218" t="s">
        <v>498</v>
      </c>
      <c r="E218" t="s">
        <v>509</v>
      </c>
      <c r="F218" t="s">
        <v>13</v>
      </c>
      <c r="G218" t="s">
        <v>525</v>
      </c>
    </row>
    <row r="219" spans="1:7" x14ac:dyDescent="0.3">
      <c r="A219">
        <v>0</v>
      </c>
      <c r="B219" t="s">
        <v>312</v>
      </c>
      <c r="C219" t="s">
        <v>502</v>
      </c>
      <c r="D219" t="s">
        <v>498</v>
      </c>
      <c r="E219" t="s">
        <v>502</v>
      </c>
      <c r="F219" t="s">
        <v>13</v>
      </c>
      <c r="G219" t="s">
        <v>525</v>
      </c>
    </row>
    <row r="220" spans="1:7" x14ac:dyDescent="0.3">
      <c r="A220">
        <v>0</v>
      </c>
      <c r="B220" t="s">
        <v>312</v>
      </c>
      <c r="C220" t="s">
        <v>500</v>
      </c>
      <c r="D220" t="s">
        <v>498</v>
      </c>
      <c r="E220" t="s">
        <v>500</v>
      </c>
      <c r="F220" t="s">
        <v>13</v>
      </c>
      <c r="G220" t="s">
        <v>525</v>
      </c>
    </row>
    <row r="221" spans="1:7" x14ac:dyDescent="0.3">
      <c r="A221">
        <v>0</v>
      </c>
      <c r="B221" t="s">
        <v>507</v>
      </c>
      <c r="C221" t="s">
        <v>506</v>
      </c>
      <c r="D221" t="s">
        <v>498</v>
      </c>
      <c r="E221" t="s">
        <v>506</v>
      </c>
      <c r="F221" t="s">
        <v>13</v>
      </c>
      <c r="G221" t="s">
        <v>525</v>
      </c>
    </row>
    <row r="222" spans="1:7" x14ac:dyDescent="0.3">
      <c r="A222">
        <v>0</v>
      </c>
      <c r="B222" t="s">
        <v>312</v>
      </c>
      <c r="C222" t="s">
        <v>514</v>
      </c>
      <c r="D222" t="s">
        <v>498</v>
      </c>
      <c r="E222" t="s">
        <v>514</v>
      </c>
      <c r="F222" t="s">
        <v>13</v>
      </c>
      <c r="G222" t="s">
        <v>525</v>
      </c>
    </row>
    <row r="223" spans="1:7" x14ac:dyDescent="0.3">
      <c r="A223">
        <v>0</v>
      </c>
      <c r="B223" t="s">
        <v>312</v>
      </c>
      <c r="C223" t="s">
        <v>499</v>
      </c>
      <c r="D223" t="s">
        <v>498</v>
      </c>
      <c r="E223" t="s">
        <v>499</v>
      </c>
      <c r="F223" t="s">
        <v>13</v>
      </c>
      <c r="G223" t="s">
        <v>525</v>
      </c>
    </row>
    <row r="224" spans="1:7" x14ac:dyDescent="0.3">
      <c r="A224">
        <v>0</v>
      </c>
      <c r="B224" t="s">
        <v>312</v>
      </c>
      <c r="C224" t="s">
        <v>508</v>
      </c>
      <c r="D224" t="s">
        <v>498</v>
      </c>
      <c r="E224" t="s">
        <v>508</v>
      </c>
      <c r="F224" t="s">
        <v>13</v>
      </c>
      <c r="G224" t="s">
        <v>525</v>
      </c>
    </row>
    <row r="225" spans="1:7" x14ac:dyDescent="0.3">
      <c r="A225">
        <v>0</v>
      </c>
      <c r="B225" t="s">
        <v>312</v>
      </c>
      <c r="C225" t="s">
        <v>519</v>
      </c>
      <c r="D225" t="s">
        <v>498</v>
      </c>
      <c r="E225" t="s">
        <v>519</v>
      </c>
      <c r="F225" t="s">
        <v>13</v>
      </c>
      <c r="G225" t="s">
        <v>525</v>
      </c>
    </row>
    <row r="226" spans="1:7" x14ac:dyDescent="0.3">
      <c r="A226">
        <v>0</v>
      </c>
      <c r="B226" t="s">
        <v>312</v>
      </c>
      <c r="C226" t="s">
        <v>510</v>
      </c>
      <c r="D226" t="s">
        <v>498</v>
      </c>
      <c r="E226" t="s">
        <v>510</v>
      </c>
      <c r="F226" t="s">
        <v>13</v>
      </c>
      <c r="G226" t="s">
        <v>525</v>
      </c>
    </row>
    <row r="227" spans="1:7" x14ac:dyDescent="0.3">
      <c r="A227">
        <v>0</v>
      </c>
      <c r="B227" t="s">
        <v>312</v>
      </c>
      <c r="C227" t="s">
        <v>521</v>
      </c>
      <c r="D227" t="s">
        <v>498</v>
      </c>
      <c r="E227" t="s">
        <v>521</v>
      </c>
      <c r="F227" t="s">
        <v>13</v>
      </c>
      <c r="G227" t="s">
        <v>525</v>
      </c>
    </row>
    <row r="228" spans="1:7" x14ac:dyDescent="0.3">
      <c r="A228">
        <v>0</v>
      </c>
      <c r="B228" t="s">
        <v>312</v>
      </c>
      <c r="C228" t="s">
        <v>501</v>
      </c>
      <c r="D228" t="s">
        <v>498</v>
      </c>
      <c r="E228" t="s">
        <v>501</v>
      </c>
      <c r="F228" t="s">
        <v>13</v>
      </c>
      <c r="G228" t="s">
        <v>525</v>
      </c>
    </row>
    <row r="229" spans="1:7" x14ac:dyDescent="0.3">
      <c r="A229">
        <v>0</v>
      </c>
      <c r="B229" t="s">
        <v>312</v>
      </c>
      <c r="C229" t="s">
        <v>504</v>
      </c>
      <c r="D229" t="s">
        <v>498</v>
      </c>
      <c r="E229" t="s">
        <v>504</v>
      </c>
      <c r="F229" t="s">
        <v>13</v>
      </c>
      <c r="G229" t="s">
        <v>525</v>
      </c>
    </row>
    <row r="230" spans="1:7" x14ac:dyDescent="0.3">
      <c r="A230">
        <v>0</v>
      </c>
      <c r="B230" t="s">
        <v>312</v>
      </c>
      <c r="C230" t="s">
        <v>520</v>
      </c>
      <c r="D230" t="s">
        <v>498</v>
      </c>
      <c r="E230" t="s">
        <v>520</v>
      </c>
      <c r="F230" t="s">
        <v>13</v>
      </c>
      <c r="G230" t="s">
        <v>525</v>
      </c>
    </row>
    <row r="231" spans="1:7" x14ac:dyDescent="0.3">
      <c r="A231">
        <v>0</v>
      </c>
      <c r="B231" t="s">
        <v>312</v>
      </c>
      <c r="C231" t="s">
        <v>523</v>
      </c>
      <c r="D231" t="s">
        <v>498</v>
      </c>
      <c r="E231" t="s">
        <v>523</v>
      </c>
      <c r="F231" t="s">
        <v>13</v>
      </c>
      <c r="G231" t="s">
        <v>525</v>
      </c>
    </row>
    <row r="232" spans="1:7" x14ac:dyDescent="0.3">
      <c r="A232">
        <v>0</v>
      </c>
      <c r="B232" t="s">
        <v>312</v>
      </c>
      <c r="C232" t="s">
        <v>503</v>
      </c>
      <c r="D232" t="s">
        <v>498</v>
      </c>
      <c r="E232" t="s">
        <v>503</v>
      </c>
      <c r="F232" t="s">
        <v>13</v>
      </c>
      <c r="G232" t="s">
        <v>525</v>
      </c>
    </row>
    <row r="233" spans="1:7" x14ac:dyDescent="0.3">
      <c r="A233">
        <v>0</v>
      </c>
      <c r="B233" t="s">
        <v>312</v>
      </c>
      <c r="C233" t="s">
        <v>512</v>
      </c>
      <c r="D233" t="s">
        <v>498</v>
      </c>
      <c r="E233" t="s">
        <v>512</v>
      </c>
      <c r="F233" t="s">
        <v>13</v>
      </c>
      <c r="G233" t="s">
        <v>525</v>
      </c>
    </row>
    <row r="234" spans="1:7" x14ac:dyDescent="0.3">
      <c r="A234">
        <v>0</v>
      </c>
      <c r="B234" t="s">
        <v>312</v>
      </c>
      <c r="C234" t="s">
        <v>505</v>
      </c>
      <c r="D234" t="s">
        <v>498</v>
      </c>
      <c r="E234" t="s">
        <v>505</v>
      </c>
      <c r="F234" t="s">
        <v>13</v>
      </c>
      <c r="G234" t="s">
        <v>525</v>
      </c>
    </row>
    <row r="235" spans="1:7" x14ac:dyDescent="0.3">
      <c r="A235">
        <v>0</v>
      </c>
      <c r="B235" t="s">
        <v>312</v>
      </c>
      <c r="C235" t="s">
        <v>518</v>
      </c>
      <c r="D235" t="s">
        <v>498</v>
      </c>
      <c r="E235" t="s">
        <v>518</v>
      </c>
      <c r="F235" t="s">
        <v>13</v>
      </c>
      <c r="G235" t="s">
        <v>525</v>
      </c>
    </row>
    <row r="236" spans="1:7" x14ac:dyDescent="0.3">
      <c r="A236">
        <v>0</v>
      </c>
      <c r="B236" t="s">
        <v>312</v>
      </c>
      <c r="C236" t="s">
        <v>522</v>
      </c>
      <c r="D236" t="s">
        <v>498</v>
      </c>
      <c r="E236" t="s">
        <v>522</v>
      </c>
      <c r="F236" t="s">
        <v>13</v>
      </c>
      <c r="G236" t="s">
        <v>525</v>
      </c>
    </row>
    <row r="237" spans="1:7" x14ac:dyDescent="0.3">
      <c r="A237">
        <v>0</v>
      </c>
      <c r="B237" t="s">
        <v>312</v>
      </c>
      <c r="C237" t="s">
        <v>516</v>
      </c>
      <c r="D237" t="s">
        <v>498</v>
      </c>
      <c r="E237" t="s">
        <v>516</v>
      </c>
      <c r="F237" t="s">
        <v>13</v>
      </c>
      <c r="G237" t="s">
        <v>525</v>
      </c>
    </row>
    <row r="238" spans="1:7" x14ac:dyDescent="0.3">
      <c r="A238">
        <v>0</v>
      </c>
      <c r="B238" t="s">
        <v>312</v>
      </c>
      <c r="C238" t="s">
        <v>517</v>
      </c>
      <c r="D238" t="s">
        <v>498</v>
      </c>
      <c r="E238" t="s">
        <v>517</v>
      </c>
      <c r="F238" t="s">
        <v>13</v>
      </c>
      <c r="G238" t="s">
        <v>525</v>
      </c>
    </row>
    <row r="239" spans="1:7" x14ac:dyDescent="0.3">
      <c r="A239">
        <v>0</v>
      </c>
      <c r="B239" t="s">
        <v>16</v>
      </c>
      <c r="C239" s="2" t="s">
        <v>22</v>
      </c>
      <c r="D239" t="s">
        <v>2</v>
      </c>
      <c r="E239" s="2" t="s">
        <v>22</v>
      </c>
      <c r="F239" t="s">
        <v>13</v>
      </c>
      <c r="G239" t="s">
        <v>525</v>
      </c>
    </row>
    <row r="240" spans="1:7" x14ac:dyDescent="0.3">
      <c r="A240">
        <v>0</v>
      </c>
      <c r="B240" t="s">
        <v>16</v>
      </c>
      <c r="C240" s="2" t="s">
        <v>49</v>
      </c>
      <c r="D240" t="s">
        <v>2</v>
      </c>
      <c r="E240" s="2" t="s">
        <v>49</v>
      </c>
      <c r="F240" t="s">
        <v>13</v>
      </c>
      <c r="G240" t="s">
        <v>525</v>
      </c>
    </row>
    <row r="241" spans="1:7" x14ac:dyDescent="0.3">
      <c r="A241">
        <v>0</v>
      </c>
      <c r="B241" t="s">
        <v>312</v>
      </c>
      <c r="C241" s="2" t="s">
        <v>55</v>
      </c>
      <c r="D241" t="s">
        <v>2</v>
      </c>
      <c r="E241" s="2" t="s">
        <v>55</v>
      </c>
      <c r="F241" t="s">
        <v>13</v>
      </c>
      <c r="G241" t="s">
        <v>525</v>
      </c>
    </row>
    <row r="242" spans="1:7" x14ac:dyDescent="0.3">
      <c r="A242">
        <v>0</v>
      </c>
      <c r="B242" t="s">
        <v>312</v>
      </c>
      <c r="C242" t="s">
        <v>59</v>
      </c>
      <c r="D242" t="s">
        <v>2</v>
      </c>
      <c r="E242" t="s">
        <v>59</v>
      </c>
      <c r="F242" t="s">
        <v>13</v>
      </c>
      <c r="G242" t="s">
        <v>525</v>
      </c>
    </row>
    <row r="243" spans="1:7" x14ac:dyDescent="0.3">
      <c r="A243">
        <v>0</v>
      </c>
      <c r="B243" t="s">
        <v>16</v>
      </c>
      <c r="C243" s="2" t="s">
        <v>61</v>
      </c>
      <c r="D243" t="s">
        <v>2</v>
      </c>
      <c r="E243" s="2" t="s">
        <v>61</v>
      </c>
      <c r="F243" t="s">
        <v>13</v>
      </c>
      <c r="G243" t="s">
        <v>525</v>
      </c>
    </row>
    <row r="244" spans="1:7" x14ac:dyDescent="0.3">
      <c r="A244">
        <v>0</v>
      </c>
      <c r="B244" t="s">
        <v>312</v>
      </c>
      <c r="C244" s="2" t="s">
        <v>67</v>
      </c>
      <c r="D244" t="s">
        <v>2</v>
      </c>
      <c r="E244" s="2" t="s">
        <v>67</v>
      </c>
      <c r="F244" t="s">
        <v>13</v>
      </c>
      <c r="G244" t="s">
        <v>525</v>
      </c>
    </row>
    <row r="245" spans="1:7" x14ac:dyDescent="0.3">
      <c r="A245">
        <v>0</v>
      </c>
      <c r="B245" t="s">
        <v>312</v>
      </c>
      <c r="C245" t="s">
        <v>73</v>
      </c>
      <c r="D245" t="s">
        <v>2</v>
      </c>
      <c r="E245" t="s">
        <v>73</v>
      </c>
      <c r="F245" t="s">
        <v>13</v>
      </c>
      <c r="G245" t="s">
        <v>525</v>
      </c>
    </row>
    <row r="246" spans="1:7" x14ac:dyDescent="0.3">
      <c r="A246">
        <v>0</v>
      </c>
      <c r="B246" t="s">
        <v>312</v>
      </c>
      <c r="C246" t="s">
        <v>79</v>
      </c>
      <c r="D246" t="s">
        <v>2</v>
      </c>
      <c r="E246" t="s">
        <v>79</v>
      </c>
      <c r="F246" t="s">
        <v>13</v>
      </c>
      <c r="G246" t="s">
        <v>525</v>
      </c>
    </row>
    <row r="247" spans="1:7" x14ac:dyDescent="0.3">
      <c r="A247">
        <v>0</v>
      </c>
      <c r="B247" t="s">
        <v>312</v>
      </c>
      <c r="C247" t="s">
        <v>82</v>
      </c>
      <c r="D247" t="s">
        <v>2</v>
      </c>
      <c r="E247" t="s">
        <v>82</v>
      </c>
      <c r="F247" t="s">
        <v>13</v>
      </c>
      <c r="G247" t="s">
        <v>525</v>
      </c>
    </row>
    <row r="248" spans="1:7" x14ac:dyDescent="0.3">
      <c r="A248">
        <v>0</v>
      </c>
      <c r="B248" t="s">
        <v>312</v>
      </c>
      <c r="C248" t="s">
        <v>85</v>
      </c>
      <c r="D248" t="s">
        <v>2</v>
      </c>
      <c r="E248" t="s">
        <v>85</v>
      </c>
      <c r="F248" t="s">
        <v>13</v>
      </c>
      <c r="G248" t="s">
        <v>525</v>
      </c>
    </row>
    <row r="249" spans="1:7" x14ac:dyDescent="0.3">
      <c r="A249">
        <v>0</v>
      </c>
      <c r="B249" t="s">
        <v>312</v>
      </c>
      <c r="C249" t="s">
        <v>88</v>
      </c>
      <c r="D249" t="s">
        <v>2</v>
      </c>
      <c r="E249" t="s">
        <v>88</v>
      </c>
      <c r="F249" t="s">
        <v>13</v>
      </c>
      <c r="G249" t="s">
        <v>525</v>
      </c>
    </row>
    <row r="250" spans="1:7" x14ac:dyDescent="0.3">
      <c r="A250">
        <v>0</v>
      </c>
      <c r="B250" t="s">
        <v>312</v>
      </c>
      <c r="C250" t="s">
        <v>91</v>
      </c>
      <c r="D250" t="s">
        <v>2</v>
      </c>
      <c r="E250" t="s">
        <v>91</v>
      </c>
      <c r="F250" t="s">
        <v>13</v>
      </c>
      <c r="G250" t="s">
        <v>525</v>
      </c>
    </row>
    <row r="251" spans="1:7" x14ac:dyDescent="0.3">
      <c r="A251">
        <v>0</v>
      </c>
      <c r="B251" t="s">
        <v>312</v>
      </c>
      <c r="C251" t="s">
        <v>94</v>
      </c>
      <c r="D251" t="s">
        <v>2</v>
      </c>
      <c r="E251" t="s">
        <v>94</v>
      </c>
      <c r="F251" t="s">
        <v>13</v>
      </c>
      <c r="G251" t="s">
        <v>525</v>
      </c>
    </row>
    <row r="252" spans="1:7" x14ac:dyDescent="0.3">
      <c r="A252">
        <v>0</v>
      </c>
      <c r="B252" t="s">
        <v>312</v>
      </c>
      <c r="C252" t="s">
        <v>97</v>
      </c>
      <c r="D252" t="s">
        <v>2</v>
      </c>
      <c r="E252" t="s">
        <v>97</v>
      </c>
      <c r="F252" t="s">
        <v>13</v>
      </c>
      <c r="G252" t="s">
        <v>525</v>
      </c>
    </row>
    <row r="253" spans="1:7" x14ac:dyDescent="0.3">
      <c r="A253">
        <v>0</v>
      </c>
      <c r="B253" t="s">
        <v>312</v>
      </c>
      <c r="C253" t="s">
        <v>100</v>
      </c>
      <c r="D253" t="s">
        <v>2</v>
      </c>
      <c r="E253" t="s">
        <v>100</v>
      </c>
      <c r="F253" t="s">
        <v>13</v>
      </c>
      <c r="G253" t="s">
        <v>525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420"/>
  <sheetViews>
    <sheetView workbookViewId="0"/>
  </sheetViews>
  <sheetFormatPr defaultRowHeight="14.4" x14ac:dyDescent="0.3"/>
  <sheetData>
    <row r="1" spans="1:3" x14ac:dyDescent="0.3">
      <c r="C1" s="3" t="s">
        <v>131</v>
      </c>
    </row>
    <row r="2" spans="1:3" x14ac:dyDescent="0.3">
      <c r="A2" s="3" t="s">
        <v>1</v>
      </c>
      <c r="B2" s="3" t="s">
        <v>132</v>
      </c>
      <c r="C2" t="s">
        <v>133</v>
      </c>
    </row>
    <row r="3" spans="1:3" x14ac:dyDescent="0.3">
      <c r="A3" s="3" t="s">
        <v>1</v>
      </c>
      <c r="B3" s="3" t="s">
        <v>134</v>
      </c>
      <c r="C3" t="s">
        <v>133</v>
      </c>
    </row>
    <row r="4" spans="1:3" x14ac:dyDescent="0.3">
      <c r="A4" s="3" t="s">
        <v>1</v>
      </c>
      <c r="B4" s="3" t="s">
        <v>135</v>
      </c>
      <c r="C4" t="s">
        <v>133</v>
      </c>
    </row>
    <row r="5" spans="1:3" x14ac:dyDescent="0.3">
      <c r="A5" s="3" t="s">
        <v>1</v>
      </c>
      <c r="B5" s="3" t="s">
        <v>136</v>
      </c>
      <c r="C5" t="s">
        <v>133</v>
      </c>
    </row>
    <row r="6" spans="1:3" x14ac:dyDescent="0.3">
      <c r="A6" s="3" t="s">
        <v>1</v>
      </c>
      <c r="B6" s="3" t="s">
        <v>137</v>
      </c>
      <c r="C6" t="s">
        <v>133</v>
      </c>
    </row>
    <row r="7" spans="1:3" x14ac:dyDescent="0.3">
      <c r="A7" s="3" t="s">
        <v>1</v>
      </c>
      <c r="B7" s="3" t="s">
        <v>138</v>
      </c>
      <c r="C7" t="s">
        <v>133</v>
      </c>
    </row>
    <row r="8" spans="1:3" x14ac:dyDescent="0.3">
      <c r="A8" s="3" t="s">
        <v>1</v>
      </c>
      <c r="B8" s="3" t="s">
        <v>139</v>
      </c>
      <c r="C8" t="s">
        <v>133</v>
      </c>
    </row>
    <row r="9" spans="1:3" x14ac:dyDescent="0.3">
      <c r="A9" s="3" t="s">
        <v>1</v>
      </c>
      <c r="B9" s="3" t="s">
        <v>140</v>
      </c>
      <c r="C9" t="s">
        <v>133</v>
      </c>
    </row>
    <row r="10" spans="1:3" x14ac:dyDescent="0.3">
      <c r="A10" s="3" t="s">
        <v>1</v>
      </c>
      <c r="B10" s="3" t="s">
        <v>141</v>
      </c>
      <c r="C10" t="s">
        <v>133</v>
      </c>
    </row>
    <row r="11" spans="1:3" x14ac:dyDescent="0.3">
      <c r="A11" s="3" t="s">
        <v>1</v>
      </c>
      <c r="B11" s="3" t="s">
        <v>142</v>
      </c>
      <c r="C11" t="s">
        <v>133</v>
      </c>
    </row>
    <row r="12" spans="1:3" x14ac:dyDescent="0.3">
      <c r="A12" s="3" t="s">
        <v>1</v>
      </c>
      <c r="B12" s="3" t="s">
        <v>125</v>
      </c>
      <c r="C12" t="s">
        <v>133</v>
      </c>
    </row>
    <row r="13" spans="1:3" x14ac:dyDescent="0.3">
      <c r="A13" s="3" t="s">
        <v>1</v>
      </c>
      <c r="B13" s="3" t="s">
        <v>143</v>
      </c>
      <c r="C13" t="s">
        <v>133</v>
      </c>
    </row>
    <row r="14" spans="1:3" x14ac:dyDescent="0.3">
      <c r="A14" s="3" t="s">
        <v>1</v>
      </c>
      <c r="B14" s="3" t="s">
        <v>144</v>
      </c>
      <c r="C14" t="s">
        <v>133</v>
      </c>
    </row>
    <row r="15" spans="1:3" x14ac:dyDescent="0.3">
      <c r="A15" s="3" t="s">
        <v>1</v>
      </c>
      <c r="B15" s="3" t="s">
        <v>145</v>
      </c>
      <c r="C15" t="s">
        <v>133</v>
      </c>
    </row>
    <row r="16" spans="1:3" x14ac:dyDescent="0.3">
      <c r="A16" s="3" t="s">
        <v>1</v>
      </c>
      <c r="B16" s="3" t="s">
        <v>146</v>
      </c>
      <c r="C16" t="s">
        <v>133</v>
      </c>
    </row>
    <row r="17" spans="1:3" x14ac:dyDescent="0.3">
      <c r="A17" s="3" t="s">
        <v>1</v>
      </c>
      <c r="B17" s="3" t="s">
        <v>147</v>
      </c>
      <c r="C17" t="s">
        <v>133</v>
      </c>
    </row>
    <row r="18" spans="1:3" x14ac:dyDescent="0.3">
      <c r="A18" s="3" t="s">
        <v>1</v>
      </c>
      <c r="B18" s="3" t="s">
        <v>148</v>
      </c>
      <c r="C18" t="s">
        <v>133</v>
      </c>
    </row>
    <row r="19" spans="1:3" x14ac:dyDescent="0.3">
      <c r="A19" s="3" t="s">
        <v>1</v>
      </c>
      <c r="B19" s="3" t="s">
        <v>149</v>
      </c>
      <c r="C19" t="s">
        <v>133</v>
      </c>
    </row>
    <row r="20" spans="1:3" x14ac:dyDescent="0.3">
      <c r="A20" s="3" t="s">
        <v>1</v>
      </c>
      <c r="B20" s="3" t="s">
        <v>113</v>
      </c>
      <c r="C20" t="s">
        <v>133</v>
      </c>
    </row>
    <row r="21" spans="1:3" x14ac:dyDescent="0.3">
      <c r="A21" s="3" t="s">
        <v>1</v>
      </c>
      <c r="B21" s="3" t="s">
        <v>150</v>
      </c>
      <c r="C21" t="s">
        <v>133</v>
      </c>
    </row>
    <row r="22" spans="1:3" x14ac:dyDescent="0.3">
      <c r="A22" s="3" t="s">
        <v>1</v>
      </c>
      <c r="B22" s="3" t="s">
        <v>151</v>
      </c>
      <c r="C22" t="s">
        <v>133</v>
      </c>
    </row>
    <row r="23" spans="1:3" x14ac:dyDescent="0.3">
      <c r="A23" s="3" t="s">
        <v>1</v>
      </c>
      <c r="B23" s="3" t="s">
        <v>152</v>
      </c>
      <c r="C23" t="s">
        <v>133</v>
      </c>
    </row>
    <row r="24" spans="1:3" x14ac:dyDescent="0.3">
      <c r="A24" s="3" t="s">
        <v>1</v>
      </c>
      <c r="B24" s="3" t="s">
        <v>153</v>
      </c>
      <c r="C24" t="s">
        <v>133</v>
      </c>
    </row>
    <row r="25" spans="1:3" x14ac:dyDescent="0.3">
      <c r="A25" s="3" t="s">
        <v>1</v>
      </c>
      <c r="B25" s="3" t="s">
        <v>154</v>
      </c>
      <c r="C25" t="s">
        <v>133</v>
      </c>
    </row>
    <row r="26" spans="1:3" x14ac:dyDescent="0.3">
      <c r="A26" s="3" t="s">
        <v>1</v>
      </c>
      <c r="B26" s="3" t="s">
        <v>155</v>
      </c>
      <c r="C26" t="s">
        <v>133</v>
      </c>
    </row>
    <row r="27" spans="1:3" x14ac:dyDescent="0.3">
      <c r="A27" s="3" t="s">
        <v>1</v>
      </c>
      <c r="B27" s="3" t="s">
        <v>156</v>
      </c>
      <c r="C27" t="s">
        <v>133</v>
      </c>
    </row>
    <row r="28" spans="1:3" x14ac:dyDescent="0.3">
      <c r="A28" s="3" t="s">
        <v>1</v>
      </c>
      <c r="B28" s="3" t="s">
        <v>157</v>
      </c>
      <c r="C28" t="s">
        <v>133</v>
      </c>
    </row>
    <row r="29" spans="1:3" x14ac:dyDescent="0.3">
      <c r="A29" s="3" t="s">
        <v>1</v>
      </c>
      <c r="B29" s="3" t="s">
        <v>158</v>
      </c>
      <c r="C29" t="s">
        <v>133</v>
      </c>
    </row>
    <row r="30" spans="1:3" x14ac:dyDescent="0.3">
      <c r="A30" s="3" t="s">
        <v>1</v>
      </c>
      <c r="B30" s="3" t="s">
        <v>159</v>
      </c>
      <c r="C30" t="s">
        <v>133</v>
      </c>
    </row>
    <row r="31" spans="1:3" x14ac:dyDescent="0.3">
      <c r="A31" s="3" t="s">
        <v>1</v>
      </c>
      <c r="B31" s="3" t="s">
        <v>160</v>
      </c>
      <c r="C31" t="s">
        <v>133</v>
      </c>
    </row>
    <row r="32" spans="1:3" x14ac:dyDescent="0.3">
      <c r="A32" s="3" t="s">
        <v>1</v>
      </c>
      <c r="B32" s="3" t="s">
        <v>161</v>
      </c>
      <c r="C32" t="s">
        <v>133</v>
      </c>
    </row>
    <row r="33" spans="1:3" x14ac:dyDescent="0.3">
      <c r="A33" s="3" t="s">
        <v>1</v>
      </c>
      <c r="B33" s="3" t="s">
        <v>162</v>
      </c>
      <c r="C33" t="s">
        <v>133</v>
      </c>
    </row>
    <row r="34" spans="1:3" x14ac:dyDescent="0.3">
      <c r="A34" s="3" t="s">
        <v>1</v>
      </c>
      <c r="B34" s="3" t="s">
        <v>163</v>
      </c>
      <c r="C34" t="s">
        <v>133</v>
      </c>
    </row>
    <row r="35" spans="1:3" x14ac:dyDescent="0.3">
      <c r="A35" s="3" t="s">
        <v>1</v>
      </c>
      <c r="B35" s="3" t="s">
        <v>164</v>
      </c>
      <c r="C35" t="s">
        <v>133</v>
      </c>
    </row>
    <row r="36" spans="1:3" x14ac:dyDescent="0.3">
      <c r="A36" s="3" t="s">
        <v>1</v>
      </c>
      <c r="B36" s="3" t="s">
        <v>165</v>
      </c>
      <c r="C36" t="s">
        <v>133</v>
      </c>
    </row>
    <row r="37" spans="1:3" x14ac:dyDescent="0.3">
      <c r="A37" s="3" t="s">
        <v>1</v>
      </c>
      <c r="B37" s="3" t="s">
        <v>166</v>
      </c>
      <c r="C37" t="s">
        <v>133</v>
      </c>
    </row>
    <row r="38" spans="1:3" x14ac:dyDescent="0.3">
      <c r="A38" s="3" t="s">
        <v>1</v>
      </c>
      <c r="B38" s="3" t="s">
        <v>167</v>
      </c>
      <c r="C38" t="s">
        <v>133</v>
      </c>
    </row>
    <row r="39" spans="1:3" x14ac:dyDescent="0.3">
      <c r="A39" s="3" t="s">
        <v>1</v>
      </c>
      <c r="B39" s="3" t="s">
        <v>168</v>
      </c>
      <c r="C39" t="s">
        <v>133</v>
      </c>
    </row>
    <row r="40" spans="1:3" x14ac:dyDescent="0.3">
      <c r="A40" s="3" t="s">
        <v>1</v>
      </c>
      <c r="B40" s="3" t="s">
        <v>169</v>
      </c>
      <c r="C40" t="s">
        <v>133</v>
      </c>
    </row>
    <row r="41" spans="1:3" x14ac:dyDescent="0.3">
      <c r="A41" s="3" t="s">
        <v>1</v>
      </c>
      <c r="B41" s="3" t="s">
        <v>170</v>
      </c>
      <c r="C41" t="s">
        <v>133</v>
      </c>
    </row>
    <row r="42" spans="1:3" x14ac:dyDescent="0.3">
      <c r="A42" s="3" t="s">
        <v>1</v>
      </c>
      <c r="B42" s="3" t="s">
        <v>171</v>
      </c>
      <c r="C42" t="s">
        <v>133</v>
      </c>
    </row>
    <row r="43" spans="1:3" x14ac:dyDescent="0.3">
      <c r="A43" s="3" t="s">
        <v>1</v>
      </c>
      <c r="B43" s="3" t="s">
        <v>172</v>
      </c>
      <c r="C43" t="s">
        <v>133</v>
      </c>
    </row>
    <row r="44" spans="1:3" x14ac:dyDescent="0.3">
      <c r="A44" s="3" t="s">
        <v>1</v>
      </c>
      <c r="B44" s="3" t="s">
        <v>173</v>
      </c>
      <c r="C44" t="s">
        <v>133</v>
      </c>
    </row>
    <row r="45" spans="1:3" x14ac:dyDescent="0.3">
      <c r="A45" s="3" t="s">
        <v>1</v>
      </c>
      <c r="B45" s="3" t="s">
        <v>174</v>
      </c>
      <c r="C45" t="s">
        <v>133</v>
      </c>
    </row>
    <row r="46" spans="1:3" x14ac:dyDescent="0.3">
      <c r="A46" s="3" t="s">
        <v>1</v>
      </c>
      <c r="B46" s="3" t="s">
        <v>175</v>
      </c>
      <c r="C46" t="s">
        <v>133</v>
      </c>
    </row>
    <row r="47" spans="1:3" x14ac:dyDescent="0.3">
      <c r="A47" s="3" t="s">
        <v>1</v>
      </c>
      <c r="B47" s="3" t="s">
        <v>176</v>
      </c>
      <c r="C47" t="s">
        <v>133</v>
      </c>
    </row>
    <row r="48" spans="1:3" x14ac:dyDescent="0.3">
      <c r="A48" s="3" t="s">
        <v>1</v>
      </c>
      <c r="B48" s="3" t="s">
        <v>177</v>
      </c>
      <c r="C48" t="s">
        <v>133</v>
      </c>
    </row>
    <row r="49" spans="1:3" x14ac:dyDescent="0.3">
      <c r="A49" s="3" t="s">
        <v>1</v>
      </c>
      <c r="B49" s="3" t="s">
        <v>178</v>
      </c>
      <c r="C49" t="s">
        <v>133</v>
      </c>
    </row>
    <row r="50" spans="1:3" x14ac:dyDescent="0.3">
      <c r="A50" s="3" t="s">
        <v>1</v>
      </c>
      <c r="B50" s="3" t="s">
        <v>179</v>
      </c>
      <c r="C50" t="s">
        <v>133</v>
      </c>
    </row>
    <row r="51" spans="1:3" x14ac:dyDescent="0.3">
      <c r="A51" s="3" t="s">
        <v>1</v>
      </c>
      <c r="B51" s="3" t="s">
        <v>180</v>
      </c>
      <c r="C51" t="s">
        <v>133</v>
      </c>
    </row>
    <row r="52" spans="1:3" x14ac:dyDescent="0.3">
      <c r="A52" s="3" t="s">
        <v>1</v>
      </c>
      <c r="B52" s="3" t="s">
        <v>181</v>
      </c>
      <c r="C52" t="s">
        <v>133</v>
      </c>
    </row>
    <row r="53" spans="1:3" x14ac:dyDescent="0.3">
      <c r="A53" s="3" t="s">
        <v>1</v>
      </c>
      <c r="B53" s="3" t="s">
        <v>182</v>
      </c>
      <c r="C53" t="s">
        <v>133</v>
      </c>
    </row>
    <row r="54" spans="1:3" x14ac:dyDescent="0.3">
      <c r="A54" s="3" t="s">
        <v>1</v>
      </c>
      <c r="B54" s="3" t="s">
        <v>115</v>
      </c>
      <c r="C54" t="s">
        <v>133</v>
      </c>
    </row>
    <row r="55" spans="1:3" x14ac:dyDescent="0.3">
      <c r="A55" s="3" t="s">
        <v>1</v>
      </c>
      <c r="B55" s="3" t="s">
        <v>183</v>
      </c>
      <c r="C55" t="s">
        <v>133</v>
      </c>
    </row>
    <row r="56" spans="1:3" x14ac:dyDescent="0.3">
      <c r="A56" s="3" t="s">
        <v>1</v>
      </c>
      <c r="B56" s="3" t="s">
        <v>184</v>
      </c>
      <c r="C56" t="s">
        <v>133</v>
      </c>
    </row>
    <row r="57" spans="1:3" x14ac:dyDescent="0.3">
      <c r="A57" s="3" t="s">
        <v>1</v>
      </c>
      <c r="B57" s="3" t="s">
        <v>119</v>
      </c>
      <c r="C57" t="s">
        <v>133</v>
      </c>
    </row>
    <row r="58" spans="1:3" x14ac:dyDescent="0.3">
      <c r="A58" s="3" t="s">
        <v>1</v>
      </c>
      <c r="B58" s="3" t="s">
        <v>185</v>
      </c>
      <c r="C58" t="s">
        <v>133</v>
      </c>
    </row>
    <row r="59" spans="1:3" x14ac:dyDescent="0.3">
      <c r="A59" s="3" t="s">
        <v>1</v>
      </c>
      <c r="B59" s="3" t="s">
        <v>186</v>
      </c>
      <c r="C59" t="s">
        <v>133</v>
      </c>
    </row>
    <row r="60" spans="1:3" x14ac:dyDescent="0.3">
      <c r="A60" s="3" t="s">
        <v>1</v>
      </c>
      <c r="B60" s="3" t="s">
        <v>187</v>
      </c>
      <c r="C60" t="s">
        <v>133</v>
      </c>
    </row>
    <row r="61" spans="1:3" x14ac:dyDescent="0.3">
      <c r="A61" s="3" t="s">
        <v>1</v>
      </c>
      <c r="B61" s="3" t="s">
        <v>188</v>
      </c>
      <c r="C61" t="s">
        <v>133</v>
      </c>
    </row>
    <row r="62" spans="1:3" x14ac:dyDescent="0.3">
      <c r="A62" s="3" t="s">
        <v>1</v>
      </c>
      <c r="B62" s="3" t="s">
        <v>189</v>
      </c>
      <c r="C62" t="s">
        <v>133</v>
      </c>
    </row>
    <row r="63" spans="1:3" x14ac:dyDescent="0.3">
      <c r="A63" s="3" t="s">
        <v>1</v>
      </c>
      <c r="B63" s="3" t="s">
        <v>190</v>
      </c>
      <c r="C63" t="s">
        <v>133</v>
      </c>
    </row>
    <row r="64" spans="1:3" x14ac:dyDescent="0.3">
      <c r="A64" s="3" t="s">
        <v>1</v>
      </c>
      <c r="B64" s="3" t="s">
        <v>191</v>
      </c>
      <c r="C64" t="s">
        <v>133</v>
      </c>
    </row>
    <row r="65" spans="1:3" x14ac:dyDescent="0.3">
      <c r="A65" s="3" t="s">
        <v>1</v>
      </c>
      <c r="B65" s="3" t="s">
        <v>192</v>
      </c>
      <c r="C65" t="s">
        <v>133</v>
      </c>
    </row>
    <row r="66" spans="1:3" x14ac:dyDescent="0.3">
      <c r="A66" s="3" t="s">
        <v>1</v>
      </c>
      <c r="B66" s="3" t="s">
        <v>193</v>
      </c>
      <c r="C66" t="s">
        <v>133</v>
      </c>
    </row>
    <row r="67" spans="1:3" x14ac:dyDescent="0.3">
      <c r="A67" s="3" t="s">
        <v>1</v>
      </c>
      <c r="B67" s="3" t="s">
        <v>194</v>
      </c>
      <c r="C67" t="s">
        <v>133</v>
      </c>
    </row>
    <row r="68" spans="1:3" x14ac:dyDescent="0.3">
      <c r="A68" s="3" t="s">
        <v>1</v>
      </c>
      <c r="B68" s="3" t="s">
        <v>195</v>
      </c>
      <c r="C68" t="s">
        <v>133</v>
      </c>
    </row>
    <row r="69" spans="1:3" x14ac:dyDescent="0.3">
      <c r="A69" s="3" t="s">
        <v>1</v>
      </c>
      <c r="B69" s="3" t="s">
        <v>196</v>
      </c>
      <c r="C69" t="s">
        <v>133</v>
      </c>
    </row>
    <row r="70" spans="1:3" x14ac:dyDescent="0.3">
      <c r="A70" s="3" t="s">
        <v>1</v>
      </c>
      <c r="B70" s="3" t="s">
        <v>197</v>
      </c>
      <c r="C70" t="s">
        <v>133</v>
      </c>
    </row>
    <row r="71" spans="1:3" x14ac:dyDescent="0.3">
      <c r="A71" s="3" t="s">
        <v>1</v>
      </c>
      <c r="B71" s="3" t="s">
        <v>198</v>
      </c>
      <c r="C71" t="s">
        <v>133</v>
      </c>
    </row>
    <row r="72" spans="1:3" x14ac:dyDescent="0.3">
      <c r="A72" s="3" t="s">
        <v>1</v>
      </c>
      <c r="B72" s="3" t="s">
        <v>199</v>
      </c>
      <c r="C72" t="s">
        <v>133</v>
      </c>
    </row>
    <row r="73" spans="1:3" x14ac:dyDescent="0.3">
      <c r="A73" s="3" t="s">
        <v>1</v>
      </c>
      <c r="B73" s="3" t="s">
        <v>200</v>
      </c>
      <c r="C73" t="s">
        <v>133</v>
      </c>
    </row>
    <row r="74" spans="1:3" x14ac:dyDescent="0.3">
      <c r="A74" s="3" t="s">
        <v>1</v>
      </c>
      <c r="B74" s="3" t="s">
        <v>201</v>
      </c>
      <c r="C74" t="s">
        <v>133</v>
      </c>
    </row>
    <row r="75" spans="1:3" x14ac:dyDescent="0.3">
      <c r="A75" s="3" t="s">
        <v>1</v>
      </c>
      <c r="B75" s="3" t="s">
        <v>202</v>
      </c>
      <c r="C75" t="s">
        <v>133</v>
      </c>
    </row>
    <row r="76" spans="1:3" x14ac:dyDescent="0.3">
      <c r="A76" s="3" t="s">
        <v>1</v>
      </c>
      <c r="B76" s="3" t="s">
        <v>203</v>
      </c>
      <c r="C76" t="s">
        <v>133</v>
      </c>
    </row>
    <row r="77" spans="1:3" x14ac:dyDescent="0.3">
      <c r="A77" s="3" t="s">
        <v>1</v>
      </c>
      <c r="B77" s="3" t="s">
        <v>204</v>
      </c>
      <c r="C77" t="s">
        <v>133</v>
      </c>
    </row>
    <row r="78" spans="1:3" x14ac:dyDescent="0.3">
      <c r="A78" s="3" t="s">
        <v>1</v>
      </c>
      <c r="B78" s="3" t="s">
        <v>205</v>
      </c>
      <c r="C78" t="s">
        <v>133</v>
      </c>
    </row>
    <row r="79" spans="1:3" x14ac:dyDescent="0.3">
      <c r="A79" s="3" t="s">
        <v>1</v>
      </c>
      <c r="B79" s="3" t="s">
        <v>206</v>
      </c>
      <c r="C79" t="s">
        <v>133</v>
      </c>
    </row>
    <row r="80" spans="1:3" x14ac:dyDescent="0.3">
      <c r="A80" s="3" t="s">
        <v>1</v>
      </c>
      <c r="B80" s="3" t="s">
        <v>207</v>
      </c>
      <c r="C80" t="s">
        <v>133</v>
      </c>
    </row>
    <row r="81" spans="1:3" x14ac:dyDescent="0.3">
      <c r="A81" s="3" t="s">
        <v>1</v>
      </c>
      <c r="B81" s="3" t="s">
        <v>208</v>
      </c>
      <c r="C81" t="s">
        <v>133</v>
      </c>
    </row>
    <row r="82" spans="1:3" x14ac:dyDescent="0.3">
      <c r="A82" s="3" t="s">
        <v>1</v>
      </c>
      <c r="B82" s="3" t="s">
        <v>209</v>
      </c>
      <c r="C82" t="s">
        <v>133</v>
      </c>
    </row>
    <row r="83" spans="1:3" x14ac:dyDescent="0.3">
      <c r="A83" s="3" t="s">
        <v>1</v>
      </c>
      <c r="B83" s="3" t="s">
        <v>210</v>
      </c>
      <c r="C83" t="s">
        <v>133</v>
      </c>
    </row>
    <row r="84" spans="1:3" x14ac:dyDescent="0.3">
      <c r="A84" s="3" t="s">
        <v>1</v>
      </c>
      <c r="B84" s="3" t="s">
        <v>211</v>
      </c>
      <c r="C84" t="s">
        <v>133</v>
      </c>
    </row>
    <row r="85" spans="1:3" x14ac:dyDescent="0.3">
      <c r="A85" s="3" t="s">
        <v>1</v>
      </c>
      <c r="B85" s="3" t="s">
        <v>212</v>
      </c>
      <c r="C85" t="s">
        <v>133</v>
      </c>
    </row>
    <row r="86" spans="1:3" x14ac:dyDescent="0.3">
      <c r="A86" s="3" t="s">
        <v>1</v>
      </c>
      <c r="B86" s="3" t="s">
        <v>213</v>
      </c>
      <c r="C86" t="s">
        <v>133</v>
      </c>
    </row>
    <row r="87" spans="1:3" x14ac:dyDescent="0.3">
      <c r="A87" s="3" t="s">
        <v>1</v>
      </c>
      <c r="B87" s="3" t="s">
        <v>214</v>
      </c>
      <c r="C87" t="s">
        <v>133</v>
      </c>
    </row>
    <row r="88" spans="1:3" x14ac:dyDescent="0.3">
      <c r="A88" s="3" t="s">
        <v>1</v>
      </c>
      <c r="B88" s="3" t="s">
        <v>215</v>
      </c>
      <c r="C88" t="s">
        <v>133</v>
      </c>
    </row>
    <row r="89" spans="1:3" x14ac:dyDescent="0.3">
      <c r="A89" s="3" t="s">
        <v>1</v>
      </c>
      <c r="B89" s="3" t="s">
        <v>216</v>
      </c>
      <c r="C89" t="s">
        <v>133</v>
      </c>
    </row>
    <row r="90" spans="1:3" x14ac:dyDescent="0.3">
      <c r="A90" s="3" t="s">
        <v>1</v>
      </c>
      <c r="B90" s="3" t="s">
        <v>217</v>
      </c>
      <c r="C90" t="s">
        <v>133</v>
      </c>
    </row>
    <row r="91" spans="1:3" x14ac:dyDescent="0.3">
      <c r="A91" s="3" t="s">
        <v>1</v>
      </c>
      <c r="B91" s="3" t="s">
        <v>218</v>
      </c>
      <c r="C91" t="s">
        <v>133</v>
      </c>
    </row>
    <row r="92" spans="1:3" x14ac:dyDescent="0.3">
      <c r="A92" s="3" t="s">
        <v>1</v>
      </c>
      <c r="B92" s="3" t="s">
        <v>219</v>
      </c>
      <c r="C92" t="s">
        <v>133</v>
      </c>
    </row>
    <row r="93" spans="1:3" x14ac:dyDescent="0.3">
      <c r="A93" s="3" t="s">
        <v>1</v>
      </c>
      <c r="B93" s="3" t="s">
        <v>220</v>
      </c>
      <c r="C93" t="s">
        <v>133</v>
      </c>
    </row>
    <row r="94" spans="1:3" x14ac:dyDescent="0.3">
      <c r="A94" s="3" t="s">
        <v>1</v>
      </c>
      <c r="B94" s="3" t="s">
        <v>221</v>
      </c>
      <c r="C94" t="s">
        <v>133</v>
      </c>
    </row>
    <row r="95" spans="1:3" x14ac:dyDescent="0.3">
      <c r="A95" s="3" t="s">
        <v>1</v>
      </c>
      <c r="B95" s="3" t="s">
        <v>222</v>
      </c>
      <c r="C95" t="s">
        <v>133</v>
      </c>
    </row>
    <row r="96" spans="1:3" x14ac:dyDescent="0.3">
      <c r="A96" s="3" t="s">
        <v>1</v>
      </c>
      <c r="B96" s="3" t="s">
        <v>223</v>
      </c>
      <c r="C96" t="s">
        <v>133</v>
      </c>
    </row>
    <row r="97" spans="1:3" x14ac:dyDescent="0.3">
      <c r="A97" s="3" t="s">
        <v>1</v>
      </c>
      <c r="B97" s="3" t="s">
        <v>224</v>
      </c>
      <c r="C97" t="s">
        <v>133</v>
      </c>
    </row>
    <row r="98" spans="1:3" x14ac:dyDescent="0.3">
      <c r="A98" s="3" t="s">
        <v>1</v>
      </c>
      <c r="B98" s="3" t="s">
        <v>225</v>
      </c>
      <c r="C98" t="s">
        <v>133</v>
      </c>
    </row>
    <row r="99" spans="1:3" x14ac:dyDescent="0.3">
      <c r="A99" s="3" t="s">
        <v>1</v>
      </c>
      <c r="B99" s="3" t="s">
        <v>226</v>
      </c>
      <c r="C99" t="s">
        <v>133</v>
      </c>
    </row>
    <row r="100" spans="1:3" x14ac:dyDescent="0.3">
      <c r="A100" s="3" t="s">
        <v>1</v>
      </c>
      <c r="B100" s="3" t="s">
        <v>227</v>
      </c>
      <c r="C100" t="s">
        <v>133</v>
      </c>
    </row>
    <row r="101" spans="1:3" x14ac:dyDescent="0.3">
      <c r="A101" s="3" t="s">
        <v>1</v>
      </c>
      <c r="B101" s="3" t="s">
        <v>228</v>
      </c>
      <c r="C101" t="s">
        <v>133</v>
      </c>
    </row>
    <row r="102" spans="1:3" x14ac:dyDescent="0.3">
      <c r="A102" s="3" t="s">
        <v>1</v>
      </c>
      <c r="B102" s="3" t="s">
        <v>229</v>
      </c>
      <c r="C102" t="s">
        <v>133</v>
      </c>
    </row>
    <row r="103" spans="1:3" x14ac:dyDescent="0.3">
      <c r="A103" s="3" t="s">
        <v>1</v>
      </c>
      <c r="B103" s="3" t="s">
        <v>230</v>
      </c>
      <c r="C103" t="s">
        <v>133</v>
      </c>
    </row>
    <row r="104" spans="1:3" x14ac:dyDescent="0.3">
      <c r="A104" s="3" t="s">
        <v>1</v>
      </c>
      <c r="B104" s="3" t="s">
        <v>231</v>
      </c>
      <c r="C104" t="s">
        <v>133</v>
      </c>
    </row>
    <row r="105" spans="1:3" x14ac:dyDescent="0.3">
      <c r="A105" s="3" t="s">
        <v>1</v>
      </c>
      <c r="B105" s="3" t="s">
        <v>232</v>
      </c>
      <c r="C105" t="s">
        <v>133</v>
      </c>
    </row>
    <row r="106" spans="1:3" x14ac:dyDescent="0.3">
      <c r="A106" s="3" t="s">
        <v>1</v>
      </c>
      <c r="B106" s="3" t="s">
        <v>233</v>
      </c>
      <c r="C106" t="s">
        <v>133</v>
      </c>
    </row>
    <row r="107" spans="1:3" x14ac:dyDescent="0.3">
      <c r="A107" s="3" t="s">
        <v>1</v>
      </c>
      <c r="B107" s="3" t="s">
        <v>234</v>
      </c>
      <c r="C107" t="s">
        <v>133</v>
      </c>
    </row>
    <row r="108" spans="1:3" x14ac:dyDescent="0.3">
      <c r="A108" s="3" t="s">
        <v>1</v>
      </c>
      <c r="B108" s="3" t="s">
        <v>235</v>
      </c>
      <c r="C108" t="s">
        <v>133</v>
      </c>
    </row>
    <row r="109" spans="1:3" x14ac:dyDescent="0.3">
      <c r="A109" s="3" t="s">
        <v>1</v>
      </c>
      <c r="B109" s="3" t="s">
        <v>236</v>
      </c>
      <c r="C109" t="s">
        <v>133</v>
      </c>
    </row>
    <row r="110" spans="1:3" x14ac:dyDescent="0.3">
      <c r="A110" s="3" t="s">
        <v>1</v>
      </c>
      <c r="B110" s="3" t="s">
        <v>237</v>
      </c>
      <c r="C110" t="s">
        <v>133</v>
      </c>
    </row>
    <row r="111" spans="1:3" x14ac:dyDescent="0.3">
      <c r="A111" s="3" t="s">
        <v>1</v>
      </c>
      <c r="B111" s="3" t="s">
        <v>238</v>
      </c>
      <c r="C111" t="s">
        <v>133</v>
      </c>
    </row>
    <row r="112" spans="1:3" x14ac:dyDescent="0.3">
      <c r="A112" s="3" t="s">
        <v>1</v>
      </c>
      <c r="B112" s="3" t="s">
        <v>239</v>
      </c>
      <c r="C112" t="s">
        <v>133</v>
      </c>
    </row>
    <row r="113" spans="1:3" x14ac:dyDescent="0.3">
      <c r="A113" s="3" t="s">
        <v>1</v>
      </c>
      <c r="B113" s="3" t="s">
        <v>240</v>
      </c>
      <c r="C113" t="s">
        <v>133</v>
      </c>
    </row>
    <row r="114" spans="1:3" x14ac:dyDescent="0.3">
      <c r="A114" s="3" t="s">
        <v>1</v>
      </c>
      <c r="B114" s="3" t="s">
        <v>241</v>
      </c>
      <c r="C114" t="s">
        <v>133</v>
      </c>
    </row>
    <row r="115" spans="1:3" x14ac:dyDescent="0.3">
      <c r="A115" s="3" t="s">
        <v>1</v>
      </c>
      <c r="B115" s="3" t="s">
        <v>242</v>
      </c>
      <c r="C115" t="s">
        <v>133</v>
      </c>
    </row>
    <row r="116" spans="1:3" x14ac:dyDescent="0.3">
      <c r="A116" s="3" t="s">
        <v>1</v>
      </c>
      <c r="B116" s="3" t="s">
        <v>243</v>
      </c>
      <c r="C116" t="s">
        <v>133</v>
      </c>
    </row>
    <row r="117" spans="1:3" x14ac:dyDescent="0.3">
      <c r="A117" s="3" t="s">
        <v>1</v>
      </c>
      <c r="B117" s="3" t="s">
        <v>244</v>
      </c>
      <c r="C117" t="s">
        <v>133</v>
      </c>
    </row>
    <row r="118" spans="1:3" x14ac:dyDescent="0.3">
      <c r="A118" s="3" t="s">
        <v>1</v>
      </c>
      <c r="B118" s="3" t="s">
        <v>245</v>
      </c>
      <c r="C118" t="s">
        <v>133</v>
      </c>
    </row>
    <row r="119" spans="1:3" x14ac:dyDescent="0.3">
      <c r="A119" s="3" t="s">
        <v>1</v>
      </c>
      <c r="B119" s="3" t="s">
        <v>246</v>
      </c>
      <c r="C119" t="s">
        <v>133</v>
      </c>
    </row>
    <row r="120" spans="1:3" x14ac:dyDescent="0.3">
      <c r="A120" s="3" t="s">
        <v>1</v>
      </c>
      <c r="B120" s="3" t="s">
        <v>117</v>
      </c>
      <c r="C120" t="s">
        <v>133</v>
      </c>
    </row>
    <row r="121" spans="1:3" x14ac:dyDescent="0.3">
      <c r="A121" s="3" t="s">
        <v>1</v>
      </c>
      <c r="B121" s="3" t="s">
        <v>123</v>
      </c>
      <c r="C121" t="s">
        <v>133</v>
      </c>
    </row>
    <row r="122" spans="1:3" x14ac:dyDescent="0.3">
      <c r="A122" s="3" t="s">
        <v>1</v>
      </c>
      <c r="B122" s="3" t="s">
        <v>124</v>
      </c>
      <c r="C122" t="s">
        <v>133</v>
      </c>
    </row>
    <row r="123" spans="1:3" x14ac:dyDescent="0.3">
      <c r="A123" s="3" t="s">
        <v>1</v>
      </c>
      <c r="B123" s="3" t="s">
        <v>247</v>
      </c>
      <c r="C123" t="s">
        <v>133</v>
      </c>
    </row>
    <row r="124" spans="1:3" x14ac:dyDescent="0.3">
      <c r="A124" s="3" t="s">
        <v>1</v>
      </c>
      <c r="B124" s="3" t="s">
        <v>248</v>
      </c>
      <c r="C124" t="s">
        <v>133</v>
      </c>
    </row>
    <row r="125" spans="1:3" x14ac:dyDescent="0.3">
      <c r="A125" s="3" t="s">
        <v>1</v>
      </c>
      <c r="B125" s="3" t="s">
        <v>249</v>
      </c>
      <c r="C125" t="s">
        <v>133</v>
      </c>
    </row>
    <row r="126" spans="1:3" x14ac:dyDescent="0.3">
      <c r="A126" s="3" t="s">
        <v>1</v>
      </c>
      <c r="B126" s="3" t="s">
        <v>250</v>
      </c>
      <c r="C126" t="s">
        <v>133</v>
      </c>
    </row>
    <row r="127" spans="1:3" x14ac:dyDescent="0.3">
      <c r="A127" s="3" t="s">
        <v>1</v>
      </c>
      <c r="B127" s="3" t="s">
        <v>251</v>
      </c>
      <c r="C127" t="s">
        <v>133</v>
      </c>
    </row>
    <row r="128" spans="1:3" x14ac:dyDescent="0.3">
      <c r="A128" s="3" t="s">
        <v>1</v>
      </c>
      <c r="B128" s="3" t="s">
        <v>252</v>
      </c>
      <c r="C128" t="s">
        <v>133</v>
      </c>
    </row>
    <row r="129" spans="1:3" x14ac:dyDescent="0.3">
      <c r="A129" s="3" t="s">
        <v>1</v>
      </c>
      <c r="B129" s="3" t="s">
        <v>253</v>
      </c>
      <c r="C129" t="s">
        <v>133</v>
      </c>
    </row>
    <row r="130" spans="1:3" x14ac:dyDescent="0.3">
      <c r="A130" s="3" t="s">
        <v>1</v>
      </c>
      <c r="B130" s="3" t="s">
        <v>254</v>
      </c>
      <c r="C130" t="s">
        <v>133</v>
      </c>
    </row>
    <row r="131" spans="1:3" x14ac:dyDescent="0.3">
      <c r="A131" s="3" t="s">
        <v>1</v>
      </c>
      <c r="B131" s="3" t="s">
        <v>255</v>
      </c>
      <c r="C131" t="s">
        <v>133</v>
      </c>
    </row>
    <row r="132" spans="1:3" x14ac:dyDescent="0.3">
      <c r="A132" s="3" t="s">
        <v>1</v>
      </c>
      <c r="B132" s="3" t="s">
        <v>256</v>
      </c>
      <c r="C132" t="s">
        <v>133</v>
      </c>
    </row>
    <row r="133" spans="1:3" x14ac:dyDescent="0.3">
      <c r="A133" s="3" t="s">
        <v>1</v>
      </c>
      <c r="B133" s="3" t="s">
        <v>257</v>
      </c>
      <c r="C133" t="s">
        <v>133</v>
      </c>
    </row>
    <row r="134" spans="1:3" x14ac:dyDescent="0.3">
      <c r="A134" s="3" t="s">
        <v>1</v>
      </c>
      <c r="B134" s="3" t="s">
        <v>258</v>
      </c>
      <c r="C134" t="s">
        <v>133</v>
      </c>
    </row>
    <row r="135" spans="1:3" x14ac:dyDescent="0.3">
      <c r="A135" s="3" t="s">
        <v>1</v>
      </c>
      <c r="B135" s="3" t="s">
        <v>259</v>
      </c>
      <c r="C135" t="s">
        <v>133</v>
      </c>
    </row>
    <row r="136" spans="1:3" x14ac:dyDescent="0.3">
      <c r="A136" s="3" t="s">
        <v>1</v>
      </c>
      <c r="B136" s="3" t="s">
        <v>260</v>
      </c>
      <c r="C136" t="s">
        <v>133</v>
      </c>
    </row>
    <row r="137" spans="1:3" x14ac:dyDescent="0.3">
      <c r="A137" s="3" t="s">
        <v>1</v>
      </c>
      <c r="B137" s="3" t="s">
        <v>261</v>
      </c>
      <c r="C137" t="s">
        <v>133</v>
      </c>
    </row>
    <row r="138" spans="1:3" x14ac:dyDescent="0.3">
      <c r="A138" s="3" t="s">
        <v>1</v>
      </c>
      <c r="B138" s="3" t="s">
        <v>262</v>
      </c>
      <c r="C138" t="s">
        <v>133</v>
      </c>
    </row>
    <row r="139" spans="1:3" x14ac:dyDescent="0.3">
      <c r="A139" s="3" t="s">
        <v>1</v>
      </c>
      <c r="B139" s="3" t="s">
        <v>263</v>
      </c>
      <c r="C139" t="s">
        <v>133</v>
      </c>
    </row>
    <row r="140" spans="1:3" x14ac:dyDescent="0.3">
      <c r="A140" s="3" t="s">
        <v>1</v>
      </c>
      <c r="B140" s="3" t="s">
        <v>264</v>
      </c>
      <c r="C140" t="s">
        <v>133</v>
      </c>
    </row>
    <row r="141" spans="1:3" x14ac:dyDescent="0.3">
      <c r="A141" s="3" t="s">
        <v>1</v>
      </c>
      <c r="B141" s="3" t="s">
        <v>265</v>
      </c>
      <c r="C141" t="s">
        <v>133</v>
      </c>
    </row>
    <row r="142" spans="1:3" x14ac:dyDescent="0.3">
      <c r="A142" s="3" t="s">
        <v>1</v>
      </c>
      <c r="B142" s="3" t="s">
        <v>266</v>
      </c>
      <c r="C142" t="s">
        <v>133</v>
      </c>
    </row>
    <row r="143" spans="1:3" x14ac:dyDescent="0.3">
      <c r="A143" s="3" t="s">
        <v>1</v>
      </c>
      <c r="B143" s="3" t="s">
        <v>267</v>
      </c>
      <c r="C143" t="s">
        <v>133</v>
      </c>
    </row>
    <row r="144" spans="1:3" x14ac:dyDescent="0.3">
      <c r="A144" s="3" t="s">
        <v>1</v>
      </c>
      <c r="B144" s="3" t="s">
        <v>268</v>
      </c>
      <c r="C144" t="s">
        <v>133</v>
      </c>
    </row>
    <row r="145" spans="1:3" x14ac:dyDescent="0.3">
      <c r="A145" s="3" t="s">
        <v>1</v>
      </c>
      <c r="B145" s="3" t="s">
        <v>269</v>
      </c>
      <c r="C145" t="s">
        <v>133</v>
      </c>
    </row>
    <row r="146" spans="1:3" x14ac:dyDescent="0.3">
      <c r="A146" s="3" t="s">
        <v>1</v>
      </c>
      <c r="B146" s="3" t="s">
        <v>270</v>
      </c>
      <c r="C146" t="s">
        <v>133</v>
      </c>
    </row>
    <row r="147" spans="1:3" x14ac:dyDescent="0.3">
      <c r="A147" s="3" t="s">
        <v>1</v>
      </c>
      <c r="B147" s="3" t="s">
        <v>271</v>
      </c>
      <c r="C147" t="s">
        <v>133</v>
      </c>
    </row>
    <row r="148" spans="1:3" x14ac:dyDescent="0.3">
      <c r="A148" s="3" t="s">
        <v>1</v>
      </c>
      <c r="B148" s="3" t="s">
        <v>272</v>
      </c>
      <c r="C148" t="s">
        <v>133</v>
      </c>
    </row>
    <row r="149" spans="1:3" x14ac:dyDescent="0.3">
      <c r="A149" s="3" t="s">
        <v>1</v>
      </c>
      <c r="B149" s="3" t="s">
        <v>273</v>
      </c>
      <c r="C149" t="s">
        <v>133</v>
      </c>
    </row>
    <row r="150" spans="1:3" x14ac:dyDescent="0.3">
      <c r="A150" s="3" t="s">
        <v>1</v>
      </c>
      <c r="B150" s="3" t="s">
        <v>274</v>
      </c>
      <c r="C150" t="s">
        <v>133</v>
      </c>
    </row>
    <row r="151" spans="1:3" x14ac:dyDescent="0.3">
      <c r="A151" s="3" t="s">
        <v>1</v>
      </c>
      <c r="B151" s="3" t="s">
        <v>275</v>
      </c>
      <c r="C151" t="s">
        <v>133</v>
      </c>
    </row>
    <row r="152" spans="1:3" x14ac:dyDescent="0.3">
      <c r="A152" s="3" t="s">
        <v>1</v>
      </c>
      <c r="B152" s="3" t="s">
        <v>276</v>
      </c>
      <c r="C152" t="s">
        <v>133</v>
      </c>
    </row>
    <row r="153" spans="1:3" x14ac:dyDescent="0.3">
      <c r="A153" s="3" t="s">
        <v>1</v>
      </c>
      <c r="B153" s="3" t="s">
        <v>277</v>
      </c>
      <c r="C153" t="s">
        <v>133</v>
      </c>
    </row>
    <row r="154" spans="1:3" x14ac:dyDescent="0.3">
      <c r="A154" s="3" t="s">
        <v>1</v>
      </c>
      <c r="B154" s="3" t="s">
        <v>278</v>
      </c>
      <c r="C154" t="s">
        <v>133</v>
      </c>
    </row>
    <row r="155" spans="1:3" x14ac:dyDescent="0.3">
      <c r="A155" s="3" t="s">
        <v>1</v>
      </c>
      <c r="B155" s="3" t="s">
        <v>279</v>
      </c>
      <c r="C155" t="s">
        <v>133</v>
      </c>
    </row>
    <row r="156" spans="1:3" x14ac:dyDescent="0.3">
      <c r="A156" s="3" t="s">
        <v>1</v>
      </c>
      <c r="B156" s="3" t="s">
        <v>280</v>
      </c>
      <c r="C156" t="s">
        <v>133</v>
      </c>
    </row>
    <row r="157" spans="1:3" x14ac:dyDescent="0.3">
      <c r="A157" s="3" t="s">
        <v>1</v>
      </c>
      <c r="B157" s="3" t="s">
        <v>281</v>
      </c>
      <c r="C157" t="s">
        <v>133</v>
      </c>
    </row>
    <row r="158" spans="1:3" x14ac:dyDescent="0.3">
      <c r="A158" s="3" t="s">
        <v>1</v>
      </c>
      <c r="B158" s="3" t="s">
        <v>282</v>
      </c>
      <c r="C158" t="s">
        <v>133</v>
      </c>
    </row>
    <row r="159" spans="1:3" x14ac:dyDescent="0.3">
      <c r="A159" s="3" t="s">
        <v>1</v>
      </c>
      <c r="B159" s="3" t="s">
        <v>283</v>
      </c>
      <c r="C159" t="s">
        <v>133</v>
      </c>
    </row>
    <row r="160" spans="1:3" x14ac:dyDescent="0.3">
      <c r="A160" s="3" t="s">
        <v>1</v>
      </c>
      <c r="B160" s="3" t="s">
        <v>284</v>
      </c>
      <c r="C160" t="s">
        <v>133</v>
      </c>
    </row>
    <row r="161" spans="1:3" x14ac:dyDescent="0.3">
      <c r="A161" s="3" t="s">
        <v>1</v>
      </c>
      <c r="B161" s="3" t="s">
        <v>285</v>
      </c>
      <c r="C161" t="s">
        <v>133</v>
      </c>
    </row>
    <row r="162" spans="1:3" x14ac:dyDescent="0.3">
      <c r="A162" s="3" t="s">
        <v>1</v>
      </c>
      <c r="B162" s="3" t="s">
        <v>286</v>
      </c>
      <c r="C162" t="s">
        <v>133</v>
      </c>
    </row>
    <row r="163" spans="1:3" x14ac:dyDescent="0.3">
      <c r="A163" s="3" t="s">
        <v>1</v>
      </c>
      <c r="B163" s="3" t="s">
        <v>287</v>
      </c>
      <c r="C163" t="s">
        <v>133</v>
      </c>
    </row>
    <row r="164" spans="1:3" x14ac:dyDescent="0.3">
      <c r="A164" s="3" t="s">
        <v>1</v>
      </c>
      <c r="B164" s="3" t="s">
        <v>288</v>
      </c>
      <c r="C164" t="s">
        <v>133</v>
      </c>
    </row>
    <row r="165" spans="1:3" x14ac:dyDescent="0.3">
      <c r="A165" s="3" t="s">
        <v>1</v>
      </c>
      <c r="B165" s="3" t="s">
        <v>289</v>
      </c>
      <c r="C165" t="s">
        <v>133</v>
      </c>
    </row>
    <row r="166" spans="1:3" x14ac:dyDescent="0.3">
      <c r="A166" s="3" t="s">
        <v>1</v>
      </c>
      <c r="B166" s="3" t="s">
        <v>290</v>
      </c>
      <c r="C166" t="s">
        <v>133</v>
      </c>
    </row>
    <row r="167" spans="1:3" x14ac:dyDescent="0.3">
      <c r="A167" s="3" t="s">
        <v>1</v>
      </c>
      <c r="B167" s="3" t="s">
        <v>291</v>
      </c>
      <c r="C167" t="s">
        <v>133</v>
      </c>
    </row>
    <row r="168" spans="1:3" x14ac:dyDescent="0.3">
      <c r="A168" s="3" t="s">
        <v>1</v>
      </c>
      <c r="B168" s="3" t="s">
        <v>292</v>
      </c>
      <c r="C168" t="s">
        <v>133</v>
      </c>
    </row>
    <row r="169" spans="1:3" x14ac:dyDescent="0.3">
      <c r="A169" s="3" t="s">
        <v>1</v>
      </c>
      <c r="B169" s="3" t="s">
        <v>293</v>
      </c>
      <c r="C169" t="s">
        <v>133</v>
      </c>
    </row>
    <row r="170" spans="1:3" x14ac:dyDescent="0.3">
      <c r="A170" s="3" t="s">
        <v>1</v>
      </c>
      <c r="B170" s="3" t="s">
        <v>294</v>
      </c>
      <c r="C170" t="s">
        <v>133</v>
      </c>
    </row>
    <row r="171" spans="1:3" x14ac:dyDescent="0.3">
      <c r="A171" s="3" t="s">
        <v>1</v>
      </c>
      <c r="B171" s="3" t="s">
        <v>295</v>
      </c>
      <c r="C171" t="s">
        <v>133</v>
      </c>
    </row>
    <row r="172" spans="1:3" x14ac:dyDescent="0.3">
      <c r="A172" s="3" t="s">
        <v>1</v>
      </c>
      <c r="B172" s="3" t="s">
        <v>296</v>
      </c>
      <c r="C172" t="s">
        <v>133</v>
      </c>
    </row>
    <row r="173" spans="1:3" x14ac:dyDescent="0.3">
      <c r="A173" s="3" t="s">
        <v>1</v>
      </c>
      <c r="B173" s="3" t="s">
        <v>297</v>
      </c>
      <c r="C173" t="s">
        <v>133</v>
      </c>
    </row>
    <row r="174" spans="1:3" x14ac:dyDescent="0.3">
      <c r="A174" s="3" t="s">
        <v>1</v>
      </c>
      <c r="B174" s="3" t="s">
        <v>298</v>
      </c>
      <c r="C174" t="s">
        <v>133</v>
      </c>
    </row>
    <row r="175" spans="1:3" x14ac:dyDescent="0.3">
      <c r="A175" s="3" t="s">
        <v>1</v>
      </c>
      <c r="B175" s="3" t="s">
        <v>299</v>
      </c>
      <c r="C175" t="s">
        <v>133</v>
      </c>
    </row>
    <row r="176" spans="1:3" x14ac:dyDescent="0.3">
      <c r="A176" s="3" t="s">
        <v>1</v>
      </c>
      <c r="B176" s="3" t="s">
        <v>103</v>
      </c>
      <c r="C176" t="s">
        <v>133</v>
      </c>
    </row>
    <row r="177" spans="1:3" x14ac:dyDescent="0.3">
      <c r="A177" s="3" t="s">
        <v>1</v>
      </c>
      <c r="B177" s="3" t="s">
        <v>300</v>
      </c>
      <c r="C177" t="s">
        <v>133</v>
      </c>
    </row>
    <row r="178" spans="1:3" x14ac:dyDescent="0.3">
      <c r="A178" s="3" t="s">
        <v>1</v>
      </c>
      <c r="B178" s="3" t="s">
        <v>301</v>
      </c>
      <c r="C178" t="s">
        <v>133</v>
      </c>
    </row>
    <row r="179" spans="1:3" x14ac:dyDescent="0.3">
      <c r="A179" s="3" t="s">
        <v>1</v>
      </c>
      <c r="B179" s="3" t="s">
        <v>302</v>
      </c>
      <c r="C179" t="s">
        <v>133</v>
      </c>
    </row>
    <row r="180" spans="1:3" x14ac:dyDescent="0.3">
      <c r="A180" s="3" t="s">
        <v>1</v>
      </c>
      <c r="B180" s="3" t="s">
        <v>303</v>
      </c>
      <c r="C180" t="s">
        <v>133</v>
      </c>
    </row>
    <row r="181" spans="1:3" x14ac:dyDescent="0.3">
      <c r="A181" s="3" t="s">
        <v>1</v>
      </c>
      <c r="B181" s="3" t="s">
        <v>304</v>
      </c>
      <c r="C181" t="s">
        <v>133</v>
      </c>
    </row>
    <row r="182" spans="1:3" x14ac:dyDescent="0.3">
      <c r="A182" s="3" t="s">
        <v>1</v>
      </c>
      <c r="B182" s="3" t="s">
        <v>305</v>
      </c>
      <c r="C182" t="s">
        <v>133</v>
      </c>
    </row>
    <row r="183" spans="1:3" x14ac:dyDescent="0.3">
      <c r="A183" s="3" t="s">
        <v>1</v>
      </c>
      <c r="B183" s="3" t="s">
        <v>306</v>
      </c>
      <c r="C183" t="s">
        <v>133</v>
      </c>
    </row>
    <row r="184" spans="1:3" x14ac:dyDescent="0.3">
      <c r="A184" s="3" t="s">
        <v>1</v>
      </c>
      <c r="B184" s="3" t="s">
        <v>307</v>
      </c>
      <c r="C184" t="s">
        <v>133</v>
      </c>
    </row>
    <row r="185" spans="1:3" x14ac:dyDescent="0.3">
      <c r="A185" s="3" t="s">
        <v>1</v>
      </c>
      <c r="B185" s="3" t="s">
        <v>308</v>
      </c>
      <c r="C185" t="s">
        <v>133</v>
      </c>
    </row>
    <row r="186" spans="1:3" x14ac:dyDescent="0.3">
      <c r="A186" s="3" t="s">
        <v>1</v>
      </c>
      <c r="B186" s="3" t="s">
        <v>309</v>
      </c>
      <c r="C186" t="s">
        <v>133</v>
      </c>
    </row>
    <row r="187" spans="1:3" x14ac:dyDescent="0.3">
      <c r="A187" s="3" t="s">
        <v>1</v>
      </c>
      <c r="B187" s="3" t="s">
        <v>121</v>
      </c>
      <c r="C187" t="s">
        <v>133</v>
      </c>
    </row>
    <row r="188" spans="1:3" x14ac:dyDescent="0.3">
      <c r="A188" s="3" t="s">
        <v>1</v>
      </c>
      <c r="B188" s="3" t="s">
        <v>310</v>
      </c>
      <c r="C188" t="s">
        <v>133</v>
      </c>
    </row>
    <row r="189" spans="1:3" x14ac:dyDescent="0.3">
      <c r="A189" s="3" t="s">
        <v>2</v>
      </c>
      <c r="B189" s="3" t="s">
        <v>311</v>
      </c>
      <c r="C189" t="s">
        <v>312</v>
      </c>
    </row>
    <row r="190" spans="1:3" x14ac:dyDescent="0.3">
      <c r="A190" s="3" t="s">
        <v>2</v>
      </c>
      <c r="B190" s="3" t="s">
        <v>313</v>
      </c>
      <c r="C190" t="s">
        <v>314</v>
      </c>
    </row>
    <row r="191" spans="1:3" x14ac:dyDescent="0.3">
      <c r="A191" s="3" t="s">
        <v>2</v>
      </c>
      <c r="B191" s="3" t="s">
        <v>315</v>
      </c>
      <c r="C191" t="s">
        <v>312</v>
      </c>
    </row>
    <row r="192" spans="1:3" x14ac:dyDescent="0.3">
      <c r="A192" s="3" t="s">
        <v>2</v>
      </c>
      <c r="B192" s="3" t="s">
        <v>316</v>
      </c>
      <c r="C192" t="s">
        <v>312</v>
      </c>
    </row>
    <row r="193" spans="1:3" x14ac:dyDescent="0.3">
      <c r="A193" s="3" t="s">
        <v>2</v>
      </c>
      <c r="B193" s="3" t="s">
        <v>138</v>
      </c>
      <c r="C193" t="s">
        <v>312</v>
      </c>
    </row>
    <row r="194" spans="1:3" x14ac:dyDescent="0.3">
      <c r="A194" s="3" t="s">
        <v>2</v>
      </c>
      <c r="B194" s="3" t="s">
        <v>317</v>
      </c>
      <c r="C194" t="s">
        <v>312</v>
      </c>
    </row>
    <row r="195" spans="1:3" x14ac:dyDescent="0.3">
      <c r="A195" s="3" t="s">
        <v>2</v>
      </c>
      <c r="B195" s="3" t="s">
        <v>318</v>
      </c>
      <c r="C195" t="s">
        <v>319</v>
      </c>
    </row>
    <row r="196" spans="1:3" x14ac:dyDescent="0.3">
      <c r="A196" s="3" t="s">
        <v>2</v>
      </c>
      <c r="B196" s="3" t="s">
        <v>320</v>
      </c>
      <c r="C196" t="s">
        <v>312</v>
      </c>
    </row>
    <row r="197" spans="1:3" x14ac:dyDescent="0.3">
      <c r="A197" s="3" t="s">
        <v>2</v>
      </c>
      <c r="B197" s="3" t="s">
        <v>321</v>
      </c>
      <c r="C197" t="s">
        <v>312</v>
      </c>
    </row>
    <row r="198" spans="1:3" x14ac:dyDescent="0.3">
      <c r="A198" s="3" t="s">
        <v>2</v>
      </c>
      <c r="B198" s="3" t="s">
        <v>322</v>
      </c>
      <c r="C198" t="s">
        <v>312</v>
      </c>
    </row>
    <row r="199" spans="1:3" x14ac:dyDescent="0.3">
      <c r="A199" s="3" t="s">
        <v>2</v>
      </c>
      <c r="B199" s="3" t="s">
        <v>323</v>
      </c>
      <c r="C199" t="s">
        <v>312</v>
      </c>
    </row>
    <row r="200" spans="1:3" x14ac:dyDescent="0.3">
      <c r="A200" s="3" t="s">
        <v>2</v>
      </c>
      <c r="B200" s="3" t="s">
        <v>324</v>
      </c>
      <c r="C200" t="s">
        <v>312</v>
      </c>
    </row>
    <row r="201" spans="1:3" x14ac:dyDescent="0.3">
      <c r="A201" s="3" t="s">
        <v>2</v>
      </c>
      <c r="B201" s="3" t="s">
        <v>125</v>
      </c>
      <c r="C201" t="s">
        <v>105</v>
      </c>
    </row>
    <row r="202" spans="1:3" x14ac:dyDescent="0.3">
      <c r="A202" s="3" t="s">
        <v>2</v>
      </c>
      <c r="B202" s="3" t="s">
        <v>325</v>
      </c>
      <c r="C202" t="s">
        <v>312</v>
      </c>
    </row>
    <row r="203" spans="1:3" x14ac:dyDescent="0.3">
      <c r="A203" s="3" t="s">
        <v>2</v>
      </c>
      <c r="B203" s="3" t="s">
        <v>326</v>
      </c>
      <c r="C203" t="s">
        <v>312</v>
      </c>
    </row>
    <row r="204" spans="1:3" x14ac:dyDescent="0.3">
      <c r="A204" s="3" t="s">
        <v>2</v>
      </c>
      <c r="B204" s="3" t="s">
        <v>327</v>
      </c>
      <c r="C204" t="s">
        <v>312</v>
      </c>
    </row>
    <row r="205" spans="1:3" x14ac:dyDescent="0.3">
      <c r="A205" s="3" t="s">
        <v>2</v>
      </c>
      <c r="B205" s="3" t="s">
        <v>328</v>
      </c>
      <c r="C205" t="s">
        <v>312</v>
      </c>
    </row>
    <row r="206" spans="1:3" x14ac:dyDescent="0.3">
      <c r="A206" s="3" t="s">
        <v>2</v>
      </c>
      <c r="B206" s="3" t="s">
        <v>329</v>
      </c>
      <c r="C206" t="s">
        <v>319</v>
      </c>
    </row>
    <row r="207" spans="1:3" x14ac:dyDescent="0.3">
      <c r="A207" s="3" t="s">
        <v>2</v>
      </c>
      <c r="B207" s="3" t="s">
        <v>330</v>
      </c>
      <c r="C207" t="s">
        <v>312</v>
      </c>
    </row>
    <row r="208" spans="1:3" x14ac:dyDescent="0.3">
      <c r="A208" s="3" t="s">
        <v>2</v>
      </c>
      <c r="B208" s="3" t="s">
        <v>331</v>
      </c>
      <c r="C208" t="s">
        <v>312</v>
      </c>
    </row>
    <row r="209" spans="1:3" x14ac:dyDescent="0.3">
      <c r="A209" s="3" t="s">
        <v>2</v>
      </c>
      <c r="B209" s="3" t="s">
        <v>332</v>
      </c>
      <c r="C209" t="s">
        <v>312</v>
      </c>
    </row>
    <row r="210" spans="1:3" x14ac:dyDescent="0.3">
      <c r="A210" s="3" t="s">
        <v>2</v>
      </c>
      <c r="B210" s="3" t="s">
        <v>333</v>
      </c>
      <c r="C210" t="s">
        <v>312</v>
      </c>
    </row>
    <row r="211" spans="1:3" x14ac:dyDescent="0.3">
      <c r="A211" s="3" t="s">
        <v>2</v>
      </c>
      <c r="B211" s="3" t="s">
        <v>334</v>
      </c>
      <c r="C211" t="s">
        <v>312</v>
      </c>
    </row>
    <row r="212" spans="1:3" x14ac:dyDescent="0.3">
      <c r="A212" s="3" t="s">
        <v>2</v>
      </c>
      <c r="B212" s="3" t="s">
        <v>335</v>
      </c>
      <c r="C212" t="s">
        <v>312</v>
      </c>
    </row>
    <row r="213" spans="1:3" x14ac:dyDescent="0.3">
      <c r="A213" s="3" t="s">
        <v>2</v>
      </c>
      <c r="B213" s="3" t="s">
        <v>336</v>
      </c>
      <c r="C213" t="s">
        <v>312</v>
      </c>
    </row>
    <row r="214" spans="1:3" x14ac:dyDescent="0.3">
      <c r="A214" s="3" t="s">
        <v>2</v>
      </c>
      <c r="B214" s="3" t="s">
        <v>149</v>
      </c>
      <c r="C214" t="s">
        <v>312</v>
      </c>
    </row>
    <row r="215" spans="1:3" x14ac:dyDescent="0.3">
      <c r="A215" s="3" t="s">
        <v>2</v>
      </c>
      <c r="B215" s="3" t="s">
        <v>113</v>
      </c>
      <c r="C215" t="s">
        <v>105</v>
      </c>
    </row>
    <row r="216" spans="1:3" x14ac:dyDescent="0.3">
      <c r="A216" s="3" t="s">
        <v>2</v>
      </c>
      <c r="B216" s="3" t="s">
        <v>337</v>
      </c>
      <c r="C216" t="s">
        <v>312</v>
      </c>
    </row>
    <row r="217" spans="1:3" x14ac:dyDescent="0.3">
      <c r="A217" s="3" t="s">
        <v>2</v>
      </c>
      <c r="B217" s="3" t="s">
        <v>114</v>
      </c>
      <c r="C217" t="s">
        <v>57</v>
      </c>
    </row>
    <row r="218" spans="1:3" x14ac:dyDescent="0.3">
      <c r="A218" s="3" t="s">
        <v>2</v>
      </c>
      <c r="B218" s="3" t="s">
        <v>116</v>
      </c>
      <c r="C218" t="s">
        <v>57</v>
      </c>
    </row>
    <row r="219" spans="1:3" x14ac:dyDescent="0.3">
      <c r="A219" s="3" t="s">
        <v>2</v>
      </c>
      <c r="B219" s="3" t="s">
        <v>338</v>
      </c>
      <c r="C219" t="s">
        <v>312</v>
      </c>
    </row>
    <row r="220" spans="1:3" x14ac:dyDescent="0.3">
      <c r="A220" s="3" t="s">
        <v>2</v>
      </c>
      <c r="B220" s="3" t="s">
        <v>339</v>
      </c>
      <c r="C220" t="s">
        <v>312</v>
      </c>
    </row>
    <row r="221" spans="1:3" x14ac:dyDescent="0.3">
      <c r="A221" s="3" t="s">
        <v>2</v>
      </c>
      <c r="B221" s="3" t="s">
        <v>340</v>
      </c>
      <c r="C221" t="s">
        <v>312</v>
      </c>
    </row>
    <row r="222" spans="1:3" x14ac:dyDescent="0.3">
      <c r="A222" s="3" t="s">
        <v>2</v>
      </c>
      <c r="B222" s="3" t="s">
        <v>341</v>
      </c>
      <c r="C222" t="s">
        <v>314</v>
      </c>
    </row>
    <row r="223" spans="1:3" x14ac:dyDescent="0.3">
      <c r="A223" s="3" t="s">
        <v>2</v>
      </c>
      <c r="B223" s="3" t="s">
        <v>342</v>
      </c>
      <c r="C223" t="s">
        <v>314</v>
      </c>
    </row>
    <row r="224" spans="1:3" x14ac:dyDescent="0.3">
      <c r="A224" s="3" t="s">
        <v>2</v>
      </c>
      <c r="B224" s="3" t="s">
        <v>343</v>
      </c>
      <c r="C224" t="s">
        <v>314</v>
      </c>
    </row>
    <row r="225" spans="1:3" x14ac:dyDescent="0.3">
      <c r="A225" s="3" t="s">
        <v>2</v>
      </c>
      <c r="B225" s="3" t="s">
        <v>344</v>
      </c>
      <c r="C225" t="s">
        <v>312</v>
      </c>
    </row>
    <row r="226" spans="1:3" x14ac:dyDescent="0.3">
      <c r="A226" s="3" t="s">
        <v>2</v>
      </c>
      <c r="B226" s="3" t="s">
        <v>345</v>
      </c>
      <c r="C226" t="s">
        <v>312</v>
      </c>
    </row>
    <row r="227" spans="1:3" x14ac:dyDescent="0.3">
      <c r="A227" s="3" t="s">
        <v>2</v>
      </c>
      <c r="B227" s="3" t="s">
        <v>346</v>
      </c>
      <c r="C227" t="s">
        <v>312</v>
      </c>
    </row>
    <row r="228" spans="1:3" x14ac:dyDescent="0.3">
      <c r="A228" s="3" t="s">
        <v>2</v>
      </c>
      <c r="B228" s="3" t="s">
        <v>347</v>
      </c>
      <c r="C228" t="s">
        <v>312</v>
      </c>
    </row>
    <row r="229" spans="1:3" x14ac:dyDescent="0.3">
      <c r="A229" s="3" t="s">
        <v>2</v>
      </c>
      <c r="B229" s="3" t="s">
        <v>348</v>
      </c>
      <c r="C229" t="s">
        <v>312</v>
      </c>
    </row>
    <row r="230" spans="1:3" x14ac:dyDescent="0.3">
      <c r="A230" s="3" t="s">
        <v>2</v>
      </c>
      <c r="B230" s="3" t="s">
        <v>349</v>
      </c>
      <c r="C230" t="s">
        <v>314</v>
      </c>
    </row>
    <row r="231" spans="1:3" x14ac:dyDescent="0.3">
      <c r="A231" s="3" t="s">
        <v>2</v>
      </c>
      <c r="B231" s="3" t="s">
        <v>350</v>
      </c>
      <c r="C231" t="s">
        <v>314</v>
      </c>
    </row>
    <row r="232" spans="1:3" x14ac:dyDescent="0.3">
      <c r="A232" s="3" t="s">
        <v>2</v>
      </c>
      <c r="B232" s="3" t="s">
        <v>351</v>
      </c>
      <c r="C232" t="s">
        <v>314</v>
      </c>
    </row>
    <row r="233" spans="1:3" x14ac:dyDescent="0.3">
      <c r="A233" s="3" t="s">
        <v>2</v>
      </c>
      <c r="B233" s="3" t="s">
        <v>352</v>
      </c>
      <c r="C233" t="s">
        <v>312</v>
      </c>
    </row>
    <row r="234" spans="1:3" x14ac:dyDescent="0.3">
      <c r="A234" s="3" t="s">
        <v>2</v>
      </c>
      <c r="B234" s="3" t="s">
        <v>353</v>
      </c>
      <c r="C234" t="s">
        <v>57</v>
      </c>
    </row>
    <row r="235" spans="1:3" x14ac:dyDescent="0.3">
      <c r="A235" s="3" t="s">
        <v>2</v>
      </c>
      <c r="B235" s="3" t="s">
        <v>118</v>
      </c>
      <c r="C235" t="s">
        <v>57</v>
      </c>
    </row>
    <row r="236" spans="1:3" x14ac:dyDescent="0.3">
      <c r="A236" s="3" t="s">
        <v>2</v>
      </c>
      <c r="B236" s="3" t="s">
        <v>354</v>
      </c>
      <c r="C236" t="s">
        <v>312</v>
      </c>
    </row>
    <row r="237" spans="1:3" x14ac:dyDescent="0.3">
      <c r="A237" s="3" t="s">
        <v>2</v>
      </c>
      <c r="B237" s="3" t="s">
        <v>176</v>
      </c>
      <c r="C237" t="s">
        <v>314</v>
      </c>
    </row>
    <row r="238" spans="1:3" x14ac:dyDescent="0.3">
      <c r="A238" s="3" t="s">
        <v>2</v>
      </c>
      <c r="B238" s="3" t="s">
        <v>355</v>
      </c>
      <c r="C238" t="s">
        <v>312</v>
      </c>
    </row>
    <row r="239" spans="1:3" x14ac:dyDescent="0.3">
      <c r="A239" s="3" t="s">
        <v>2</v>
      </c>
      <c r="B239" s="3" t="s">
        <v>356</v>
      </c>
      <c r="C239" t="s">
        <v>314</v>
      </c>
    </row>
    <row r="240" spans="1:3" x14ac:dyDescent="0.3">
      <c r="A240" s="3" t="s">
        <v>2</v>
      </c>
      <c r="B240" s="3" t="s">
        <v>357</v>
      </c>
      <c r="C240" t="s">
        <v>312</v>
      </c>
    </row>
    <row r="241" spans="1:3" x14ac:dyDescent="0.3">
      <c r="A241" s="3" t="s">
        <v>2</v>
      </c>
      <c r="B241" s="3" t="s">
        <v>358</v>
      </c>
      <c r="C241" t="s">
        <v>312</v>
      </c>
    </row>
    <row r="242" spans="1:3" x14ac:dyDescent="0.3">
      <c r="A242" s="3" t="s">
        <v>2</v>
      </c>
      <c r="B242" s="3" t="s">
        <v>359</v>
      </c>
      <c r="C242" t="s">
        <v>312</v>
      </c>
    </row>
    <row r="243" spans="1:3" x14ac:dyDescent="0.3">
      <c r="A243" s="3" t="s">
        <v>2</v>
      </c>
      <c r="B243" s="3" t="s">
        <v>360</v>
      </c>
      <c r="C243" t="s">
        <v>319</v>
      </c>
    </row>
    <row r="244" spans="1:3" x14ac:dyDescent="0.3">
      <c r="A244" s="3" t="s">
        <v>2</v>
      </c>
      <c r="B244" s="3" t="s">
        <v>361</v>
      </c>
      <c r="C244" t="s">
        <v>319</v>
      </c>
    </row>
    <row r="245" spans="1:3" x14ac:dyDescent="0.3">
      <c r="A245" s="3" t="s">
        <v>2</v>
      </c>
      <c r="B245" s="3" t="s">
        <v>362</v>
      </c>
      <c r="C245" t="s">
        <v>319</v>
      </c>
    </row>
    <row r="246" spans="1:3" x14ac:dyDescent="0.3">
      <c r="A246" s="3" t="s">
        <v>2</v>
      </c>
      <c r="B246" s="3" t="s">
        <v>363</v>
      </c>
      <c r="C246" t="s">
        <v>319</v>
      </c>
    </row>
    <row r="247" spans="1:3" x14ac:dyDescent="0.3">
      <c r="A247" s="3" t="s">
        <v>2</v>
      </c>
      <c r="B247" s="3" t="s">
        <v>364</v>
      </c>
      <c r="C247" t="s">
        <v>319</v>
      </c>
    </row>
    <row r="248" spans="1:3" x14ac:dyDescent="0.3">
      <c r="A248" s="3" t="s">
        <v>2</v>
      </c>
      <c r="B248" s="3" t="s">
        <v>365</v>
      </c>
      <c r="C248" t="s">
        <v>312</v>
      </c>
    </row>
    <row r="249" spans="1:3" x14ac:dyDescent="0.3">
      <c r="A249" s="3" t="s">
        <v>2</v>
      </c>
      <c r="B249" s="3" t="s">
        <v>366</v>
      </c>
      <c r="C249" t="s">
        <v>312</v>
      </c>
    </row>
    <row r="250" spans="1:3" x14ac:dyDescent="0.3">
      <c r="A250" s="3" t="s">
        <v>2</v>
      </c>
      <c r="B250" s="3" t="s">
        <v>115</v>
      </c>
      <c r="C250" t="s">
        <v>105</v>
      </c>
    </row>
    <row r="251" spans="1:3" x14ac:dyDescent="0.3">
      <c r="A251" s="3" t="s">
        <v>2</v>
      </c>
      <c r="B251" s="3" t="s">
        <v>367</v>
      </c>
      <c r="C251" t="s">
        <v>312</v>
      </c>
    </row>
    <row r="252" spans="1:3" x14ac:dyDescent="0.3">
      <c r="A252" s="3" t="s">
        <v>2</v>
      </c>
      <c r="B252" s="3" t="s">
        <v>368</v>
      </c>
      <c r="C252" t="s">
        <v>312</v>
      </c>
    </row>
    <row r="253" spans="1:3" x14ac:dyDescent="0.3">
      <c r="A253" s="3" t="s">
        <v>2</v>
      </c>
      <c r="B253" s="3" t="s">
        <v>369</v>
      </c>
      <c r="C253" t="s">
        <v>312</v>
      </c>
    </row>
    <row r="254" spans="1:3" x14ac:dyDescent="0.3">
      <c r="A254" s="3" t="s">
        <v>2</v>
      </c>
      <c r="B254" s="3" t="s">
        <v>370</v>
      </c>
      <c r="C254" t="s">
        <v>312</v>
      </c>
    </row>
    <row r="255" spans="1:3" x14ac:dyDescent="0.3">
      <c r="A255" s="3" t="s">
        <v>2</v>
      </c>
      <c r="B255" s="3" t="s">
        <v>371</v>
      </c>
      <c r="C255" t="s">
        <v>312</v>
      </c>
    </row>
    <row r="256" spans="1:3" x14ac:dyDescent="0.3">
      <c r="A256" s="3" t="s">
        <v>2</v>
      </c>
      <c r="B256" s="3" t="s">
        <v>372</v>
      </c>
      <c r="C256" t="s">
        <v>314</v>
      </c>
    </row>
    <row r="257" spans="1:3" x14ac:dyDescent="0.3">
      <c r="A257" s="3" t="s">
        <v>2</v>
      </c>
      <c r="B257" s="3" t="s">
        <v>373</v>
      </c>
      <c r="C257" t="s">
        <v>312</v>
      </c>
    </row>
    <row r="258" spans="1:3" x14ac:dyDescent="0.3">
      <c r="A258" s="3" t="s">
        <v>2</v>
      </c>
      <c r="B258" s="3" t="s">
        <v>374</v>
      </c>
      <c r="C258" t="s">
        <v>314</v>
      </c>
    </row>
    <row r="259" spans="1:3" x14ac:dyDescent="0.3">
      <c r="A259" s="3" t="s">
        <v>2</v>
      </c>
      <c r="B259" s="3" t="s">
        <v>119</v>
      </c>
      <c r="C259" t="s">
        <v>105</v>
      </c>
    </row>
    <row r="260" spans="1:3" x14ac:dyDescent="0.3">
      <c r="A260" s="3" t="s">
        <v>2</v>
      </c>
      <c r="B260" s="3" t="s">
        <v>375</v>
      </c>
      <c r="C260" t="s">
        <v>319</v>
      </c>
    </row>
    <row r="261" spans="1:3" x14ac:dyDescent="0.3">
      <c r="A261" s="3" t="s">
        <v>2</v>
      </c>
      <c r="B261" s="3" t="s">
        <v>376</v>
      </c>
      <c r="C261" t="s">
        <v>314</v>
      </c>
    </row>
    <row r="262" spans="1:3" x14ac:dyDescent="0.3">
      <c r="A262" s="3" t="s">
        <v>2</v>
      </c>
      <c r="B262" s="3" t="s">
        <v>377</v>
      </c>
      <c r="C262" t="s">
        <v>314</v>
      </c>
    </row>
    <row r="263" spans="1:3" x14ac:dyDescent="0.3">
      <c r="A263" s="3" t="s">
        <v>2</v>
      </c>
      <c r="B263" s="3" t="s">
        <v>378</v>
      </c>
      <c r="C263" t="s">
        <v>319</v>
      </c>
    </row>
    <row r="264" spans="1:3" x14ac:dyDescent="0.3">
      <c r="A264" s="3" t="s">
        <v>2</v>
      </c>
      <c r="B264" s="3" t="s">
        <v>379</v>
      </c>
      <c r="C264" t="s">
        <v>312</v>
      </c>
    </row>
    <row r="265" spans="1:3" x14ac:dyDescent="0.3">
      <c r="A265" s="3" t="s">
        <v>2</v>
      </c>
      <c r="B265" s="3" t="s">
        <v>380</v>
      </c>
      <c r="C265" t="s">
        <v>312</v>
      </c>
    </row>
    <row r="266" spans="1:3" x14ac:dyDescent="0.3">
      <c r="A266" s="3" t="s">
        <v>2</v>
      </c>
      <c r="B266" s="3" t="s">
        <v>381</v>
      </c>
      <c r="C266" t="s">
        <v>312</v>
      </c>
    </row>
    <row r="267" spans="1:3" x14ac:dyDescent="0.3">
      <c r="A267" s="3" t="s">
        <v>2</v>
      </c>
      <c r="B267" s="3" t="s">
        <v>382</v>
      </c>
      <c r="C267" t="s">
        <v>312</v>
      </c>
    </row>
    <row r="268" spans="1:3" x14ac:dyDescent="0.3">
      <c r="A268" s="3" t="s">
        <v>2</v>
      </c>
      <c r="B268" s="3" t="s">
        <v>383</v>
      </c>
      <c r="C268" t="s">
        <v>312</v>
      </c>
    </row>
    <row r="269" spans="1:3" x14ac:dyDescent="0.3">
      <c r="A269" s="3" t="s">
        <v>2</v>
      </c>
      <c r="B269" s="3" t="s">
        <v>384</v>
      </c>
      <c r="C269" t="s">
        <v>312</v>
      </c>
    </row>
    <row r="270" spans="1:3" x14ac:dyDescent="0.3">
      <c r="A270" s="3" t="s">
        <v>2</v>
      </c>
      <c r="B270" s="3" t="s">
        <v>385</v>
      </c>
      <c r="C270" t="s">
        <v>312</v>
      </c>
    </row>
    <row r="271" spans="1:3" x14ac:dyDescent="0.3">
      <c r="A271" s="3" t="s">
        <v>2</v>
      </c>
      <c r="B271" s="3" t="s">
        <v>386</v>
      </c>
      <c r="C271" t="s">
        <v>312</v>
      </c>
    </row>
    <row r="272" spans="1:3" x14ac:dyDescent="0.3">
      <c r="A272" s="3" t="s">
        <v>2</v>
      </c>
      <c r="B272" s="3" t="s">
        <v>387</v>
      </c>
      <c r="C272" t="s">
        <v>312</v>
      </c>
    </row>
    <row r="273" spans="1:3" x14ac:dyDescent="0.3">
      <c r="A273" s="3" t="s">
        <v>2</v>
      </c>
      <c r="B273" s="3" t="s">
        <v>388</v>
      </c>
      <c r="C273" t="s">
        <v>312</v>
      </c>
    </row>
    <row r="274" spans="1:3" x14ac:dyDescent="0.3">
      <c r="A274" s="3" t="s">
        <v>2</v>
      </c>
      <c r="B274" s="3" t="s">
        <v>389</v>
      </c>
      <c r="C274" t="s">
        <v>319</v>
      </c>
    </row>
    <row r="275" spans="1:3" x14ac:dyDescent="0.3">
      <c r="A275" s="3" t="s">
        <v>2</v>
      </c>
      <c r="B275" s="3" t="s">
        <v>390</v>
      </c>
      <c r="C275" t="s">
        <v>319</v>
      </c>
    </row>
    <row r="276" spans="1:3" x14ac:dyDescent="0.3">
      <c r="A276" s="3" t="s">
        <v>2</v>
      </c>
      <c r="B276" s="3" t="s">
        <v>235</v>
      </c>
      <c r="C276" t="s">
        <v>312</v>
      </c>
    </row>
    <row r="277" spans="1:3" x14ac:dyDescent="0.3">
      <c r="A277" s="3" t="s">
        <v>2</v>
      </c>
      <c r="B277" s="3" t="s">
        <v>391</v>
      </c>
      <c r="C277" t="s">
        <v>312</v>
      </c>
    </row>
    <row r="278" spans="1:3" x14ac:dyDescent="0.3">
      <c r="A278" s="3" t="s">
        <v>2</v>
      </c>
      <c r="B278" s="3" t="s">
        <v>392</v>
      </c>
      <c r="C278" t="s">
        <v>312</v>
      </c>
    </row>
    <row r="279" spans="1:3" x14ac:dyDescent="0.3">
      <c r="A279" s="3" t="s">
        <v>2</v>
      </c>
      <c r="B279" s="3" t="s">
        <v>393</v>
      </c>
      <c r="C279" t="s">
        <v>314</v>
      </c>
    </row>
    <row r="280" spans="1:3" x14ac:dyDescent="0.3">
      <c r="A280" s="3" t="s">
        <v>2</v>
      </c>
      <c r="B280" s="3" t="s">
        <v>394</v>
      </c>
      <c r="C280" t="s">
        <v>312</v>
      </c>
    </row>
    <row r="281" spans="1:3" x14ac:dyDescent="0.3">
      <c r="A281" s="3" t="s">
        <v>2</v>
      </c>
      <c r="B281" s="3" t="s">
        <v>395</v>
      </c>
      <c r="C281" t="s">
        <v>314</v>
      </c>
    </row>
    <row r="282" spans="1:3" x14ac:dyDescent="0.3">
      <c r="A282" s="3" t="s">
        <v>2</v>
      </c>
      <c r="B282" s="3" t="s">
        <v>246</v>
      </c>
      <c r="C282" t="s">
        <v>312</v>
      </c>
    </row>
    <row r="283" spans="1:3" x14ac:dyDescent="0.3">
      <c r="A283" s="3" t="s">
        <v>2</v>
      </c>
      <c r="B283" s="3" t="s">
        <v>396</v>
      </c>
      <c r="C283" t="s">
        <v>312</v>
      </c>
    </row>
    <row r="284" spans="1:3" x14ac:dyDescent="0.3">
      <c r="A284" s="3" t="s">
        <v>2</v>
      </c>
      <c r="B284" s="3" t="s">
        <v>397</v>
      </c>
      <c r="C284" t="s">
        <v>312</v>
      </c>
    </row>
    <row r="285" spans="1:3" x14ac:dyDescent="0.3">
      <c r="A285" s="3" t="s">
        <v>2</v>
      </c>
      <c r="B285" s="3" t="s">
        <v>398</v>
      </c>
      <c r="C285" t="s">
        <v>312</v>
      </c>
    </row>
    <row r="286" spans="1:3" x14ac:dyDescent="0.3">
      <c r="A286" s="3" t="s">
        <v>2</v>
      </c>
      <c r="B286" s="3" t="s">
        <v>399</v>
      </c>
      <c r="C286" t="s">
        <v>312</v>
      </c>
    </row>
    <row r="287" spans="1:3" x14ac:dyDescent="0.3">
      <c r="A287" s="3" t="s">
        <v>2</v>
      </c>
      <c r="B287" s="3" t="s">
        <v>400</v>
      </c>
      <c r="C287" t="s">
        <v>312</v>
      </c>
    </row>
    <row r="288" spans="1:3" x14ac:dyDescent="0.3">
      <c r="A288" s="3" t="s">
        <v>2</v>
      </c>
      <c r="B288" s="3" t="s">
        <v>117</v>
      </c>
      <c r="C288" t="s">
        <v>105</v>
      </c>
    </row>
    <row r="289" spans="1:3" x14ac:dyDescent="0.3">
      <c r="A289" s="3" t="s">
        <v>2</v>
      </c>
      <c r="B289" s="3" t="s">
        <v>401</v>
      </c>
      <c r="C289" t="s">
        <v>105</v>
      </c>
    </row>
    <row r="290" spans="1:3" x14ac:dyDescent="0.3">
      <c r="A290" s="3" t="s">
        <v>2</v>
      </c>
      <c r="B290" s="3" t="s">
        <v>402</v>
      </c>
      <c r="C290" t="s">
        <v>312</v>
      </c>
    </row>
    <row r="291" spans="1:3" x14ac:dyDescent="0.3">
      <c r="A291" s="3" t="s">
        <v>2</v>
      </c>
      <c r="B291" s="3" t="s">
        <v>403</v>
      </c>
      <c r="C291" t="s">
        <v>312</v>
      </c>
    </row>
    <row r="292" spans="1:3" x14ac:dyDescent="0.3">
      <c r="A292" s="3" t="s">
        <v>2</v>
      </c>
      <c r="B292" s="3" t="s">
        <v>404</v>
      </c>
      <c r="C292" t="s">
        <v>319</v>
      </c>
    </row>
    <row r="293" spans="1:3" x14ac:dyDescent="0.3">
      <c r="A293" s="3" t="s">
        <v>2</v>
      </c>
      <c r="B293" s="3" t="s">
        <v>405</v>
      </c>
      <c r="C293" t="s">
        <v>312</v>
      </c>
    </row>
    <row r="294" spans="1:3" x14ac:dyDescent="0.3">
      <c r="A294" s="3" t="s">
        <v>2</v>
      </c>
      <c r="B294" s="3" t="s">
        <v>123</v>
      </c>
      <c r="C294" t="s">
        <v>105</v>
      </c>
    </row>
    <row r="295" spans="1:3" x14ac:dyDescent="0.3">
      <c r="A295" s="3" t="s">
        <v>2</v>
      </c>
      <c r="B295" s="3" t="s">
        <v>406</v>
      </c>
      <c r="C295" t="s">
        <v>312</v>
      </c>
    </row>
    <row r="296" spans="1:3" x14ac:dyDescent="0.3">
      <c r="A296" s="3" t="s">
        <v>2</v>
      </c>
      <c r="B296" s="3" t="s">
        <v>407</v>
      </c>
      <c r="C296" t="s">
        <v>312</v>
      </c>
    </row>
    <row r="297" spans="1:3" x14ac:dyDescent="0.3">
      <c r="A297" s="3" t="s">
        <v>2</v>
      </c>
      <c r="B297" s="3" t="s">
        <v>124</v>
      </c>
      <c r="C297" t="s">
        <v>105</v>
      </c>
    </row>
    <row r="298" spans="1:3" x14ac:dyDescent="0.3">
      <c r="A298" s="3" t="s">
        <v>2</v>
      </c>
      <c r="B298" s="3" t="s">
        <v>408</v>
      </c>
      <c r="C298" t="s">
        <v>314</v>
      </c>
    </row>
    <row r="299" spans="1:3" x14ac:dyDescent="0.3">
      <c r="A299" s="3" t="s">
        <v>2</v>
      </c>
      <c r="B299" s="3" t="s">
        <v>409</v>
      </c>
      <c r="C299" t="s">
        <v>314</v>
      </c>
    </row>
    <row r="300" spans="1:3" x14ac:dyDescent="0.3">
      <c r="A300" s="3" t="s">
        <v>2</v>
      </c>
      <c r="B300" s="3" t="s">
        <v>410</v>
      </c>
      <c r="C300" t="s">
        <v>312</v>
      </c>
    </row>
    <row r="301" spans="1:3" x14ac:dyDescent="0.3">
      <c r="A301" s="3" t="s">
        <v>2</v>
      </c>
      <c r="B301" s="3" t="s">
        <v>411</v>
      </c>
      <c r="C301" t="s">
        <v>312</v>
      </c>
    </row>
    <row r="302" spans="1:3" x14ac:dyDescent="0.3">
      <c r="A302" s="3" t="s">
        <v>2</v>
      </c>
      <c r="B302" s="3" t="s">
        <v>412</v>
      </c>
      <c r="C302" t="s">
        <v>312</v>
      </c>
    </row>
    <row r="303" spans="1:3" x14ac:dyDescent="0.3">
      <c r="A303" s="3" t="s">
        <v>2</v>
      </c>
      <c r="B303" s="3" t="s">
        <v>413</v>
      </c>
      <c r="C303" t="s">
        <v>314</v>
      </c>
    </row>
    <row r="304" spans="1:3" x14ac:dyDescent="0.3">
      <c r="A304" s="3" t="s">
        <v>2</v>
      </c>
      <c r="B304" s="3" t="s">
        <v>414</v>
      </c>
      <c r="C304" t="s">
        <v>314</v>
      </c>
    </row>
    <row r="305" spans="1:3" x14ac:dyDescent="0.3">
      <c r="A305" s="3" t="s">
        <v>2</v>
      </c>
      <c r="B305" s="3" t="s">
        <v>415</v>
      </c>
      <c r="C305" t="s">
        <v>319</v>
      </c>
    </row>
    <row r="306" spans="1:3" x14ac:dyDescent="0.3">
      <c r="A306" s="3" t="s">
        <v>2</v>
      </c>
      <c r="B306" s="3" t="s">
        <v>416</v>
      </c>
      <c r="C306" t="s">
        <v>312</v>
      </c>
    </row>
    <row r="307" spans="1:3" x14ac:dyDescent="0.3">
      <c r="A307" s="3" t="s">
        <v>2</v>
      </c>
      <c r="B307" s="3" t="s">
        <v>252</v>
      </c>
      <c r="C307" t="s">
        <v>312</v>
      </c>
    </row>
    <row r="308" spans="1:3" x14ac:dyDescent="0.3">
      <c r="A308" s="3" t="s">
        <v>2</v>
      </c>
      <c r="B308" s="3" t="s">
        <v>417</v>
      </c>
      <c r="C308" t="s">
        <v>312</v>
      </c>
    </row>
    <row r="309" spans="1:3" x14ac:dyDescent="0.3">
      <c r="A309" s="3" t="s">
        <v>2</v>
      </c>
      <c r="B309" s="3" t="s">
        <v>418</v>
      </c>
      <c r="C309" t="s">
        <v>312</v>
      </c>
    </row>
    <row r="310" spans="1:3" x14ac:dyDescent="0.3">
      <c r="A310" s="3" t="s">
        <v>2</v>
      </c>
      <c r="B310" s="3" t="s">
        <v>419</v>
      </c>
      <c r="C310" t="s">
        <v>319</v>
      </c>
    </row>
    <row r="311" spans="1:3" x14ac:dyDescent="0.3">
      <c r="A311" s="3" t="s">
        <v>2</v>
      </c>
      <c r="B311" s="3" t="s">
        <v>420</v>
      </c>
      <c r="C311" t="s">
        <v>319</v>
      </c>
    </row>
    <row r="312" spans="1:3" x14ac:dyDescent="0.3">
      <c r="A312" s="3" t="s">
        <v>2</v>
      </c>
      <c r="B312" s="3" t="s">
        <v>421</v>
      </c>
      <c r="C312" t="s">
        <v>319</v>
      </c>
    </row>
    <row r="313" spans="1:3" x14ac:dyDescent="0.3">
      <c r="A313" s="3" t="s">
        <v>2</v>
      </c>
      <c r="B313" s="3" t="s">
        <v>422</v>
      </c>
      <c r="C313" t="s">
        <v>319</v>
      </c>
    </row>
    <row r="314" spans="1:3" x14ac:dyDescent="0.3">
      <c r="A314" s="3" t="s">
        <v>2</v>
      </c>
      <c r="B314" s="3" t="s">
        <v>423</v>
      </c>
      <c r="C314" t="s">
        <v>312</v>
      </c>
    </row>
    <row r="315" spans="1:3" x14ac:dyDescent="0.3">
      <c r="A315" s="3" t="s">
        <v>2</v>
      </c>
      <c r="B315" s="3" t="s">
        <v>424</v>
      </c>
      <c r="C315" t="s">
        <v>312</v>
      </c>
    </row>
    <row r="316" spans="1:3" x14ac:dyDescent="0.3">
      <c r="A316" s="3" t="s">
        <v>2</v>
      </c>
      <c r="B316" s="3" t="s">
        <v>425</v>
      </c>
      <c r="C316" t="s">
        <v>312</v>
      </c>
    </row>
    <row r="317" spans="1:3" x14ac:dyDescent="0.3">
      <c r="A317" s="3" t="s">
        <v>2</v>
      </c>
      <c r="B317" s="3" t="s">
        <v>426</v>
      </c>
      <c r="C317" t="s">
        <v>312</v>
      </c>
    </row>
    <row r="318" spans="1:3" x14ac:dyDescent="0.3">
      <c r="A318" s="3" t="s">
        <v>2</v>
      </c>
      <c r="B318" s="3" t="s">
        <v>427</v>
      </c>
      <c r="C318" t="s">
        <v>312</v>
      </c>
    </row>
    <row r="319" spans="1:3" x14ac:dyDescent="0.3">
      <c r="A319" s="3" t="s">
        <v>2</v>
      </c>
      <c r="B319" s="3" t="s">
        <v>428</v>
      </c>
      <c r="C319" t="s">
        <v>312</v>
      </c>
    </row>
    <row r="320" spans="1:3" x14ac:dyDescent="0.3">
      <c r="A320" s="3" t="s">
        <v>2</v>
      </c>
      <c r="B320" s="3" t="s">
        <v>429</v>
      </c>
      <c r="C320" t="s">
        <v>319</v>
      </c>
    </row>
    <row r="321" spans="1:3" x14ac:dyDescent="0.3">
      <c r="A321" s="3" t="s">
        <v>2</v>
      </c>
      <c r="B321" s="3" t="s">
        <v>430</v>
      </c>
      <c r="C321" t="s">
        <v>319</v>
      </c>
    </row>
    <row r="322" spans="1:3" x14ac:dyDescent="0.3">
      <c r="A322" s="3" t="s">
        <v>2</v>
      </c>
      <c r="B322" s="3" t="s">
        <v>431</v>
      </c>
      <c r="C322" t="s">
        <v>312</v>
      </c>
    </row>
    <row r="323" spans="1:3" x14ac:dyDescent="0.3">
      <c r="A323" s="3" t="s">
        <v>2</v>
      </c>
      <c r="B323" s="3" t="s">
        <v>432</v>
      </c>
      <c r="C323" t="s">
        <v>314</v>
      </c>
    </row>
    <row r="324" spans="1:3" x14ac:dyDescent="0.3">
      <c r="A324" s="3" t="s">
        <v>2</v>
      </c>
      <c r="B324" s="3" t="s">
        <v>433</v>
      </c>
      <c r="C324" t="s">
        <v>312</v>
      </c>
    </row>
    <row r="325" spans="1:3" x14ac:dyDescent="0.3">
      <c r="A325" s="3" t="s">
        <v>2</v>
      </c>
      <c r="B325" s="3" t="s">
        <v>434</v>
      </c>
      <c r="C325" t="s">
        <v>312</v>
      </c>
    </row>
    <row r="326" spans="1:3" x14ac:dyDescent="0.3">
      <c r="A326" s="3" t="s">
        <v>2</v>
      </c>
      <c r="B326" s="3" t="s">
        <v>435</v>
      </c>
      <c r="C326" t="s">
        <v>312</v>
      </c>
    </row>
    <row r="327" spans="1:3" x14ac:dyDescent="0.3">
      <c r="A327" s="3" t="s">
        <v>2</v>
      </c>
      <c r="B327" s="3" t="s">
        <v>436</v>
      </c>
      <c r="C327" t="s">
        <v>312</v>
      </c>
    </row>
    <row r="328" spans="1:3" x14ac:dyDescent="0.3">
      <c r="A328" s="3" t="s">
        <v>2</v>
      </c>
      <c r="B328" s="3" t="s">
        <v>260</v>
      </c>
      <c r="C328" t="s">
        <v>314</v>
      </c>
    </row>
    <row r="329" spans="1:3" x14ac:dyDescent="0.3">
      <c r="A329" s="3" t="s">
        <v>2</v>
      </c>
      <c r="B329" s="3" t="s">
        <v>261</v>
      </c>
      <c r="C329" t="s">
        <v>312</v>
      </c>
    </row>
    <row r="330" spans="1:3" x14ac:dyDescent="0.3">
      <c r="A330" s="3" t="s">
        <v>2</v>
      </c>
      <c r="B330" s="3" t="s">
        <v>437</v>
      </c>
      <c r="C330" t="s">
        <v>312</v>
      </c>
    </row>
    <row r="331" spans="1:3" x14ac:dyDescent="0.3">
      <c r="A331" s="3" t="s">
        <v>2</v>
      </c>
      <c r="B331" s="3" t="s">
        <v>438</v>
      </c>
      <c r="C331" t="s">
        <v>312</v>
      </c>
    </row>
    <row r="332" spans="1:3" x14ac:dyDescent="0.3">
      <c r="A332" s="3" t="s">
        <v>2</v>
      </c>
      <c r="B332" s="3" t="s">
        <v>439</v>
      </c>
      <c r="C332" t="s">
        <v>312</v>
      </c>
    </row>
    <row r="333" spans="1:3" x14ac:dyDescent="0.3">
      <c r="A333" s="3" t="s">
        <v>2</v>
      </c>
      <c r="B333" s="3" t="s">
        <v>440</v>
      </c>
      <c r="C333" t="s">
        <v>312</v>
      </c>
    </row>
    <row r="334" spans="1:3" x14ac:dyDescent="0.3">
      <c r="A334" s="3" t="s">
        <v>2</v>
      </c>
      <c r="B334" s="3" t="s">
        <v>441</v>
      </c>
      <c r="C334" t="s">
        <v>314</v>
      </c>
    </row>
    <row r="335" spans="1:3" x14ac:dyDescent="0.3">
      <c r="A335" s="3" t="s">
        <v>2</v>
      </c>
      <c r="B335" s="3" t="s">
        <v>272</v>
      </c>
      <c r="C335" t="s">
        <v>312</v>
      </c>
    </row>
    <row r="336" spans="1:3" x14ac:dyDescent="0.3">
      <c r="A336" s="3" t="s">
        <v>2</v>
      </c>
      <c r="B336" s="3" t="s">
        <v>442</v>
      </c>
      <c r="C336" t="s">
        <v>312</v>
      </c>
    </row>
    <row r="337" spans="1:3" x14ac:dyDescent="0.3">
      <c r="A337" s="3" t="s">
        <v>2</v>
      </c>
      <c r="B337" s="3" t="s">
        <v>443</v>
      </c>
      <c r="C337" t="s">
        <v>314</v>
      </c>
    </row>
    <row r="338" spans="1:3" x14ac:dyDescent="0.3">
      <c r="A338" s="3" t="s">
        <v>2</v>
      </c>
      <c r="B338" s="3" t="s">
        <v>275</v>
      </c>
      <c r="C338" t="s">
        <v>312</v>
      </c>
    </row>
    <row r="339" spans="1:3" x14ac:dyDescent="0.3">
      <c r="A339" s="3" t="s">
        <v>2</v>
      </c>
      <c r="B339" s="3" t="s">
        <v>444</v>
      </c>
      <c r="C339" t="s">
        <v>314</v>
      </c>
    </row>
    <row r="340" spans="1:3" x14ac:dyDescent="0.3">
      <c r="A340" s="3" t="s">
        <v>2</v>
      </c>
      <c r="B340" s="3" t="s">
        <v>445</v>
      </c>
      <c r="C340" t="s">
        <v>314</v>
      </c>
    </row>
    <row r="341" spans="1:3" x14ac:dyDescent="0.3">
      <c r="A341" s="3" t="s">
        <v>2</v>
      </c>
      <c r="B341" s="3" t="s">
        <v>446</v>
      </c>
      <c r="C341" t="s">
        <v>312</v>
      </c>
    </row>
    <row r="342" spans="1:3" x14ac:dyDescent="0.3">
      <c r="A342" s="3" t="s">
        <v>2</v>
      </c>
      <c r="B342" s="3" t="s">
        <v>447</v>
      </c>
      <c r="C342" t="s">
        <v>312</v>
      </c>
    </row>
    <row r="343" spans="1:3" x14ac:dyDescent="0.3">
      <c r="A343" s="3" t="s">
        <v>2</v>
      </c>
      <c r="B343" s="3" t="s">
        <v>448</v>
      </c>
      <c r="C343" t="s">
        <v>314</v>
      </c>
    </row>
    <row r="344" spans="1:3" x14ac:dyDescent="0.3">
      <c r="A344" s="3" t="s">
        <v>2</v>
      </c>
      <c r="B344" s="3" t="s">
        <v>449</v>
      </c>
      <c r="C344" t="s">
        <v>314</v>
      </c>
    </row>
    <row r="345" spans="1:3" x14ac:dyDescent="0.3">
      <c r="A345" s="3" t="s">
        <v>2</v>
      </c>
      <c r="B345" s="3" t="s">
        <v>450</v>
      </c>
      <c r="C345" t="s">
        <v>314</v>
      </c>
    </row>
    <row r="346" spans="1:3" x14ac:dyDescent="0.3">
      <c r="A346" s="3" t="s">
        <v>2</v>
      </c>
      <c r="B346" s="3" t="s">
        <v>451</v>
      </c>
      <c r="C346" t="s">
        <v>314</v>
      </c>
    </row>
    <row r="347" spans="1:3" x14ac:dyDescent="0.3">
      <c r="A347" s="3" t="s">
        <v>2</v>
      </c>
      <c r="B347" s="3" t="s">
        <v>452</v>
      </c>
      <c r="C347" t="s">
        <v>312</v>
      </c>
    </row>
    <row r="348" spans="1:3" x14ac:dyDescent="0.3">
      <c r="A348" s="3" t="s">
        <v>2</v>
      </c>
      <c r="B348" s="3" t="s">
        <v>453</v>
      </c>
      <c r="C348" t="s">
        <v>314</v>
      </c>
    </row>
    <row r="349" spans="1:3" x14ac:dyDescent="0.3">
      <c r="A349" s="3" t="s">
        <v>2</v>
      </c>
      <c r="B349" s="3" t="s">
        <v>454</v>
      </c>
      <c r="C349" t="s">
        <v>312</v>
      </c>
    </row>
    <row r="350" spans="1:3" x14ac:dyDescent="0.3">
      <c r="A350" s="3" t="s">
        <v>2</v>
      </c>
      <c r="B350" s="3" t="s">
        <v>455</v>
      </c>
      <c r="C350" t="s">
        <v>314</v>
      </c>
    </row>
    <row r="351" spans="1:3" x14ac:dyDescent="0.3">
      <c r="A351" s="3" t="s">
        <v>2</v>
      </c>
      <c r="B351" s="3" t="s">
        <v>456</v>
      </c>
      <c r="C351" t="s">
        <v>319</v>
      </c>
    </row>
    <row r="352" spans="1:3" x14ac:dyDescent="0.3">
      <c r="A352" s="3" t="s">
        <v>2</v>
      </c>
      <c r="B352" s="3" t="s">
        <v>457</v>
      </c>
      <c r="C352" t="s">
        <v>319</v>
      </c>
    </row>
    <row r="353" spans="1:3" x14ac:dyDescent="0.3">
      <c r="A353" s="3" t="s">
        <v>2</v>
      </c>
      <c r="B353" s="3" t="s">
        <v>458</v>
      </c>
      <c r="C353" t="s">
        <v>319</v>
      </c>
    </row>
    <row r="354" spans="1:3" x14ac:dyDescent="0.3">
      <c r="A354" s="3" t="s">
        <v>2</v>
      </c>
      <c r="B354" s="3" t="s">
        <v>459</v>
      </c>
      <c r="C354" t="s">
        <v>319</v>
      </c>
    </row>
    <row r="355" spans="1:3" x14ac:dyDescent="0.3">
      <c r="A355" s="3" t="s">
        <v>2</v>
      </c>
      <c r="B355" s="3" t="s">
        <v>460</v>
      </c>
      <c r="C355" t="s">
        <v>319</v>
      </c>
    </row>
    <row r="356" spans="1:3" x14ac:dyDescent="0.3">
      <c r="A356" s="3" t="s">
        <v>2</v>
      </c>
      <c r="B356" s="3" t="s">
        <v>461</v>
      </c>
      <c r="C356" t="s">
        <v>319</v>
      </c>
    </row>
    <row r="357" spans="1:3" x14ac:dyDescent="0.3">
      <c r="A357" s="3" t="s">
        <v>2</v>
      </c>
      <c r="B357" s="3" t="s">
        <v>462</v>
      </c>
      <c r="C357" t="s">
        <v>319</v>
      </c>
    </row>
    <row r="358" spans="1:3" x14ac:dyDescent="0.3">
      <c r="A358" s="3" t="s">
        <v>2</v>
      </c>
      <c r="B358" s="3" t="s">
        <v>463</v>
      </c>
      <c r="C358" t="s">
        <v>319</v>
      </c>
    </row>
    <row r="359" spans="1:3" x14ac:dyDescent="0.3">
      <c r="A359" s="3" t="s">
        <v>2</v>
      </c>
      <c r="B359" s="3" t="s">
        <v>464</v>
      </c>
      <c r="C359" t="s">
        <v>319</v>
      </c>
    </row>
    <row r="360" spans="1:3" x14ac:dyDescent="0.3">
      <c r="A360" s="3" t="s">
        <v>2</v>
      </c>
      <c r="B360" s="3" t="s">
        <v>465</v>
      </c>
      <c r="C360" t="s">
        <v>314</v>
      </c>
    </row>
    <row r="361" spans="1:3" x14ac:dyDescent="0.3">
      <c r="A361" s="3" t="s">
        <v>2</v>
      </c>
      <c r="B361" s="3" t="s">
        <v>466</v>
      </c>
      <c r="C361" t="s">
        <v>319</v>
      </c>
    </row>
    <row r="362" spans="1:3" x14ac:dyDescent="0.3">
      <c r="A362" s="3" t="s">
        <v>2</v>
      </c>
      <c r="B362" s="3" t="s">
        <v>467</v>
      </c>
      <c r="C362" t="s">
        <v>314</v>
      </c>
    </row>
    <row r="363" spans="1:3" x14ac:dyDescent="0.3">
      <c r="A363" s="3" t="s">
        <v>2</v>
      </c>
      <c r="B363" s="3" t="s">
        <v>468</v>
      </c>
      <c r="C363" t="s">
        <v>319</v>
      </c>
    </row>
    <row r="364" spans="1:3" x14ac:dyDescent="0.3">
      <c r="A364" s="3" t="s">
        <v>2</v>
      </c>
      <c r="B364" s="3" t="s">
        <v>103</v>
      </c>
      <c r="C364" t="s">
        <v>105</v>
      </c>
    </row>
    <row r="365" spans="1:3" x14ac:dyDescent="0.3">
      <c r="A365" s="3" t="s">
        <v>2</v>
      </c>
      <c r="B365" s="3" t="s">
        <v>469</v>
      </c>
      <c r="C365" t="s">
        <v>105</v>
      </c>
    </row>
    <row r="366" spans="1:3" x14ac:dyDescent="0.3">
      <c r="A366" s="3" t="s">
        <v>2</v>
      </c>
      <c r="B366" s="3" t="s">
        <v>470</v>
      </c>
      <c r="C366" t="s">
        <v>57</v>
      </c>
    </row>
    <row r="367" spans="1:3" x14ac:dyDescent="0.3">
      <c r="A367" s="3" t="s">
        <v>2</v>
      </c>
      <c r="B367" s="3" t="s">
        <v>120</v>
      </c>
      <c r="C367" t="s">
        <v>57</v>
      </c>
    </row>
    <row r="368" spans="1:3" x14ac:dyDescent="0.3">
      <c r="A368" s="3" t="s">
        <v>2</v>
      </c>
      <c r="B368" s="3" t="s">
        <v>122</v>
      </c>
      <c r="C368" t="s">
        <v>57</v>
      </c>
    </row>
    <row r="369" spans="1:3" x14ac:dyDescent="0.3">
      <c r="A369" s="3" t="s">
        <v>2</v>
      </c>
      <c r="B369" s="3" t="s">
        <v>471</v>
      </c>
      <c r="C369" t="s">
        <v>312</v>
      </c>
    </row>
    <row r="370" spans="1:3" x14ac:dyDescent="0.3">
      <c r="A370" s="3" t="s">
        <v>2</v>
      </c>
      <c r="B370" s="3" t="s">
        <v>472</v>
      </c>
      <c r="C370" t="s">
        <v>312</v>
      </c>
    </row>
    <row r="371" spans="1:3" x14ac:dyDescent="0.3">
      <c r="A371" s="3" t="s">
        <v>2</v>
      </c>
      <c r="B371" s="3" t="s">
        <v>473</v>
      </c>
      <c r="C371" t="s">
        <v>312</v>
      </c>
    </row>
    <row r="372" spans="1:3" x14ac:dyDescent="0.3">
      <c r="A372" s="3" t="s">
        <v>2</v>
      </c>
      <c r="B372" s="3" t="s">
        <v>474</v>
      </c>
      <c r="C372" t="s">
        <v>312</v>
      </c>
    </row>
    <row r="373" spans="1:3" x14ac:dyDescent="0.3">
      <c r="A373" s="3" t="s">
        <v>2</v>
      </c>
      <c r="B373" s="3" t="s">
        <v>475</v>
      </c>
      <c r="C373" t="s">
        <v>314</v>
      </c>
    </row>
    <row r="374" spans="1:3" x14ac:dyDescent="0.3">
      <c r="A374" s="3" t="s">
        <v>2</v>
      </c>
      <c r="B374" s="3" t="s">
        <v>476</v>
      </c>
      <c r="C374" t="s">
        <v>312</v>
      </c>
    </row>
    <row r="375" spans="1:3" x14ac:dyDescent="0.3">
      <c r="A375" s="3" t="s">
        <v>2</v>
      </c>
      <c r="B375" s="3" t="s">
        <v>477</v>
      </c>
      <c r="C375" t="s">
        <v>319</v>
      </c>
    </row>
    <row r="376" spans="1:3" x14ac:dyDescent="0.3">
      <c r="A376" s="3" t="s">
        <v>2</v>
      </c>
      <c r="B376" s="3" t="s">
        <v>478</v>
      </c>
      <c r="C376" t="s">
        <v>319</v>
      </c>
    </row>
    <row r="377" spans="1:3" x14ac:dyDescent="0.3">
      <c r="A377" s="3" t="s">
        <v>2</v>
      </c>
      <c r="B377" s="3" t="s">
        <v>479</v>
      </c>
      <c r="C377" t="s">
        <v>312</v>
      </c>
    </row>
    <row r="378" spans="1:3" x14ac:dyDescent="0.3">
      <c r="A378" s="3" t="s">
        <v>2</v>
      </c>
      <c r="B378" s="3" t="s">
        <v>480</v>
      </c>
      <c r="C378" t="s">
        <v>314</v>
      </c>
    </row>
    <row r="379" spans="1:3" x14ac:dyDescent="0.3">
      <c r="A379" s="3" t="s">
        <v>2</v>
      </c>
      <c r="B379" s="3" t="s">
        <v>481</v>
      </c>
      <c r="C379" t="s">
        <v>314</v>
      </c>
    </row>
    <row r="380" spans="1:3" x14ac:dyDescent="0.3">
      <c r="A380" s="3" t="s">
        <v>2</v>
      </c>
      <c r="B380" s="3" t="s">
        <v>482</v>
      </c>
      <c r="C380" t="s">
        <v>312</v>
      </c>
    </row>
    <row r="381" spans="1:3" x14ac:dyDescent="0.3">
      <c r="A381" s="3" t="s">
        <v>2</v>
      </c>
      <c r="B381" s="3" t="s">
        <v>483</v>
      </c>
      <c r="C381" t="s">
        <v>312</v>
      </c>
    </row>
    <row r="382" spans="1:3" x14ac:dyDescent="0.3">
      <c r="A382" s="3" t="s">
        <v>2</v>
      </c>
      <c r="B382" s="3" t="s">
        <v>484</v>
      </c>
      <c r="C382" t="s">
        <v>312</v>
      </c>
    </row>
    <row r="383" spans="1:3" x14ac:dyDescent="0.3">
      <c r="A383" s="3" t="s">
        <v>2</v>
      </c>
      <c r="B383" s="3" t="s">
        <v>485</v>
      </c>
      <c r="C383" t="s">
        <v>312</v>
      </c>
    </row>
    <row r="384" spans="1:3" x14ac:dyDescent="0.3">
      <c r="A384" s="3" t="s">
        <v>2</v>
      </c>
      <c r="B384" s="3" t="s">
        <v>486</v>
      </c>
      <c r="C384" t="s">
        <v>312</v>
      </c>
    </row>
    <row r="385" spans="1:3" x14ac:dyDescent="0.3">
      <c r="A385" s="3" t="s">
        <v>2</v>
      </c>
      <c r="B385" s="3" t="s">
        <v>487</v>
      </c>
      <c r="C385" t="s">
        <v>314</v>
      </c>
    </row>
    <row r="386" spans="1:3" x14ac:dyDescent="0.3">
      <c r="A386" s="3" t="s">
        <v>2</v>
      </c>
      <c r="B386" s="3" t="s">
        <v>121</v>
      </c>
      <c r="C386" t="s">
        <v>105</v>
      </c>
    </row>
    <row r="387" spans="1:3" x14ac:dyDescent="0.3">
      <c r="A387" s="3" t="s">
        <v>2</v>
      </c>
      <c r="B387" s="3" t="s">
        <v>488</v>
      </c>
      <c r="C387" t="s">
        <v>312</v>
      </c>
    </row>
    <row r="388" spans="1:3" x14ac:dyDescent="0.3">
      <c r="A388" s="3" t="s">
        <v>2</v>
      </c>
      <c r="B388" s="3" t="s">
        <v>489</v>
      </c>
      <c r="C388" t="s">
        <v>319</v>
      </c>
    </row>
    <row r="389" spans="1:3" x14ac:dyDescent="0.3">
      <c r="A389" s="3" t="s">
        <v>2</v>
      </c>
      <c r="B389" s="3" t="s">
        <v>490</v>
      </c>
      <c r="C389" t="s">
        <v>319</v>
      </c>
    </row>
    <row r="390" spans="1:3" x14ac:dyDescent="0.3">
      <c r="A390" s="3" t="s">
        <v>2</v>
      </c>
      <c r="B390" s="3" t="s">
        <v>491</v>
      </c>
      <c r="C390" t="s">
        <v>319</v>
      </c>
    </row>
    <row r="391" spans="1:3" x14ac:dyDescent="0.3">
      <c r="A391" s="3" t="s">
        <v>2</v>
      </c>
      <c r="B391" s="3" t="s">
        <v>492</v>
      </c>
      <c r="C391" t="s">
        <v>312</v>
      </c>
    </row>
    <row r="392" spans="1:3" x14ac:dyDescent="0.3">
      <c r="A392" s="3" t="s">
        <v>2</v>
      </c>
      <c r="B392" s="3" t="s">
        <v>493</v>
      </c>
      <c r="C392" t="s">
        <v>312</v>
      </c>
    </row>
    <row r="393" spans="1:3" x14ac:dyDescent="0.3">
      <c r="A393" s="3" t="s">
        <v>494</v>
      </c>
      <c r="B393" s="3" t="s">
        <v>495</v>
      </c>
      <c r="C393" t="s">
        <v>314</v>
      </c>
    </row>
    <row r="394" spans="1:3" x14ac:dyDescent="0.3">
      <c r="A394" s="3" t="s">
        <v>494</v>
      </c>
      <c r="B394" s="3" t="s">
        <v>133</v>
      </c>
      <c r="C394" t="s">
        <v>133</v>
      </c>
    </row>
    <row r="395" spans="1:3" x14ac:dyDescent="0.3">
      <c r="A395" s="3" t="s">
        <v>494</v>
      </c>
      <c r="B395" s="3" t="s">
        <v>496</v>
      </c>
      <c r="C395" t="s">
        <v>314</v>
      </c>
    </row>
    <row r="396" spans="1:3" x14ac:dyDescent="0.3">
      <c r="A396" s="3" t="s">
        <v>494</v>
      </c>
      <c r="B396" s="3" t="s">
        <v>497</v>
      </c>
      <c r="C396" t="s">
        <v>314</v>
      </c>
    </row>
    <row r="397" spans="1:3" x14ac:dyDescent="0.3">
      <c r="A397" s="3" t="s">
        <v>498</v>
      </c>
      <c r="B397" s="3" t="s">
        <v>499</v>
      </c>
      <c r="C397" t="s">
        <v>312</v>
      </c>
    </row>
    <row r="398" spans="1:3" x14ac:dyDescent="0.3">
      <c r="A398" s="3" t="s">
        <v>498</v>
      </c>
      <c r="B398" s="3" t="s">
        <v>500</v>
      </c>
      <c r="C398" t="s">
        <v>312</v>
      </c>
    </row>
    <row r="399" spans="1:3" x14ac:dyDescent="0.3">
      <c r="A399" s="3" t="s">
        <v>498</v>
      </c>
      <c r="B399" s="3" t="s">
        <v>501</v>
      </c>
      <c r="C399" t="s">
        <v>312</v>
      </c>
    </row>
    <row r="400" spans="1:3" x14ac:dyDescent="0.3">
      <c r="A400" s="3" t="s">
        <v>498</v>
      </c>
      <c r="B400" s="3" t="s">
        <v>502</v>
      </c>
      <c r="C400" t="s">
        <v>312</v>
      </c>
    </row>
    <row r="401" spans="1:3" x14ac:dyDescent="0.3">
      <c r="A401" s="3" t="s">
        <v>498</v>
      </c>
      <c r="B401" s="3" t="s">
        <v>503</v>
      </c>
      <c r="C401" t="s">
        <v>312</v>
      </c>
    </row>
    <row r="402" spans="1:3" x14ac:dyDescent="0.3">
      <c r="A402" s="3" t="s">
        <v>498</v>
      </c>
      <c r="B402" s="3" t="s">
        <v>504</v>
      </c>
      <c r="C402" t="s">
        <v>312</v>
      </c>
    </row>
    <row r="403" spans="1:3" x14ac:dyDescent="0.3">
      <c r="A403" s="3" t="s">
        <v>498</v>
      </c>
      <c r="B403" s="3" t="s">
        <v>505</v>
      </c>
      <c r="C403" t="s">
        <v>312</v>
      </c>
    </row>
    <row r="404" spans="1:3" x14ac:dyDescent="0.3">
      <c r="A404" s="3" t="s">
        <v>498</v>
      </c>
      <c r="B404" s="3" t="s">
        <v>506</v>
      </c>
      <c r="C404" t="s">
        <v>507</v>
      </c>
    </row>
    <row r="405" spans="1:3" x14ac:dyDescent="0.3">
      <c r="A405" s="3" t="s">
        <v>498</v>
      </c>
      <c r="B405" s="3" t="s">
        <v>508</v>
      </c>
      <c r="C405" t="s">
        <v>312</v>
      </c>
    </row>
    <row r="406" spans="1:3" x14ac:dyDescent="0.3">
      <c r="A406" s="3" t="s">
        <v>498</v>
      </c>
      <c r="B406" s="3" t="s">
        <v>509</v>
      </c>
      <c r="C406" t="s">
        <v>312</v>
      </c>
    </row>
    <row r="407" spans="1:3" x14ac:dyDescent="0.3">
      <c r="A407" s="3" t="s">
        <v>498</v>
      </c>
      <c r="B407" s="3" t="s">
        <v>510</v>
      </c>
      <c r="C407" t="s">
        <v>312</v>
      </c>
    </row>
    <row r="408" spans="1:3" x14ac:dyDescent="0.3">
      <c r="A408" s="3" t="s">
        <v>498</v>
      </c>
      <c r="B408" s="3" t="s">
        <v>511</v>
      </c>
      <c r="C408" t="s">
        <v>312</v>
      </c>
    </row>
    <row r="409" spans="1:3" x14ac:dyDescent="0.3">
      <c r="A409" s="3" t="s">
        <v>498</v>
      </c>
      <c r="B409" s="3" t="s">
        <v>512</v>
      </c>
      <c r="C409" t="s">
        <v>312</v>
      </c>
    </row>
    <row r="410" spans="1:3" x14ac:dyDescent="0.3">
      <c r="A410" s="3" t="s">
        <v>498</v>
      </c>
      <c r="B410" s="3" t="s">
        <v>513</v>
      </c>
      <c r="C410" t="s">
        <v>312</v>
      </c>
    </row>
    <row r="411" spans="1:3" x14ac:dyDescent="0.3">
      <c r="A411" s="3" t="s">
        <v>498</v>
      </c>
      <c r="B411" s="3" t="s">
        <v>514</v>
      </c>
      <c r="C411" t="s">
        <v>312</v>
      </c>
    </row>
    <row r="412" spans="1:3" x14ac:dyDescent="0.3">
      <c r="A412" s="3" t="s">
        <v>498</v>
      </c>
      <c r="B412" s="3" t="s">
        <v>515</v>
      </c>
      <c r="C412" t="s">
        <v>312</v>
      </c>
    </row>
    <row r="413" spans="1:3" x14ac:dyDescent="0.3">
      <c r="A413" s="3" t="s">
        <v>498</v>
      </c>
      <c r="B413" s="3" t="s">
        <v>516</v>
      </c>
      <c r="C413" t="s">
        <v>312</v>
      </c>
    </row>
    <row r="414" spans="1:3" x14ac:dyDescent="0.3">
      <c r="A414" s="3" t="s">
        <v>498</v>
      </c>
      <c r="B414" s="3" t="s">
        <v>517</v>
      </c>
      <c r="C414" t="s">
        <v>312</v>
      </c>
    </row>
    <row r="415" spans="1:3" x14ac:dyDescent="0.3">
      <c r="A415" s="3" t="s">
        <v>498</v>
      </c>
      <c r="B415" s="3" t="s">
        <v>518</v>
      </c>
      <c r="C415" t="s">
        <v>312</v>
      </c>
    </row>
    <row r="416" spans="1:3" x14ac:dyDescent="0.3">
      <c r="A416" s="3" t="s">
        <v>498</v>
      </c>
      <c r="B416" s="3" t="s">
        <v>519</v>
      </c>
      <c r="C416" t="s">
        <v>312</v>
      </c>
    </row>
    <row r="417" spans="1:3" x14ac:dyDescent="0.3">
      <c r="A417" s="3" t="s">
        <v>498</v>
      </c>
      <c r="B417" s="3" t="s">
        <v>520</v>
      </c>
      <c r="C417" t="s">
        <v>312</v>
      </c>
    </row>
    <row r="418" spans="1:3" x14ac:dyDescent="0.3">
      <c r="A418" s="3" t="s">
        <v>498</v>
      </c>
      <c r="B418" s="3" t="s">
        <v>521</v>
      </c>
      <c r="C418" t="s">
        <v>312</v>
      </c>
    </row>
    <row r="419" spans="1:3" x14ac:dyDescent="0.3">
      <c r="A419" s="3" t="s">
        <v>498</v>
      </c>
      <c r="B419" s="3" t="s">
        <v>522</v>
      </c>
      <c r="C419" t="s">
        <v>312</v>
      </c>
    </row>
    <row r="420" spans="1:3" x14ac:dyDescent="0.3">
      <c r="A420" s="3" t="s">
        <v>498</v>
      </c>
      <c r="B420" s="3" t="s">
        <v>523</v>
      </c>
      <c r="C420" t="s">
        <v>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40</vt:i4>
      </vt:variant>
    </vt:vector>
  </HeadingPairs>
  <TitlesOfParts>
    <vt:vector size="40" baseType="lpstr">
      <vt:lpstr>Master</vt:lpstr>
      <vt:lpstr>Regions Clusters</vt:lpstr>
      <vt:lpstr>Commodities Clusters</vt:lpstr>
      <vt:lpstr>landfill</vt:lpstr>
      <vt:lpstr>partial recycling</vt:lpstr>
      <vt:lpstr>PV use CN</vt:lpstr>
      <vt:lpstr>PV use EU</vt:lpstr>
      <vt:lpstr>PV use US</vt:lpstr>
      <vt:lpstr>PV use APAC</vt:lpstr>
      <vt:lpstr>PV prod CN</vt:lpstr>
      <vt:lpstr>PV prod EU</vt:lpstr>
      <vt:lpstr>PV prod US</vt:lpstr>
      <vt:lpstr>PV prod APAC</vt:lpstr>
      <vt:lpstr>Cell prod CN</vt:lpstr>
      <vt:lpstr>Cell prod EU</vt:lpstr>
      <vt:lpstr>Cell prod US</vt:lpstr>
      <vt:lpstr>Cell prod APAC</vt:lpstr>
      <vt:lpstr>Paste</vt:lpstr>
      <vt:lpstr>Silane</vt:lpstr>
      <vt:lpstr>Wafer prod CN</vt:lpstr>
      <vt:lpstr>Wafer prod EU</vt:lpstr>
      <vt:lpstr>Wafer prod US</vt:lpstr>
      <vt:lpstr>Wafer prod APAC</vt:lpstr>
      <vt:lpstr>Ingot prod CN</vt:lpstr>
      <vt:lpstr>Ingot prod EU</vt:lpstr>
      <vt:lpstr>Ingot prod US</vt:lpstr>
      <vt:lpstr>Ingot prod APAC</vt:lpstr>
      <vt:lpstr>SGS prod CN</vt:lpstr>
      <vt:lpstr>SGS prod EU</vt:lpstr>
      <vt:lpstr>SGS prod US</vt:lpstr>
      <vt:lpstr>SGS prod APAC</vt:lpstr>
      <vt:lpstr>MGS prod</vt:lpstr>
      <vt:lpstr>CaF2 97%</vt:lpstr>
      <vt:lpstr>HF</vt:lpstr>
      <vt:lpstr>HFC-152a</vt:lpstr>
      <vt:lpstr>VF</vt:lpstr>
      <vt:lpstr>PVF</vt:lpstr>
      <vt:lpstr>PVF disp</vt:lpstr>
      <vt:lpstr>PVF film</vt:lpstr>
      <vt:lpstr>DB 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Raffaele Merletti</cp:lastModifiedBy>
  <dcterms:created xsi:type="dcterms:W3CDTF">2025-08-11T15:43:20Z</dcterms:created>
  <dcterms:modified xsi:type="dcterms:W3CDTF">2025-10-12T08:41:27Z</dcterms:modified>
</cp:coreProperties>
</file>